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filterPrivacy="1" defaultThemeVersion="166925"/>
  <xr:revisionPtr revIDLastSave="0" documentId="13_ncr:1_{36F009D8-8D51-4358-992F-F597BE0816C0}" xr6:coauthVersionLast="47" xr6:coauthVersionMax="47" xr10:uidLastSave="{00000000-0000-0000-0000-000000000000}"/>
  <bookViews>
    <workbookView xWindow="-108" yWindow="-108" windowWidth="23256" windowHeight="12456" xr2:uid="{D9DCC595-F87E-45A1-A894-7F8F940646FF}"/>
  </bookViews>
  <sheets>
    <sheet name="使い方" sheetId="1" r:id="rId1"/>
    <sheet name="入力" sheetId="2" r:id="rId2"/>
    <sheet name="別表三一_計算" sheetId="3" r:id="rId3"/>
    <sheet name="付表一_計算" sheetId="4" r:id="rId4"/>
    <sheet name="付表二_計算" sheetId="5" r:id="rId5"/>
    <sheet name="別表三(一)" sheetId="6" r:id="rId6"/>
    <sheet name="別表三(一)付表一" sheetId="7" r:id="rId7"/>
    <sheet name="別表三(一)付表二" sheetId="8" r:id="rId8"/>
    <sheet name="検算" sheetId="9" r:id="rId9"/>
    <sheet name="根拠・出典" sheetId="10" r:id="rId10"/>
    <sheet name="印字値" sheetId="11" state="veryHidden" r:id="rId11"/>
    <sheet name="厳密整数計算" sheetId="12" state="veryHidden" r:id="rId12"/>
  </sheets>
  <definedNames>
    <definedName name="cfg_applicable">厳密整数計算!$I$3</definedName>
    <definedName name="cfg_calculation_ready">厳密整数計算!$I$9</definedName>
    <definedName name="cfg_class_selected">厳密整数計算!$I$7</definedName>
    <definedName name="cfg_exact_domain_ok">厳密整数計算!$I$2</definedName>
    <definedName name="cfg_exact_math_valid">厳密整数計算!$I$1</definedName>
    <definedName name="cfg_f2_input_valid">厳密整数計算!$I$5</definedName>
    <definedName name="cfg_f2_period_ok">厳密整数計算!$I$4</definedName>
    <definedName name="cfg_group_selected">厳密整数計算!$I$8</definedName>
    <definedName name="cfg_period_input_valid">厳密整数計算!$I$10</definedName>
    <definedName name="cfg_special_applicable">厳密整数計算!$I$6</definedName>
    <definedName name="exact_r8_f1_33_income_absrem">厳密整数計算!$C$118</definedName>
    <definedName name="exact_r8_f1_33_income_floor">厳密整数計算!$D$118</definedName>
    <definedName name="exact_r8_f1_33_income_q">厳密整数計算!$B$118</definedName>
    <definedName name="exact_r8_f1_33_income_rem">厳密整数計算!$E$118</definedName>
    <definedName name="exact_r8_f1_33_income_valid">厳密整数計算!$F$118</definedName>
    <definedName name="exact_r8_f2_26_ratio_absrem">厳密整数計算!$C$60</definedName>
    <definedName name="exact_r8_f2_26_ratio_floor">厳密整数計算!$D$60</definedName>
    <definedName name="exact_r8_f2_26_ratio_q">厳密整数計算!$B$60</definedName>
    <definedName name="exact_r8_f2_26_ratio_rem">厳密整数計算!$E$60</definedName>
    <definedName name="exact_r8_f2_26_ratio_valid">厳密整数計算!$F$60</definedName>
    <definedName name="exact_r8_m_24_resident_absrem">厳密整数計算!$C$176</definedName>
    <definedName name="exact_r8_m_24_resident_floor">厳密整数計算!$D$176</definedName>
    <definedName name="exact_r8_m_24_resident_q">厳密整数計算!$B$176</definedName>
    <definedName name="exact_r8_m_24_resident_rem">厳密整数計算!$E$176</definedName>
    <definedName name="exact_r8_m_24_resident_valid">厳密整数計算!$F$176</definedName>
    <definedName name="exact_r8_m_26_delta_absrem">厳密整数計算!$C$292</definedName>
    <definedName name="exact_r8_m_26_delta_floor">厳密整数計算!$D$292</definedName>
    <definedName name="exact_r8_m_26_delta_q">厳密整数計算!$B$292</definedName>
    <definedName name="exact_r8_m_26_delta_rem">厳密整数計算!$E$292</definedName>
    <definedName name="exact_r8_m_26_delta_valid">厳密整数計算!$F$292</definedName>
    <definedName name="exact_r8_m_26_municipal_absrem">厳密整数計算!$C$234</definedName>
    <definedName name="exact_r8_m_26_municipal_floor">厳密整数計算!$D$234</definedName>
    <definedName name="exact_r8_m_26_municipal_q">厳密整数計算!$B$234</definedName>
    <definedName name="exact_r8_m_26_municipal_rem">厳密整数計算!$E$234</definedName>
    <definedName name="exact_r8_m_26_municipal_valid">厳密整数計算!$F$234</definedName>
    <definedName name="f1_01">付表一_計算!$D$5</definedName>
    <definedName name="f1_02">付表一_計算!$D$6</definedName>
    <definedName name="f1_03">付表一_計算!$D$7</definedName>
    <definedName name="f1_04">付表一_計算!$D$8</definedName>
    <definedName name="f1_05">付表一_計算!$D$9</definedName>
    <definedName name="f1_06">付表一_計算!$D$10</definedName>
    <definedName name="f1_07">付表一_計算!$D$11</definedName>
    <definedName name="f1_08">付表一_計算!$D$12</definedName>
    <definedName name="f1_09">付表一_計算!$D$13</definedName>
    <definedName name="f1_10">付表一_計算!$D$14</definedName>
    <definedName name="f1_11">付表一_計算!$D$15</definedName>
    <definedName name="f1_12">付表一_計算!$D$16</definedName>
    <definedName name="f1_13">付表一_計算!$D$17</definedName>
    <definedName name="f1_14">付表一_計算!$D$18</definedName>
    <definedName name="f1_15">付表一_計算!$D$19</definedName>
    <definedName name="f1_16">付表一_計算!$D$20</definedName>
    <definedName name="f1_17">付表一_計算!$D$21</definedName>
    <definedName name="f1_18">付表一_計算!$D$22</definedName>
    <definedName name="f1_19">付表一_計算!$D$23</definedName>
    <definedName name="f1_20">付表一_計算!$D$24</definedName>
    <definedName name="f1_21">付表一_計算!$D$25</definedName>
    <definedName name="f1_22">付表一_計算!$D$26</definedName>
    <definedName name="f1_23">付表一_計算!$D$27</definedName>
    <definedName name="f1_24">付表一_計算!$D$28</definedName>
    <definedName name="f1_25">付表一_計算!$D$29</definedName>
    <definedName name="f1_26">付表一_計算!$D$30</definedName>
    <definedName name="f1_27">付表一_計算!$D$31</definedName>
    <definedName name="f1_28">付表一_計算!$D$32</definedName>
    <definedName name="f1_29">付表一_計算!$D$33</definedName>
    <definedName name="f1_30">付表一_計算!$D$34</definedName>
    <definedName name="f1_31">付表一_計算!$D$35</definedName>
    <definedName name="f1_32">付表一_計算!$D$36</definedName>
    <definedName name="f1_33">付表一_計算!$D$37</definedName>
    <definedName name="f1_34">付表一_計算!$D$38</definedName>
    <definedName name="f2_01">付表二_計算!$D$5</definedName>
    <definedName name="f2_02">付表二_計算!$D$6</definedName>
    <definedName name="f2_03">付表二_計算!$D$7</definedName>
    <definedName name="f2_04">付表二_計算!$D$8</definedName>
    <definedName name="f2_05">付表二_計算!$D$9</definedName>
    <definedName name="f2_06">付表二_計算!$D$10</definedName>
    <definedName name="f2_07">付表二_計算!$D$11</definedName>
    <definedName name="f2_08">付表二_計算!$D$12</definedName>
    <definedName name="f2_09">付表二_計算!$D$13</definedName>
    <definedName name="f2_10">付表二_計算!$D$14</definedName>
    <definedName name="f2_11">付表二_計算!$D$15</definedName>
    <definedName name="f2_12">付表二_計算!$D$16</definedName>
    <definedName name="f2_13">付表二_計算!$D$17</definedName>
    <definedName name="f2_14">付表二_計算!$D$18</definedName>
    <definedName name="f2_15">付表二_計算!$D$19</definedName>
    <definedName name="f2_16">付表二_計算!$D$20</definedName>
    <definedName name="f2_17">付表二_計算!$D$21</definedName>
    <definedName name="f2_18">付表二_計算!$D$22</definedName>
    <definedName name="f2_19">付表二_計算!$D$23</definedName>
    <definedName name="f2_20">付表二_計算!$D$24</definedName>
    <definedName name="f2_21">付表二_計算!$D$25</definedName>
    <definedName name="f2_22">付表二_計算!$D$26</definedName>
    <definedName name="f2_23">付表二_計算!$D$27</definedName>
    <definedName name="f2_24">付表二_計算!$D$28</definedName>
    <definedName name="f2_25">付表二_計算!$D$29</definedName>
    <definedName name="f2_26">付表二_計算!$D$30</definedName>
    <definedName name="inp_b1_11">入力!$D$25</definedName>
    <definedName name="inp_b1_17">入力!$D$26</definedName>
    <definedName name="inp_b1_18">入力!$D$27</definedName>
    <definedName name="inp_b1_2">入力!$D$20</definedName>
    <definedName name="inp_b1_3">入力!$D$21</definedName>
    <definedName name="inp_b1_31">入力!$D$28</definedName>
    <definedName name="inp_b1_32">入力!$D$29</definedName>
    <definedName name="inp_b1_36">入力!$D$30</definedName>
    <definedName name="inp_b1_4">入力!$D$22</definedName>
    <definedName name="inp_b1_50">入力!$D$32</definedName>
    <definedName name="inp_b1_51">入力!$D$33</definedName>
    <definedName name="inp_b1_55">入力!$D$34</definedName>
    <definedName name="inp_b1_6">入力!$D$23</definedName>
    <definedName name="inp_b1_71">入力!$D$35</definedName>
    <definedName name="inp_b1_94">入力!$D$31</definedName>
    <definedName name="inp_b1_9out">入力!$D$24</definedName>
    <definedName name="inp_b10_7_15">入力!$D$16</definedName>
    <definedName name="inp_b17_3_6_1">入力!$D$37</definedName>
    <definedName name="inp_b6_12_f2_19">入力!$D$52</definedName>
    <definedName name="inp_b6_12_f2_24">入力!$D$53</definedName>
    <definedName name="inp_b6_2_f6_7_total">入力!$D$39</definedName>
    <definedName name="inp_b6_5_2_5_3">入力!$D$36</definedName>
    <definedName name="inp_b6_6_3">入力!$D$40</definedName>
    <definedName name="inp_b6_6_9_11_14">入力!$D$45</definedName>
    <definedName name="inp_b6_6_9_16_18">入力!$D$46</definedName>
    <definedName name="inp_b6_6_9_19_20">入力!$D$47</definedName>
    <definedName name="inp_b6_6_9_2">入力!$D$41</definedName>
    <definedName name="inp_b6_6_9_25_26">入力!$D$48</definedName>
    <definedName name="inp_b6_6_9_27_29">入力!$D$49</definedName>
    <definedName name="inp_b6_6_9_3">入力!$D$42</definedName>
    <definedName name="inp_b6_6_9_4">入力!$D$43</definedName>
    <definedName name="inp_b6_6_9_5_8">入力!$D$44</definedName>
    <definedName name="inp_b6_9_f_40">入力!$D$50</definedName>
    <definedName name="inp_b6_9_f_45">入力!$D$51</definedName>
    <definedName name="inp_class">入力!$D$9</definedName>
    <definedName name="inp_corp">入力!$D$5</definedName>
    <definedName name="inp_curr_div">入力!$D$19</definedName>
    <definedName name="inp_end">入力!$D$7</definedName>
    <definedName name="inp_f1_b10_1_15_or_10_2_10">入力!$D$77</definedName>
    <definedName name="inp_f1_b10_1_16_or_10_2_11">入力!$D$78</definedName>
    <definedName name="inp_f1_b10_3_47">入力!$D$73</definedName>
    <definedName name="inp_f1_b10_4_20">入力!$D$74</definedName>
    <definedName name="inp_f1_b10_4_21_23">入力!$D$75</definedName>
    <definedName name="inp_f1_b10_5_12">入力!$D$76</definedName>
    <definedName name="inp_f1_b10_6_sum">入力!$D$79</definedName>
    <definedName name="inp_f1_b10_7_12">入力!$D$80</definedName>
    <definedName name="inp_f1_b10_7_20_22">入力!$D$81</definedName>
    <definedName name="inp_f1_b10_8_22">入力!$D$82</definedName>
    <definedName name="inp_f1_b17_2_3_10">入力!$D$83</definedName>
    <definedName name="inp_f1_b17_3_7_27">入力!$D$65</definedName>
    <definedName name="inp_f1_b17_3_income_sum">入力!$D$84</definedName>
    <definedName name="inp_f1_b4_16">入力!$D$66</definedName>
    <definedName name="inp_f1_b4_19">入力!$D$67</definedName>
    <definedName name="inp_f1_b4_37">入力!$D$71</definedName>
    <definedName name="inp_f1_b4_38">入力!$D$62</definedName>
    <definedName name="inp_f1_b4_52_1">入力!$D$61</definedName>
    <definedName name="inp_f1_b4f_7">入力!$D$68</definedName>
    <definedName name="inp_f1_b5_1_31_1">入力!$D$58</definedName>
    <definedName name="inp_f1_b7_1_4">入力!$D$69</definedName>
    <definedName name="inp_f1_b7_other">入力!$D$70</definedName>
    <definedName name="inp_f1_b8_1_5">入力!$D$63</definedName>
    <definedName name="inp_f1_b8_2_26">入力!$D$64</definedName>
    <definedName name="inp_f1_b8_3_13">入力!$D$72</definedName>
    <definedName name="inp_f1_capital">入力!$D$57</definedName>
    <definedName name="inp_f1_merger_inc">入力!$D$59</definedName>
    <definedName name="inp_f1_split_dec">入力!$D$60</definedName>
    <definedName name="inp_f2_b18_1_5_total">入力!$D$98</definedName>
    <definedName name="inp_f2_b18_1_6_total">入力!$D$99</definedName>
    <definedName name="inp_f2_b4f_3">入力!$D$88</definedName>
    <definedName name="inp_f2_b4f_8">入力!$D$92</definedName>
    <definedName name="inp_f2_b4f_9">入力!$D$95</definedName>
    <definedName name="inp_f2_b7_2_11">入力!$D$89</definedName>
    <definedName name="inp_f2_b7_2_5">入力!$D$93</definedName>
    <definedName name="inp_f2_b7_2_f1_23">入力!$D$96</definedName>
    <definedName name="inp_f2_b8_1_f_24">入力!$D$97</definedName>
    <definedName name="inp_f2_group_div_received">入力!$D$94</definedName>
    <definedName name="inp_f2_in_div_amount">入力!$D$91</definedName>
    <definedName name="inp_f2_out_div_outflow">入力!$D$90</definedName>
    <definedName name="inp_group">入力!$D$10</definedName>
    <definedName name="inp_m_B4_17_inner">入力!$D$17</definedName>
    <definedName name="inp_m_B4_52_2">入力!$D$15</definedName>
    <definedName name="inp_months">入力!$D$8</definedName>
    <definedName name="inp_prev_div">入力!$D$18</definedName>
    <definedName name="inp_special">入力!$D$11</definedName>
    <definedName name="inp_specific_donation_total">入力!$D$38</definedName>
    <definedName name="inp_start">入力!$D$6</definedName>
    <definedName name="m_01">別表三一_計算!$D$5</definedName>
    <definedName name="m_02">別表三一_計算!$D$6</definedName>
    <definedName name="m_03">別表三一_計算!$D$7</definedName>
    <definedName name="m_04">別表三一_計算!$D$8</definedName>
    <definedName name="m_05">別表三一_計算!$D$9</definedName>
    <definedName name="m_06">別表三一_計算!$D$10</definedName>
    <definedName name="m_07">別表三一_計算!$D$11</definedName>
    <definedName name="m_08">別表三一_計算!$D$12</definedName>
    <definedName name="m_09">別表三一_計算!$D$13</definedName>
    <definedName name="m_10">別表三一_計算!$D$14</definedName>
    <definedName name="m_11">別表三一_計算!$D$15</definedName>
    <definedName name="m_12">別表三一_計算!$D$16</definedName>
    <definedName name="m_13">別表三一_計算!$D$17</definedName>
    <definedName name="m_14">別表三一_計算!$D$18</definedName>
    <definedName name="m_15">別表三一_計算!$D$19</definedName>
    <definedName name="m_16">別表三一_計算!$D$20</definedName>
    <definedName name="m_17">別表三一_計算!$D$21</definedName>
    <definedName name="m_18">別表三一_計算!$D$22</definedName>
    <definedName name="m_19">別表三一_計算!$D$23</definedName>
    <definedName name="m_20">別表三一_計算!$D$24</definedName>
    <definedName name="m_21">別表三一_計算!$D$25</definedName>
    <definedName name="m_22">別表三一_計算!$D$26</definedName>
    <definedName name="m_23">別表三一_計算!$D$27</definedName>
    <definedName name="m_24">別表三一_計算!$D$28</definedName>
    <definedName name="m_25">別表三一_計算!$D$29</definedName>
    <definedName name="m_26">別表三一_計算!$D$30</definedName>
    <definedName name="m_27">別表三一_計算!$D$31</definedName>
    <definedName name="m_28">別表三一_計算!$D$32</definedName>
    <definedName name="_xlnm.Print_Area" localSheetId="8">検算!$A$1:$D$41</definedName>
    <definedName name="_xlnm.Print_Area" localSheetId="9">根拠・出典!$A$1:$D$13</definedName>
    <definedName name="_xlnm.Print_Area" localSheetId="0">使い方!$A$1:$H$28</definedName>
    <definedName name="_xlnm.Print_Area" localSheetId="1">入力!$A$1:$E$99</definedName>
    <definedName name="_xlnm.Print_Area" localSheetId="3">付表一_計算!$A$1:$Z$38</definedName>
    <definedName name="_xlnm.Print_Area" localSheetId="4">付表二_計算!$A$1:$Z$30</definedName>
    <definedName name="_xlnm.Print_Area" localSheetId="5">'別表三(一)'!$A$1:$L$3</definedName>
    <definedName name="_xlnm.Print_Area" localSheetId="6">'別表三(一)付表一'!$A$1:$L$3</definedName>
    <definedName name="_xlnm.Print_Area" localSheetId="7">'別表三(一)付表二'!$A$1:$L$3</definedName>
    <definedName name="_xlnm.Print_Area" localSheetId="2">別表三一_計算!$A$1:$Z$32</definedName>
    <definedName name="_xlnm.Print_Titles" localSheetId="1">入力!$1:$2</definedName>
    <definedName name="_xlnm.Print_Titles" localSheetId="3">付表一_計算!$1:$4</definedName>
    <definedName name="_xlnm.Print_Titles" localSheetId="4">付表二_計算!$1:$4</definedName>
    <definedName name="_xlnm.Print_Titles" localSheetId="2">別表三一_計算!$1:$4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7" i="2" l="1"/>
  <c r="D6" i="2"/>
  <c r="D237" i="12"/>
  <c r="D179" i="12"/>
  <c r="D121" i="12"/>
  <c r="D63" i="12"/>
  <c r="I8" i="12"/>
  <c r="I7" i="12"/>
  <c r="I6" i="12"/>
  <c r="I4" i="12"/>
  <c r="I3" i="12"/>
  <c r="F11" i="1" s="1"/>
  <c r="C10" i="9"/>
  <c r="C9" i="9"/>
  <c r="C7" i="9"/>
  <c r="C5" i="9"/>
  <c r="C4" i="9"/>
  <c r="F12" i="1"/>
  <c r="F237" i="12"/>
  <c r="E237" i="12"/>
  <c r="C237" i="12"/>
  <c r="B237" i="12"/>
  <c r="B250" i="12" s="1"/>
  <c r="F179" i="12"/>
  <c r="C179" i="12"/>
  <c r="F121" i="12"/>
  <c r="C121" i="12"/>
  <c r="F63" i="12"/>
  <c r="C63" i="12"/>
  <c r="L82" i="12"/>
  <c r="K82" i="12"/>
  <c r="L81" i="12"/>
  <c r="K81" i="12"/>
  <c r="L80" i="12"/>
  <c r="K80" i="12"/>
  <c r="L79" i="12"/>
  <c r="K79" i="12"/>
  <c r="L78" i="12"/>
  <c r="K78" i="12"/>
  <c r="L77" i="12"/>
  <c r="K77" i="12"/>
  <c r="L76" i="12"/>
  <c r="K76" i="12"/>
  <c r="L75" i="12"/>
  <c r="K75" i="12"/>
  <c r="L74" i="12"/>
  <c r="K74" i="12"/>
  <c r="L73" i="12"/>
  <c r="K73" i="12"/>
  <c r="L72" i="12"/>
  <c r="K72" i="12"/>
  <c r="L71" i="12"/>
  <c r="K71" i="12"/>
  <c r="L70" i="12"/>
  <c r="K70" i="12"/>
  <c r="L69" i="12"/>
  <c r="K69" i="12"/>
  <c r="L68" i="12"/>
  <c r="K68" i="12"/>
  <c r="L67" i="12"/>
  <c r="K67" i="12"/>
  <c r="L66" i="12"/>
  <c r="K66" i="12"/>
  <c r="L65" i="12"/>
  <c r="K65" i="12"/>
  <c r="L64" i="12"/>
  <c r="K64" i="12"/>
  <c r="L63" i="12"/>
  <c r="K63" i="12"/>
  <c r="L62" i="12"/>
  <c r="K62" i="12"/>
  <c r="L61" i="12"/>
  <c r="K61" i="12"/>
  <c r="L60" i="12"/>
  <c r="K60" i="12"/>
  <c r="L59" i="12"/>
  <c r="K59" i="12"/>
  <c r="L58" i="12"/>
  <c r="K58" i="12"/>
  <c r="L57" i="12"/>
  <c r="K57" i="12"/>
  <c r="L56" i="12"/>
  <c r="K56" i="12"/>
  <c r="L55" i="12"/>
  <c r="K55" i="12"/>
  <c r="L54" i="12"/>
  <c r="K54" i="12"/>
  <c r="L53" i="12"/>
  <c r="K53" i="12"/>
  <c r="L52" i="12"/>
  <c r="K52" i="12"/>
  <c r="L51" i="12"/>
  <c r="K51" i="12"/>
  <c r="L50" i="12"/>
  <c r="K50" i="12"/>
  <c r="L49" i="12"/>
  <c r="K49" i="12"/>
  <c r="L48" i="12"/>
  <c r="K48" i="12"/>
  <c r="L47" i="12"/>
  <c r="K47" i="12"/>
  <c r="L46" i="12"/>
  <c r="K46" i="12"/>
  <c r="L45" i="12"/>
  <c r="K45" i="12"/>
  <c r="L44" i="12"/>
  <c r="K44" i="12"/>
  <c r="L43" i="12"/>
  <c r="K43" i="12"/>
  <c r="L42" i="12"/>
  <c r="K42" i="12"/>
  <c r="L41" i="12"/>
  <c r="K41" i="12"/>
  <c r="L40" i="12"/>
  <c r="K40" i="12"/>
  <c r="L39" i="12"/>
  <c r="K39" i="12"/>
  <c r="L38" i="12"/>
  <c r="K38" i="12"/>
  <c r="L37" i="12"/>
  <c r="K37" i="12"/>
  <c r="L36" i="12"/>
  <c r="K36" i="12"/>
  <c r="L35" i="12"/>
  <c r="K35" i="12"/>
  <c r="L34" i="12"/>
  <c r="K34" i="12"/>
  <c r="L33" i="12"/>
  <c r="K33" i="12"/>
  <c r="L32" i="12"/>
  <c r="K32" i="12"/>
  <c r="L31" i="12"/>
  <c r="K31" i="12"/>
  <c r="L30" i="12"/>
  <c r="K30" i="12"/>
  <c r="L29" i="12"/>
  <c r="K29" i="12"/>
  <c r="L28" i="12"/>
  <c r="K28" i="12"/>
  <c r="L27" i="12"/>
  <c r="K27" i="12"/>
  <c r="L26" i="12"/>
  <c r="K26" i="12"/>
  <c r="L25" i="12"/>
  <c r="K25" i="12"/>
  <c r="L24" i="12"/>
  <c r="K24" i="12"/>
  <c r="L23" i="12"/>
  <c r="K23" i="12"/>
  <c r="L22" i="12"/>
  <c r="K22" i="12"/>
  <c r="L21" i="12"/>
  <c r="K21" i="12"/>
  <c r="L20" i="12"/>
  <c r="K20" i="12"/>
  <c r="L19" i="12"/>
  <c r="K19" i="12"/>
  <c r="L18" i="12"/>
  <c r="K18" i="12"/>
  <c r="L17" i="12"/>
  <c r="K17" i="12"/>
  <c r="L16" i="12"/>
  <c r="K16" i="12"/>
  <c r="L15" i="12"/>
  <c r="K15" i="12"/>
  <c r="L14" i="12"/>
  <c r="K14" i="12"/>
  <c r="L13" i="12"/>
  <c r="K13" i="12"/>
  <c r="L12" i="12"/>
  <c r="K12" i="12"/>
  <c r="L11" i="12"/>
  <c r="K11" i="12"/>
  <c r="L10" i="12"/>
  <c r="K10" i="12"/>
  <c r="L9" i="12"/>
  <c r="K9" i="12"/>
  <c r="L8" i="12"/>
  <c r="K8" i="12"/>
  <c r="L7" i="12"/>
  <c r="K7" i="12"/>
  <c r="L6" i="12"/>
  <c r="K6" i="12"/>
  <c r="L5" i="12"/>
  <c r="K5" i="12"/>
  <c r="L4" i="12"/>
  <c r="K4" i="12"/>
  <c r="D8" i="2"/>
  <c r="F13" i="1" l="1"/>
  <c r="B267" i="12"/>
  <c r="B249" i="12"/>
  <c r="B261" i="12"/>
  <c r="B276" i="12"/>
  <c r="B288" i="12"/>
  <c r="B241" i="12"/>
  <c r="B253" i="12"/>
  <c r="B256" i="12"/>
  <c r="B262" i="12"/>
  <c r="B265" i="12"/>
  <c r="B268" i="12"/>
  <c r="B271" i="12"/>
  <c r="B274" i="12"/>
  <c r="B277" i="12"/>
  <c r="B280" i="12"/>
  <c r="B283" i="12"/>
  <c r="B286" i="12"/>
  <c r="B289" i="12"/>
  <c r="I2" i="12"/>
  <c r="D19" i="4" s="1"/>
  <c r="B279" i="12"/>
  <c r="B240" i="12"/>
  <c r="B252" i="12"/>
  <c r="B264" i="12"/>
  <c r="B282" i="12"/>
  <c r="B244" i="12"/>
  <c r="B239" i="12"/>
  <c r="C239" i="12" s="1"/>
  <c r="B242" i="12"/>
  <c r="B245" i="12"/>
  <c r="B248" i="12"/>
  <c r="B251" i="12"/>
  <c r="B254" i="12"/>
  <c r="B257" i="12"/>
  <c r="B260" i="12"/>
  <c r="B263" i="12"/>
  <c r="B266" i="12"/>
  <c r="B269" i="12"/>
  <c r="B272" i="12"/>
  <c r="B275" i="12"/>
  <c r="B278" i="12"/>
  <c r="B281" i="12"/>
  <c r="B284" i="12"/>
  <c r="B287" i="12"/>
  <c r="B290" i="12"/>
  <c r="B243" i="12"/>
  <c r="B255" i="12"/>
  <c r="B270" i="12"/>
  <c r="B291" i="12"/>
  <c r="B247" i="12"/>
  <c r="B259" i="12"/>
  <c r="B246" i="12"/>
  <c r="B258" i="12"/>
  <c r="B273" i="12"/>
  <c r="B285" i="12"/>
  <c r="I10" i="12"/>
  <c r="C6" i="9" s="1"/>
  <c r="F14" i="1"/>
  <c r="G7" i="3"/>
  <c r="C8" i="9"/>
  <c r="D24" i="4" l="1"/>
  <c r="D8" i="4"/>
  <c r="D22" i="5"/>
  <c r="D10" i="5"/>
  <c r="D5" i="4"/>
  <c r="D6" i="4" s="1"/>
  <c r="D31" i="4"/>
  <c r="D15" i="3"/>
  <c r="D16" i="3"/>
  <c r="D14" i="3"/>
  <c r="D9" i="4"/>
  <c r="D20" i="5"/>
  <c r="D25" i="4"/>
  <c r="D17" i="4"/>
  <c r="D26" i="4"/>
  <c r="D29" i="3"/>
  <c r="D28" i="4"/>
  <c r="D8" i="5"/>
  <c r="D6" i="5"/>
  <c r="D16" i="5"/>
  <c r="D29" i="4"/>
  <c r="D13" i="4"/>
  <c r="D12" i="5"/>
  <c r="D33" i="4"/>
  <c r="D26" i="3"/>
  <c r="D23" i="4"/>
  <c r="D22" i="3" s="1"/>
  <c r="D18" i="3"/>
  <c r="D5" i="5"/>
  <c r="D35" i="4"/>
  <c r="D7" i="4"/>
  <c r="D15" i="4"/>
  <c r="D19" i="5"/>
  <c r="D27" i="3"/>
  <c r="D27" i="4"/>
  <c r="D18" i="5"/>
  <c r="D30" i="4"/>
  <c r="D15" i="5"/>
  <c r="D16" i="4"/>
  <c r="D20" i="4"/>
  <c r="D11" i="5"/>
  <c r="D7" i="5"/>
  <c r="D13" i="3"/>
  <c r="C11" i="9" s="1"/>
  <c r="D18" i="4"/>
  <c r="D239" i="12"/>
  <c r="E239" i="12"/>
  <c r="C240" i="12" s="1"/>
  <c r="E240" i="12" s="1"/>
  <c r="C241" i="12" s="1"/>
  <c r="E241" i="12" s="1"/>
  <c r="C242" i="12" s="1"/>
  <c r="E242" i="12" s="1"/>
  <c r="C243" i="12" s="1"/>
  <c r="E243" i="12" s="1"/>
  <c r="C244" i="12" s="1"/>
  <c r="E244" i="12" s="1"/>
  <c r="C245" i="12" s="1"/>
  <c r="E245" i="12" s="1"/>
  <c r="C246" i="12" s="1"/>
  <c r="E246" i="12" s="1"/>
  <c r="C247" i="12" s="1"/>
  <c r="E247" i="12" s="1"/>
  <c r="C248" i="12" s="1"/>
  <c r="E248" i="12" s="1"/>
  <c r="C249" i="12" s="1"/>
  <c r="E249" i="12" s="1"/>
  <c r="C250" i="12" s="1"/>
  <c r="E250" i="12" s="1"/>
  <c r="C251" i="12" s="1"/>
  <c r="E251" i="12" s="1"/>
  <c r="C252" i="12" s="1"/>
  <c r="E252" i="12" s="1"/>
  <c r="C253" i="12" s="1"/>
  <c r="E253" i="12" s="1"/>
  <c r="C254" i="12" s="1"/>
  <c r="E254" i="12" s="1"/>
  <c r="C255" i="12" s="1"/>
  <c r="E255" i="12" s="1"/>
  <c r="C256" i="12" s="1"/>
  <c r="E256" i="12" s="1"/>
  <c r="C257" i="12" s="1"/>
  <c r="E257" i="12" s="1"/>
  <c r="C258" i="12" s="1"/>
  <c r="E258" i="12" s="1"/>
  <c r="C259" i="12" s="1"/>
  <c r="E259" i="12" s="1"/>
  <c r="C260" i="12" s="1"/>
  <c r="E260" i="12" s="1"/>
  <c r="C261" i="12" s="1"/>
  <c r="E261" i="12" s="1"/>
  <c r="C262" i="12" s="1"/>
  <c r="E262" i="12" s="1"/>
  <c r="C263" i="12" s="1"/>
  <c r="E263" i="12" s="1"/>
  <c r="C264" i="12" s="1"/>
  <c r="E264" i="12" s="1"/>
  <c r="C265" i="12" s="1"/>
  <c r="E265" i="12" s="1"/>
  <c r="C266" i="12" s="1"/>
  <c r="E266" i="12" s="1"/>
  <c r="C267" i="12" s="1"/>
  <c r="E267" i="12" s="1"/>
  <c r="C268" i="12" s="1"/>
  <c r="E268" i="12" s="1"/>
  <c r="C269" i="12" s="1"/>
  <c r="E269" i="12" s="1"/>
  <c r="C270" i="12" s="1"/>
  <c r="E270" i="12" s="1"/>
  <c r="C271" i="12" s="1"/>
  <c r="E271" i="12" s="1"/>
  <c r="C272" i="12" s="1"/>
  <c r="E272" i="12" s="1"/>
  <c r="C273" i="12" s="1"/>
  <c r="E273" i="12" s="1"/>
  <c r="C274" i="12" s="1"/>
  <c r="E274" i="12" s="1"/>
  <c r="C275" i="12" s="1"/>
  <c r="E275" i="12" s="1"/>
  <c r="C276" i="12" s="1"/>
  <c r="E276" i="12" s="1"/>
  <c r="C277" i="12" s="1"/>
  <c r="E277" i="12" s="1"/>
  <c r="C278" i="12" s="1"/>
  <c r="E278" i="12" s="1"/>
  <c r="C279" i="12" s="1"/>
  <c r="E279" i="12" s="1"/>
  <c r="C280" i="12" s="1"/>
  <c r="E280" i="12" s="1"/>
  <c r="C281" i="12" s="1"/>
  <c r="E281" i="12" s="1"/>
  <c r="C282" i="12" s="1"/>
  <c r="E282" i="12" s="1"/>
  <c r="C283" i="12" s="1"/>
  <c r="E283" i="12" s="1"/>
  <c r="C284" i="12" s="1"/>
  <c r="E284" i="12" s="1"/>
  <c r="C285" i="12" s="1"/>
  <c r="E285" i="12" s="1"/>
  <c r="C286" i="12" s="1"/>
  <c r="E286" i="12" s="1"/>
  <c r="C287" i="12" s="1"/>
  <c r="E287" i="12" s="1"/>
  <c r="C288" i="12" s="1"/>
  <c r="E288" i="12" s="1"/>
  <c r="C289" i="12" s="1"/>
  <c r="E289" i="12" s="1"/>
  <c r="C290" i="12" s="1"/>
  <c r="E290" i="12" s="1"/>
  <c r="C291" i="12" s="1"/>
  <c r="E291" i="12" s="1"/>
  <c r="C292" i="12" s="1"/>
  <c r="E292" i="12" s="1"/>
  <c r="D12" i="4"/>
  <c r="D14" i="4"/>
  <c r="D32" i="4"/>
  <c r="D34" i="4"/>
  <c r="E121" i="12" l="1"/>
  <c r="D26" i="5"/>
  <c r="C5" i="12" s="1"/>
  <c r="D23" i="5"/>
  <c r="D29" i="5" s="1"/>
  <c r="D9" i="5"/>
  <c r="D10" i="4"/>
  <c r="C15" i="9" s="1"/>
  <c r="D24" i="5"/>
  <c r="D25" i="5" s="1"/>
  <c r="B121" i="12"/>
  <c r="B175" i="12" s="1"/>
  <c r="D17" i="5"/>
  <c r="D21" i="5"/>
  <c r="D240" i="12"/>
  <c r="D241" i="12" s="1"/>
  <c r="D242" i="12" s="1"/>
  <c r="D243" i="12" s="1"/>
  <c r="D244" i="12" s="1"/>
  <c r="D245" i="12" s="1"/>
  <c r="D246" i="12" s="1"/>
  <c r="D247" i="12" s="1"/>
  <c r="D248" i="12" s="1"/>
  <c r="D249" i="12" s="1"/>
  <c r="D250" i="12" s="1"/>
  <c r="D251" i="12" s="1"/>
  <c r="D252" i="12" s="1"/>
  <c r="D253" i="12" s="1"/>
  <c r="D254" i="12" s="1"/>
  <c r="D255" i="12" s="1"/>
  <c r="D256" i="12" s="1"/>
  <c r="D257" i="12" s="1"/>
  <c r="D258" i="12" s="1"/>
  <c r="D259" i="12" s="1"/>
  <c r="D260" i="12" s="1"/>
  <c r="D261" i="12" s="1"/>
  <c r="D262" i="12" s="1"/>
  <c r="D263" i="12" s="1"/>
  <c r="D264" i="12" s="1"/>
  <c r="D265" i="12" s="1"/>
  <c r="D266" i="12" s="1"/>
  <c r="D267" i="12" s="1"/>
  <c r="D268" i="12" s="1"/>
  <c r="D269" i="12" s="1"/>
  <c r="D270" i="12" s="1"/>
  <c r="D271" i="12" s="1"/>
  <c r="D272" i="12" s="1"/>
  <c r="D273" i="12" s="1"/>
  <c r="D274" i="12" s="1"/>
  <c r="D275" i="12" s="1"/>
  <c r="D276" i="12" s="1"/>
  <c r="D277" i="12" s="1"/>
  <c r="D278" i="12" s="1"/>
  <c r="D279" i="12" s="1"/>
  <c r="D280" i="12" s="1"/>
  <c r="D281" i="12" s="1"/>
  <c r="D282" i="12" s="1"/>
  <c r="D283" i="12" s="1"/>
  <c r="D284" i="12" s="1"/>
  <c r="D285" i="12" s="1"/>
  <c r="D286" i="12" s="1"/>
  <c r="D287" i="12" s="1"/>
  <c r="D288" i="12" s="1"/>
  <c r="D289" i="12" s="1"/>
  <c r="D290" i="12" s="1"/>
  <c r="D291" i="12" s="1"/>
  <c r="B292" i="12" s="1"/>
  <c r="C17" i="9" l="1"/>
  <c r="D20" i="3"/>
  <c r="C20" i="9"/>
  <c r="D22" i="4"/>
  <c r="D27" i="5"/>
  <c r="F5" i="12" s="1"/>
  <c r="C19" i="9"/>
  <c r="D21" i="4"/>
  <c r="B5" i="12"/>
  <c r="B48" i="12" s="1"/>
  <c r="B131" i="12"/>
  <c r="B143" i="12"/>
  <c r="B165" i="12"/>
  <c r="B168" i="12"/>
  <c r="B155" i="12"/>
  <c r="B134" i="12"/>
  <c r="B138" i="12"/>
  <c r="B148" i="12"/>
  <c r="B170" i="12"/>
  <c r="B145" i="12"/>
  <c r="B123" i="12"/>
  <c r="C123" i="12" s="1"/>
  <c r="E123" i="12" s="1"/>
  <c r="B126" i="12"/>
  <c r="B135" i="12"/>
  <c r="B147" i="12"/>
  <c r="B149" i="12"/>
  <c r="B154" i="12"/>
  <c r="B153" i="12"/>
  <c r="B140" i="12"/>
  <c r="B159" i="12"/>
  <c r="B160" i="12"/>
  <c r="B133" i="12"/>
  <c r="B158" i="12"/>
  <c r="B136" i="12"/>
  <c r="B142" i="12"/>
  <c r="B146" i="12"/>
  <c r="B137" i="12"/>
  <c r="B151" i="12"/>
  <c r="B150" i="12"/>
  <c r="B128" i="12"/>
  <c r="B157" i="12"/>
  <c r="B161" i="12"/>
  <c r="B162" i="12"/>
  <c r="B163" i="12"/>
  <c r="B174" i="12"/>
  <c r="B172" i="12"/>
  <c r="B171" i="12"/>
  <c r="B173" i="12"/>
  <c r="B129" i="12"/>
  <c r="B125" i="12"/>
  <c r="B132" i="12"/>
  <c r="B124" i="12"/>
  <c r="D11" i="4"/>
  <c r="B152" i="12"/>
  <c r="B141" i="12"/>
  <c r="B127" i="12"/>
  <c r="B166" i="12"/>
  <c r="B164" i="12"/>
  <c r="B144" i="12"/>
  <c r="B130" i="12"/>
  <c r="B169" i="12"/>
  <c r="B167" i="12"/>
  <c r="B156" i="12"/>
  <c r="B139" i="12"/>
  <c r="D292" i="12"/>
  <c r="F292" i="12"/>
  <c r="G237" i="12" s="1"/>
  <c r="E5" i="12" l="1"/>
  <c r="D36" i="4"/>
  <c r="B63" i="12" s="1"/>
  <c r="B114" i="12" s="1"/>
  <c r="D5" i="12"/>
  <c r="B44" i="12"/>
  <c r="B10" i="12"/>
  <c r="D28" i="5"/>
  <c r="I5" i="12" s="1"/>
  <c r="B53" i="12"/>
  <c r="B31" i="12"/>
  <c r="B42" i="12"/>
  <c r="B17" i="12"/>
  <c r="B28" i="12"/>
  <c r="B57" i="12"/>
  <c r="B54" i="12"/>
  <c r="B12" i="12"/>
  <c r="B11" i="12"/>
  <c r="B40" i="12"/>
  <c r="B46" i="12"/>
  <c r="B51" i="12"/>
  <c r="B19" i="12"/>
  <c r="B23" i="12"/>
  <c r="B50" i="12"/>
  <c r="B32" i="12"/>
  <c r="B16" i="12"/>
  <c r="B58" i="12"/>
  <c r="B56" i="12"/>
  <c r="B9" i="12"/>
  <c r="B25" i="12"/>
  <c r="B15" i="12"/>
  <c r="B24" i="12"/>
  <c r="B14" i="12"/>
  <c r="B22" i="12"/>
  <c r="B38" i="12"/>
  <c r="B30" i="12"/>
  <c r="B29" i="12"/>
  <c r="B49" i="12"/>
  <c r="B18" i="12"/>
  <c r="B27" i="12"/>
  <c r="B34" i="12"/>
  <c r="B26" i="12"/>
  <c r="B21" i="12"/>
  <c r="B35" i="12"/>
  <c r="B52" i="12"/>
  <c r="B33" i="12"/>
  <c r="B8" i="12"/>
  <c r="B41" i="12"/>
  <c r="B43" i="12"/>
  <c r="B36" i="12"/>
  <c r="B37" i="12"/>
  <c r="B13" i="12"/>
  <c r="B55" i="12"/>
  <c r="B47" i="12"/>
  <c r="B39" i="12"/>
  <c r="B7" i="12"/>
  <c r="C7" i="12" s="1"/>
  <c r="B45" i="12"/>
  <c r="B20" i="12"/>
  <c r="B59" i="12"/>
  <c r="C124" i="12"/>
  <c r="E124" i="12" s="1"/>
  <c r="C125" i="12" s="1"/>
  <c r="E125" i="12" s="1"/>
  <c r="C126" i="12" s="1"/>
  <c r="E126" i="12" s="1"/>
  <c r="C127" i="12" s="1"/>
  <c r="E127" i="12" s="1"/>
  <c r="C128" i="12" s="1"/>
  <c r="E128" i="12" s="1"/>
  <c r="C129" i="12" s="1"/>
  <c r="E129" i="12" s="1"/>
  <c r="C130" i="12" s="1"/>
  <c r="E130" i="12" s="1"/>
  <c r="C131" i="12" s="1"/>
  <c r="E131" i="12" s="1"/>
  <c r="C132" i="12" s="1"/>
  <c r="E132" i="12" s="1"/>
  <c r="C133" i="12" s="1"/>
  <c r="E133" i="12" s="1"/>
  <c r="C134" i="12" s="1"/>
  <c r="E134" i="12" s="1"/>
  <c r="C135" i="12" s="1"/>
  <c r="E135" i="12" s="1"/>
  <c r="C136" i="12" s="1"/>
  <c r="E136" i="12" s="1"/>
  <c r="C137" i="12" s="1"/>
  <c r="E137" i="12" s="1"/>
  <c r="C138" i="12" s="1"/>
  <c r="E138" i="12" s="1"/>
  <c r="C139" i="12" s="1"/>
  <c r="E139" i="12" s="1"/>
  <c r="C140" i="12" s="1"/>
  <c r="E140" i="12" s="1"/>
  <c r="C141" i="12" s="1"/>
  <c r="E141" i="12" s="1"/>
  <c r="C142" i="12" s="1"/>
  <c r="E142" i="12" s="1"/>
  <c r="C143" i="12" s="1"/>
  <c r="E143" i="12" s="1"/>
  <c r="C144" i="12" s="1"/>
  <c r="E144" i="12" s="1"/>
  <c r="C145" i="12" s="1"/>
  <c r="E145" i="12" s="1"/>
  <c r="C146" i="12" s="1"/>
  <c r="E146" i="12" s="1"/>
  <c r="C147" i="12" s="1"/>
  <c r="E147" i="12" s="1"/>
  <c r="C148" i="12" s="1"/>
  <c r="E148" i="12" s="1"/>
  <c r="C149" i="12" s="1"/>
  <c r="E149" i="12" s="1"/>
  <c r="C150" i="12" s="1"/>
  <c r="E150" i="12" s="1"/>
  <c r="C151" i="12" s="1"/>
  <c r="E151" i="12" s="1"/>
  <c r="C152" i="12" s="1"/>
  <c r="E152" i="12" s="1"/>
  <c r="C153" i="12" s="1"/>
  <c r="E153" i="12" s="1"/>
  <c r="C154" i="12" s="1"/>
  <c r="E154" i="12" s="1"/>
  <c r="C155" i="12" s="1"/>
  <c r="E155" i="12" s="1"/>
  <c r="C156" i="12" s="1"/>
  <c r="E156" i="12" s="1"/>
  <c r="C157" i="12" s="1"/>
  <c r="E157" i="12" s="1"/>
  <c r="C158" i="12" s="1"/>
  <c r="E158" i="12" s="1"/>
  <c r="C159" i="12" s="1"/>
  <c r="E159" i="12" s="1"/>
  <c r="C160" i="12" s="1"/>
  <c r="E160" i="12" s="1"/>
  <c r="C161" i="12" s="1"/>
  <c r="E161" i="12" s="1"/>
  <c r="C162" i="12" s="1"/>
  <c r="E162" i="12" s="1"/>
  <c r="C163" i="12" s="1"/>
  <c r="E163" i="12" s="1"/>
  <c r="C164" i="12" s="1"/>
  <c r="E164" i="12" s="1"/>
  <c r="C165" i="12" s="1"/>
  <c r="E165" i="12" s="1"/>
  <c r="C166" i="12" s="1"/>
  <c r="E166" i="12" s="1"/>
  <c r="C167" i="12" s="1"/>
  <c r="E167" i="12" s="1"/>
  <c r="C168" i="12" s="1"/>
  <c r="E168" i="12" s="1"/>
  <c r="C169" i="12" s="1"/>
  <c r="E169" i="12" s="1"/>
  <c r="C170" i="12" s="1"/>
  <c r="E170" i="12" s="1"/>
  <c r="C171" i="12" s="1"/>
  <c r="E171" i="12" s="1"/>
  <c r="C172" i="12" s="1"/>
  <c r="E172" i="12" s="1"/>
  <c r="C173" i="12" s="1"/>
  <c r="E173" i="12" s="1"/>
  <c r="C174" i="12" s="1"/>
  <c r="E174" i="12" s="1"/>
  <c r="C175" i="12" s="1"/>
  <c r="E175" i="12" s="1"/>
  <c r="C176" i="12" s="1"/>
  <c r="E176" i="12" s="1"/>
  <c r="D123" i="12"/>
  <c r="B113" i="12" l="1"/>
  <c r="B110" i="12"/>
  <c r="B104" i="12"/>
  <c r="B93" i="12"/>
  <c r="B78" i="12"/>
  <c r="B87" i="12"/>
  <c r="B66" i="12"/>
  <c r="B67" i="12"/>
  <c r="B84" i="12"/>
  <c r="B115" i="12"/>
  <c r="B100" i="12"/>
  <c r="B79" i="12"/>
  <c r="B98" i="12"/>
  <c r="B81" i="12"/>
  <c r="B82" i="12"/>
  <c r="B88" i="12"/>
  <c r="B72" i="12"/>
  <c r="B70" i="12"/>
  <c r="B102" i="12"/>
  <c r="E63" i="12"/>
  <c r="B117" i="12"/>
  <c r="B97" i="12"/>
  <c r="B105" i="12"/>
  <c r="B96" i="12"/>
  <c r="B73" i="12"/>
  <c r="B103" i="12"/>
  <c r="B116" i="12"/>
  <c r="B71" i="12"/>
  <c r="B76" i="12"/>
  <c r="B94" i="12"/>
  <c r="B109" i="12"/>
  <c r="B106" i="12"/>
  <c r="B65" i="12"/>
  <c r="C65" i="12" s="1"/>
  <c r="D65" i="12" s="1"/>
  <c r="B80" i="12"/>
  <c r="B83" i="12"/>
  <c r="B77" i="12"/>
  <c r="B90" i="12"/>
  <c r="B69" i="12"/>
  <c r="B99" i="12"/>
  <c r="B89" i="12"/>
  <c r="B101" i="12"/>
  <c r="B68" i="12"/>
  <c r="E7" i="12"/>
  <c r="C8" i="12" s="1"/>
  <c r="E8" i="12" s="1"/>
  <c r="C9" i="12" s="1"/>
  <c r="E9" i="12" s="1"/>
  <c r="C10" i="12" s="1"/>
  <c r="E10" i="12" s="1"/>
  <c r="C11" i="12" s="1"/>
  <c r="E11" i="12" s="1"/>
  <c r="C12" i="12" s="1"/>
  <c r="E12" i="12" s="1"/>
  <c r="C13" i="12" s="1"/>
  <c r="E13" i="12" s="1"/>
  <c r="C14" i="12" s="1"/>
  <c r="E14" i="12" s="1"/>
  <c r="C15" i="12" s="1"/>
  <c r="E15" i="12" s="1"/>
  <c r="C16" i="12" s="1"/>
  <c r="E16" i="12" s="1"/>
  <c r="C17" i="12" s="1"/>
  <c r="E17" i="12" s="1"/>
  <c r="C18" i="12" s="1"/>
  <c r="E18" i="12" s="1"/>
  <c r="C19" i="12" s="1"/>
  <c r="E19" i="12" s="1"/>
  <c r="C20" i="12" s="1"/>
  <c r="E20" i="12" s="1"/>
  <c r="C21" i="12" s="1"/>
  <c r="E21" i="12" s="1"/>
  <c r="C22" i="12" s="1"/>
  <c r="E22" i="12" s="1"/>
  <c r="C23" i="12" s="1"/>
  <c r="E23" i="12" s="1"/>
  <c r="C24" i="12" s="1"/>
  <c r="E24" i="12" s="1"/>
  <c r="C25" i="12" s="1"/>
  <c r="E25" i="12" s="1"/>
  <c r="C26" i="12" s="1"/>
  <c r="E26" i="12" s="1"/>
  <c r="C27" i="12" s="1"/>
  <c r="E27" i="12" s="1"/>
  <c r="C28" i="12" s="1"/>
  <c r="E28" i="12" s="1"/>
  <c r="C29" i="12" s="1"/>
  <c r="E29" i="12" s="1"/>
  <c r="C30" i="12" s="1"/>
  <c r="E30" i="12" s="1"/>
  <c r="C31" i="12" s="1"/>
  <c r="E31" i="12" s="1"/>
  <c r="C32" i="12" s="1"/>
  <c r="E32" i="12" s="1"/>
  <c r="C33" i="12" s="1"/>
  <c r="E33" i="12" s="1"/>
  <c r="C34" i="12" s="1"/>
  <c r="E34" i="12" s="1"/>
  <c r="C35" i="12" s="1"/>
  <c r="E35" i="12" s="1"/>
  <c r="C36" i="12" s="1"/>
  <c r="E36" i="12" s="1"/>
  <c r="C37" i="12" s="1"/>
  <c r="E37" i="12" s="1"/>
  <c r="C38" i="12" s="1"/>
  <c r="E38" i="12" s="1"/>
  <c r="C39" i="12" s="1"/>
  <c r="E39" i="12" s="1"/>
  <c r="C40" i="12" s="1"/>
  <c r="E40" i="12" s="1"/>
  <c r="C41" i="12" s="1"/>
  <c r="E41" i="12" s="1"/>
  <c r="C42" i="12" s="1"/>
  <c r="E42" i="12" s="1"/>
  <c r="C43" i="12" s="1"/>
  <c r="E43" i="12" s="1"/>
  <c r="C44" i="12" s="1"/>
  <c r="E44" i="12" s="1"/>
  <c r="C45" i="12" s="1"/>
  <c r="E45" i="12" s="1"/>
  <c r="C46" i="12" s="1"/>
  <c r="E46" i="12" s="1"/>
  <c r="C47" i="12" s="1"/>
  <c r="E47" i="12" s="1"/>
  <c r="C48" i="12" s="1"/>
  <c r="E48" i="12" s="1"/>
  <c r="C49" i="12" s="1"/>
  <c r="E49" i="12" s="1"/>
  <c r="C50" i="12" s="1"/>
  <c r="E50" i="12" s="1"/>
  <c r="C51" i="12" s="1"/>
  <c r="E51" i="12" s="1"/>
  <c r="C52" i="12" s="1"/>
  <c r="E52" i="12" s="1"/>
  <c r="C53" i="12" s="1"/>
  <c r="E53" i="12" s="1"/>
  <c r="C54" i="12" s="1"/>
  <c r="E54" i="12" s="1"/>
  <c r="C55" i="12" s="1"/>
  <c r="E55" i="12" s="1"/>
  <c r="C56" i="12" s="1"/>
  <c r="E56" i="12" s="1"/>
  <c r="C57" i="12" s="1"/>
  <c r="E57" i="12" s="1"/>
  <c r="C58" i="12" s="1"/>
  <c r="E58" i="12" s="1"/>
  <c r="C59" i="12" s="1"/>
  <c r="E59" i="12" s="1"/>
  <c r="C60" i="12" s="1"/>
  <c r="E60" i="12" s="1"/>
  <c r="B91" i="12"/>
  <c r="B92" i="12"/>
  <c r="B95" i="12"/>
  <c r="B86" i="12"/>
  <c r="B111" i="12"/>
  <c r="B112" i="12"/>
  <c r="B107" i="12"/>
  <c r="B74" i="12"/>
  <c r="B108" i="12"/>
  <c r="B85" i="12"/>
  <c r="B75" i="12"/>
  <c r="D7" i="12"/>
  <c r="D124" i="12"/>
  <c r="D125" i="12" s="1"/>
  <c r="D126" i="12" s="1"/>
  <c r="D127" i="12" s="1"/>
  <c r="D128" i="12" s="1"/>
  <c r="D129" i="12" s="1"/>
  <c r="D130" i="12" s="1"/>
  <c r="D131" i="12" s="1"/>
  <c r="D132" i="12" s="1"/>
  <c r="D133" i="12" s="1"/>
  <c r="D134" i="12" s="1"/>
  <c r="D135" i="12" s="1"/>
  <c r="D136" i="12" s="1"/>
  <c r="D137" i="12" s="1"/>
  <c r="D138" i="12" s="1"/>
  <c r="D139" i="12" s="1"/>
  <c r="D140" i="12" s="1"/>
  <c r="D141" i="12" s="1"/>
  <c r="D142" i="12" s="1"/>
  <c r="D143" i="12" s="1"/>
  <c r="D144" i="12" s="1"/>
  <c r="D145" i="12" s="1"/>
  <c r="D146" i="12" s="1"/>
  <c r="D147" i="12" s="1"/>
  <c r="D148" i="12" s="1"/>
  <c r="D149" i="12" s="1"/>
  <c r="D150" i="12" s="1"/>
  <c r="D151" i="12" s="1"/>
  <c r="D152" i="12" s="1"/>
  <c r="D153" i="12" s="1"/>
  <c r="D154" i="12" s="1"/>
  <c r="D155" i="12" s="1"/>
  <c r="D156" i="12" s="1"/>
  <c r="D157" i="12" s="1"/>
  <c r="D158" i="12" s="1"/>
  <c r="D159" i="12" s="1"/>
  <c r="D160" i="12" s="1"/>
  <c r="D161" i="12" s="1"/>
  <c r="D162" i="12" s="1"/>
  <c r="D163" i="12" s="1"/>
  <c r="D164" i="12" s="1"/>
  <c r="D165" i="12" s="1"/>
  <c r="D166" i="12" s="1"/>
  <c r="D167" i="12" s="1"/>
  <c r="D168" i="12" s="1"/>
  <c r="D169" i="12" s="1"/>
  <c r="D170" i="12" s="1"/>
  <c r="D171" i="12" s="1"/>
  <c r="D172" i="12" s="1"/>
  <c r="D173" i="12" s="1"/>
  <c r="D174" i="12" s="1"/>
  <c r="D175" i="12" s="1"/>
  <c r="B176" i="12" s="1"/>
  <c r="D28" i="3" s="1"/>
  <c r="E65" i="12" l="1"/>
  <c r="C66" i="12" s="1"/>
  <c r="E66" i="12" s="1"/>
  <c r="C67" i="12" s="1"/>
  <c r="E67" i="12" s="1"/>
  <c r="C68" i="12" s="1"/>
  <c r="E68" i="12" s="1"/>
  <c r="C69" i="12" s="1"/>
  <c r="E69" i="12" s="1"/>
  <c r="C70" i="12" s="1"/>
  <c r="E70" i="12" s="1"/>
  <c r="C71" i="12" s="1"/>
  <c r="E71" i="12" s="1"/>
  <c r="C72" i="12" s="1"/>
  <c r="E72" i="12" s="1"/>
  <c r="C73" i="12" s="1"/>
  <c r="E73" i="12" s="1"/>
  <c r="C74" i="12" s="1"/>
  <c r="E74" i="12" s="1"/>
  <c r="C75" i="12" s="1"/>
  <c r="E75" i="12" s="1"/>
  <c r="C76" i="12" s="1"/>
  <c r="E76" i="12" s="1"/>
  <c r="C77" i="12" s="1"/>
  <c r="E77" i="12" s="1"/>
  <c r="C78" i="12" s="1"/>
  <c r="E78" i="12" s="1"/>
  <c r="C79" i="12" s="1"/>
  <c r="E79" i="12" s="1"/>
  <c r="C80" i="12" s="1"/>
  <c r="E80" i="12" s="1"/>
  <c r="C81" i="12" s="1"/>
  <c r="E81" i="12" s="1"/>
  <c r="C82" i="12" s="1"/>
  <c r="E82" i="12" s="1"/>
  <c r="C83" i="12" s="1"/>
  <c r="E83" i="12" s="1"/>
  <c r="C84" i="12" s="1"/>
  <c r="E84" i="12" s="1"/>
  <c r="C85" i="12" s="1"/>
  <c r="E85" i="12" s="1"/>
  <c r="C86" i="12" s="1"/>
  <c r="E86" i="12" s="1"/>
  <c r="C87" i="12" s="1"/>
  <c r="E87" i="12" s="1"/>
  <c r="C88" i="12" s="1"/>
  <c r="E88" i="12" s="1"/>
  <c r="C89" i="12" s="1"/>
  <c r="E89" i="12" s="1"/>
  <c r="C90" i="12" s="1"/>
  <c r="E90" i="12" s="1"/>
  <c r="C91" i="12" s="1"/>
  <c r="E91" i="12" s="1"/>
  <c r="C92" i="12" s="1"/>
  <c r="E92" i="12" s="1"/>
  <c r="C93" i="12" s="1"/>
  <c r="E93" i="12" s="1"/>
  <c r="C94" i="12" s="1"/>
  <c r="E94" i="12" s="1"/>
  <c r="C95" i="12" s="1"/>
  <c r="E95" i="12" s="1"/>
  <c r="C96" i="12" s="1"/>
  <c r="E96" i="12" s="1"/>
  <c r="C97" i="12" s="1"/>
  <c r="E97" i="12" s="1"/>
  <c r="C98" i="12" s="1"/>
  <c r="E98" i="12" s="1"/>
  <c r="C99" i="12" s="1"/>
  <c r="E99" i="12" s="1"/>
  <c r="C100" i="12" s="1"/>
  <c r="E100" i="12" s="1"/>
  <c r="C101" i="12" s="1"/>
  <c r="E101" i="12" s="1"/>
  <c r="C102" i="12" s="1"/>
  <c r="E102" i="12" s="1"/>
  <c r="C103" i="12" s="1"/>
  <c r="E103" i="12" s="1"/>
  <c r="C104" i="12" s="1"/>
  <c r="E104" i="12" s="1"/>
  <c r="C105" i="12" s="1"/>
  <c r="E105" i="12" s="1"/>
  <c r="C106" i="12" s="1"/>
  <c r="E106" i="12" s="1"/>
  <c r="C107" i="12" s="1"/>
  <c r="E107" i="12" s="1"/>
  <c r="C108" i="12" s="1"/>
  <c r="E108" i="12" s="1"/>
  <c r="C109" i="12" s="1"/>
  <c r="E109" i="12" s="1"/>
  <c r="C110" i="12" s="1"/>
  <c r="E110" i="12" s="1"/>
  <c r="C111" i="12" s="1"/>
  <c r="E111" i="12" s="1"/>
  <c r="C112" i="12" s="1"/>
  <c r="E112" i="12" s="1"/>
  <c r="C113" i="12" s="1"/>
  <c r="E113" i="12" s="1"/>
  <c r="C114" i="12" s="1"/>
  <c r="E114" i="12" s="1"/>
  <c r="C115" i="12" s="1"/>
  <c r="E115" i="12" s="1"/>
  <c r="C116" i="12" s="1"/>
  <c r="E116" i="12" s="1"/>
  <c r="C117" i="12" s="1"/>
  <c r="E117" i="12" s="1"/>
  <c r="C118" i="12" s="1"/>
  <c r="E118" i="12" s="1"/>
  <c r="D8" i="12"/>
  <c r="D9" i="12" s="1"/>
  <c r="D10" i="12" s="1"/>
  <c r="D11" i="12" s="1"/>
  <c r="D12" i="12" s="1"/>
  <c r="D13" i="12" s="1"/>
  <c r="D14" i="12" s="1"/>
  <c r="D15" i="12" s="1"/>
  <c r="D16" i="12" s="1"/>
  <c r="D17" i="12" s="1"/>
  <c r="D18" i="12" s="1"/>
  <c r="D19" i="12" s="1"/>
  <c r="D20" i="12" s="1"/>
  <c r="D21" i="12" s="1"/>
  <c r="D22" i="12" s="1"/>
  <c r="D23" i="12" s="1"/>
  <c r="D24" i="12" s="1"/>
  <c r="D25" i="12" s="1"/>
  <c r="D26" i="12" s="1"/>
  <c r="D27" i="12" s="1"/>
  <c r="D28" i="12" s="1"/>
  <c r="D29" i="12" s="1"/>
  <c r="D30" i="12" s="1"/>
  <c r="D31" i="12" s="1"/>
  <c r="D32" i="12" s="1"/>
  <c r="D33" i="12" s="1"/>
  <c r="D34" i="12" s="1"/>
  <c r="D35" i="12" s="1"/>
  <c r="D36" i="12" s="1"/>
  <c r="D37" i="12" s="1"/>
  <c r="D38" i="12" s="1"/>
  <c r="D39" i="12" s="1"/>
  <c r="D40" i="12" s="1"/>
  <c r="D41" i="12" s="1"/>
  <c r="D42" i="12" s="1"/>
  <c r="D43" i="12" s="1"/>
  <c r="D44" i="12" s="1"/>
  <c r="D45" i="12" s="1"/>
  <c r="D46" i="12" s="1"/>
  <c r="D47" i="12" s="1"/>
  <c r="D48" i="12" s="1"/>
  <c r="D49" i="12" s="1"/>
  <c r="D50" i="12" s="1"/>
  <c r="D51" i="12" s="1"/>
  <c r="D52" i="12" s="1"/>
  <c r="D53" i="12" s="1"/>
  <c r="D54" i="12" s="1"/>
  <c r="D55" i="12" s="1"/>
  <c r="D56" i="12" s="1"/>
  <c r="D57" i="12" s="1"/>
  <c r="D58" i="12" s="1"/>
  <c r="D59" i="12" s="1"/>
  <c r="B60" i="12" s="1"/>
  <c r="D176" i="12"/>
  <c r="F176" i="12"/>
  <c r="G121" i="12" s="1"/>
  <c r="E179" i="12"/>
  <c r="B179" i="12"/>
  <c r="D66" i="12" l="1"/>
  <c r="D67" i="12" s="1"/>
  <c r="D68" i="12" s="1"/>
  <c r="D69" i="12" s="1"/>
  <c r="D70" i="12" s="1"/>
  <c r="D71" i="12" s="1"/>
  <c r="D72" i="12" s="1"/>
  <c r="D73" i="12" s="1"/>
  <c r="D74" i="12" s="1"/>
  <c r="D75" i="12" s="1"/>
  <c r="D76" i="12" s="1"/>
  <c r="D77" i="12" s="1"/>
  <c r="D78" i="12" s="1"/>
  <c r="D79" i="12" s="1"/>
  <c r="D80" i="12" s="1"/>
  <c r="D81" i="12" s="1"/>
  <c r="D82" i="12" s="1"/>
  <c r="D83" i="12" s="1"/>
  <c r="D84" i="12" s="1"/>
  <c r="D85" i="12" s="1"/>
  <c r="D86" i="12" s="1"/>
  <c r="D87" i="12" s="1"/>
  <c r="D88" i="12" s="1"/>
  <c r="D89" i="12" s="1"/>
  <c r="D90" i="12" s="1"/>
  <c r="D91" i="12" s="1"/>
  <c r="D92" i="12" s="1"/>
  <c r="D93" i="12" s="1"/>
  <c r="D94" i="12" s="1"/>
  <c r="D95" i="12" s="1"/>
  <c r="D96" i="12" s="1"/>
  <c r="D97" i="12" s="1"/>
  <c r="D98" i="12" s="1"/>
  <c r="D99" i="12" s="1"/>
  <c r="D100" i="12" s="1"/>
  <c r="D101" i="12" s="1"/>
  <c r="D102" i="12" s="1"/>
  <c r="D103" i="12" s="1"/>
  <c r="D104" i="12" s="1"/>
  <c r="D105" i="12" s="1"/>
  <c r="D106" i="12" s="1"/>
  <c r="D107" i="12" s="1"/>
  <c r="D108" i="12" s="1"/>
  <c r="D109" i="12" s="1"/>
  <c r="D110" i="12" s="1"/>
  <c r="D111" i="12" s="1"/>
  <c r="D112" i="12" s="1"/>
  <c r="D113" i="12" s="1"/>
  <c r="D114" i="12" s="1"/>
  <c r="D115" i="12" s="1"/>
  <c r="D116" i="12" s="1"/>
  <c r="D117" i="12" s="1"/>
  <c r="B118" i="12" s="1"/>
  <c r="D118" i="12" s="1"/>
  <c r="D60" i="12"/>
  <c r="D30" i="5"/>
  <c r="D13" i="5" s="1"/>
  <c r="D14" i="5" s="1"/>
  <c r="F60" i="12"/>
  <c r="G5" i="12" s="1"/>
  <c r="B233" i="12"/>
  <c r="B230" i="12"/>
  <c r="B227" i="12"/>
  <c r="B224" i="12"/>
  <c r="B221" i="12"/>
  <c r="B218" i="12"/>
  <c r="B215" i="12"/>
  <c r="B212" i="12"/>
  <c r="B209" i="12"/>
  <c r="B206" i="12"/>
  <c r="B203" i="12"/>
  <c r="B200" i="12"/>
  <c r="B197" i="12"/>
  <c r="B194" i="12"/>
  <c r="B191" i="12"/>
  <c r="B188" i="12"/>
  <c r="B185" i="12"/>
  <c r="B182" i="12"/>
  <c r="B232" i="12"/>
  <c r="B229" i="12"/>
  <c r="B226" i="12"/>
  <c r="B223" i="12"/>
  <c r="B220" i="12"/>
  <c r="B217" i="12"/>
  <c r="B214" i="12"/>
  <c r="B211" i="12"/>
  <c r="B208" i="12"/>
  <c r="B205" i="12"/>
  <c r="B202" i="12"/>
  <c r="B199" i="12"/>
  <c r="B196" i="12"/>
  <c r="B193" i="12"/>
  <c r="B190" i="12"/>
  <c r="B187" i="12"/>
  <c r="B184" i="12"/>
  <c r="B181" i="12"/>
  <c r="C181" i="12" s="1"/>
  <c r="B231" i="12"/>
  <c r="B228" i="12"/>
  <c r="B225" i="12"/>
  <c r="B222" i="12"/>
  <c r="B219" i="12"/>
  <c r="B216" i="12"/>
  <c r="B213" i="12"/>
  <c r="B210" i="12"/>
  <c r="B207" i="12"/>
  <c r="B204" i="12"/>
  <c r="B201" i="12"/>
  <c r="B198" i="12"/>
  <c r="B195" i="12"/>
  <c r="B192" i="12"/>
  <c r="B189" i="12"/>
  <c r="B186" i="12"/>
  <c r="B183" i="12"/>
  <c r="F118" i="12" l="1"/>
  <c r="G63" i="12" s="1"/>
  <c r="D37" i="4"/>
  <c r="D38" i="4" s="1"/>
  <c r="D24" i="3" s="1"/>
  <c r="C18" i="9"/>
  <c r="D21" i="3"/>
  <c r="E181" i="12"/>
  <c r="C182" i="12" s="1"/>
  <c r="E182" i="12" s="1"/>
  <c r="C183" i="12" s="1"/>
  <c r="E183" i="12" s="1"/>
  <c r="C184" i="12" s="1"/>
  <c r="E184" i="12" s="1"/>
  <c r="C185" i="12" s="1"/>
  <c r="E185" i="12" s="1"/>
  <c r="C186" i="12" s="1"/>
  <c r="E186" i="12" s="1"/>
  <c r="C187" i="12" s="1"/>
  <c r="E187" i="12" s="1"/>
  <c r="C188" i="12" s="1"/>
  <c r="E188" i="12" s="1"/>
  <c r="C189" i="12" s="1"/>
  <c r="E189" i="12" s="1"/>
  <c r="C190" i="12" s="1"/>
  <c r="E190" i="12" s="1"/>
  <c r="C191" i="12" s="1"/>
  <c r="E191" i="12" s="1"/>
  <c r="C192" i="12" s="1"/>
  <c r="E192" i="12" s="1"/>
  <c r="C193" i="12" s="1"/>
  <c r="E193" i="12" s="1"/>
  <c r="C194" i="12" s="1"/>
  <c r="E194" i="12" s="1"/>
  <c r="C195" i="12" s="1"/>
  <c r="E195" i="12" s="1"/>
  <c r="C196" i="12" s="1"/>
  <c r="E196" i="12" s="1"/>
  <c r="C197" i="12" s="1"/>
  <c r="E197" i="12" s="1"/>
  <c r="C198" i="12" s="1"/>
  <c r="E198" i="12" s="1"/>
  <c r="C199" i="12" s="1"/>
  <c r="E199" i="12" s="1"/>
  <c r="C200" i="12" s="1"/>
  <c r="E200" i="12" s="1"/>
  <c r="C201" i="12" s="1"/>
  <c r="E201" i="12" s="1"/>
  <c r="C202" i="12" s="1"/>
  <c r="E202" i="12" s="1"/>
  <c r="C203" i="12" s="1"/>
  <c r="E203" i="12" s="1"/>
  <c r="C204" i="12" s="1"/>
  <c r="E204" i="12" s="1"/>
  <c r="C205" i="12" s="1"/>
  <c r="E205" i="12" s="1"/>
  <c r="C206" i="12" s="1"/>
  <c r="E206" i="12" s="1"/>
  <c r="C207" i="12" s="1"/>
  <c r="E207" i="12" s="1"/>
  <c r="C208" i="12" s="1"/>
  <c r="E208" i="12" s="1"/>
  <c r="C209" i="12" s="1"/>
  <c r="E209" i="12" s="1"/>
  <c r="C210" i="12" s="1"/>
  <c r="E210" i="12" s="1"/>
  <c r="C211" i="12" s="1"/>
  <c r="E211" i="12" s="1"/>
  <c r="C212" i="12" s="1"/>
  <c r="E212" i="12" s="1"/>
  <c r="C213" i="12" s="1"/>
  <c r="E213" i="12" s="1"/>
  <c r="C214" i="12" s="1"/>
  <c r="E214" i="12" s="1"/>
  <c r="C215" i="12" s="1"/>
  <c r="E215" i="12" s="1"/>
  <c r="C216" i="12" s="1"/>
  <c r="E216" i="12" s="1"/>
  <c r="C217" i="12" s="1"/>
  <c r="E217" i="12" s="1"/>
  <c r="C218" i="12" s="1"/>
  <c r="E218" i="12" s="1"/>
  <c r="C219" i="12" s="1"/>
  <c r="E219" i="12" s="1"/>
  <c r="C220" i="12" s="1"/>
  <c r="E220" i="12" s="1"/>
  <c r="C221" i="12" s="1"/>
  <c r="E221" i="12" s="1"/>
  <c r="C222" i="12" s="1"/>
  <c r="E222" i="12" s="1"/>
  <c r="C223" i="12" s="1"/>
  <c r="E223" i="12" s="1"/>
  <c r="C224" i="12" s="1"/>
  <c r="E224" i="12" s="1"/>
  <c r="C225" i="12" s="1"/>
  <c r="E225" i="12" s="1"/>
  <c r="C226" i="12" s="1"/>
  <c r="E226" i="12" s="1"/>
  <c r="C227" i="12" s="1"/>
  <c r="E227" i="12" s="1"/>
  <c r="C228" i="12" s="1"/>
  <c r="E228" i="12" s="1"/>
  <c r="C229" i="12" s="1"/>
  <c r="E229" i="12" s="1"/>
  <c r="C230" i="12" s="1"/>
  <c r="E230" i="12" s="1"/>
  <c r="C231" i="12" s="1"/>
  <c r="E231" i="12" s="1"/>
  <c r="C232" i="12" s="1"/>
  <c r="E232" i="12" s="1"/>
  <c r="C233" i="12" s="1"/>
  <c r="E233" i="12" s="1"/>
  <c r="C234" i="12" s="1"/>
  <c r="E234" i="12" s="1"/>
  <c r="D181" i="12"/>
  <c r="C16" i="9" l="1"/>
  <c r="D182" i="12"/>
  <c r="D183" i="12" s="1"/>
  <c r="D184" i="12" s="1"/>
  <c r="D185" i="12" s="1"/>
  <c r="D186" i="12" s="1"/>
  <c r="D187" i="12" s="1"/>
  <c r="D188" i="12" s="1"/>
  <c r="D189" i="12" s="1"/>
  <c r="D190" i="12" s="1"/>
  <c r="D191" i="12" s="1"/>
  <c r="D192" i="12" s="1"/>
  <c r="D193" i="12" s="1"/>
  <c r="D194" i="12" s="1"/>
  <c r="D195" i="12" s="1"/>
  <c r="D196" i="12" s="1"/>
  <c r="D197" i="12" s="1"/>
  <c r="D198" i="12" s="1"/>
  <c r="D199" i="12" s="1"/>
  <c r="D200" i="12" s="1"/>
  <c r="D201" i="12" s="1"/>
  <c r="D202" i="12" s="1"/>
  <c r="D203" i="12" s="1"/>
  <c r="D204" i="12" s="1"/>
  <c r="D205" i="12" s="1"/>
  <c r="D206" i="12" s="1"/>
  <c r="D207" i="12" s="1"/>
  <c r="D208" i="12" s="1"/>
  <c r="D209" i="12" s="1"/>
  <c r="D210" i="12" s="1"/>
  <c r="D211" i="12" s="1"/>
  <c r="D212" i="12" s="1"/>
  <c r="D213" i="12" s="1"/>
  <c r="D214" i="12" s="1"/>
  <c r="D215" i="12" s="1"/>
  <c r="D216" i="12" s="1"/>
  <c r="D217" i="12" s="1"/>
  <c r="D218" i="12" s="1"/>
  <c r="D219" i="12" s="1"/>
  <c r="D220" i="12" s="1"/>
  <c r="D221" i="12" s="1"/>
  <c r="D222" i="12" s="1"/>
  <c r="D223" i="12" s="1"/>
  <c r="D224" i="12" s="1"/>
  <c r="D225" i="12" s="1"/>
  <c r="D226" i="12" s="1"/>
  <c r="D227" i="12" s="1"/>
  <c r="D228" i="12" s="1"/>
  <c r="D229" i="12" s="1"/>
  <c r="D230" i="12" s="1"/>
  <c r="D231" i="12" s="1"/>
  <c r="D232" i="12" s="1"/>
  <c r="D233" i="12" s="1"/>
  <c r="B234" i="12" s="1"/>
  <c r="D234" i="12" l="1"/>
  <c r="D30" i="3" s="1"/>
  <c r="D31" i="3" s="1"/>
  <c r="D32" i="3" s="1"/>
  <c r="D17" i="3" s="1"/>
  <c r="D19" i="3" s="1"/>
  <c r="D23" i="3" s="1"/>
  <c r="F234" i="12"/>
  <c r="G179" i="12" l="1"/>
  <c r="I1" i="12"/>
  <c r="G5" i="3"/>
  <c r="D25" i="3"/>
  <c r="G6" i="3" l="1"/>
  <c r="D5" i="3"/>
  <c r="C14" i="9"/>
  <c r="I9" i="12"/>
  <c r="F15" i="1"/>
  <c r="C10" i="11" l="1"/>
  <c r="E30" i="11"/>
  <c r="B5" i="11"/>
  <c r="C8" i="11"/>
  <c r="C18" i="11"/>
  <c r="E22" i="11"/>
  <c r="E11" i="11"/>
  <c r="C35" i="11"/>
  <c r="A20" i="11"/>
  <c r="A26" i="11"/>
  <c r="C29" i="11"/>
  <c r="C13" i="11"/>
  <c r="E14" i="11"/>
  <c r="E8" i="11"/>
  <c r="A31" i="11"/>
  <c r="C16" i="11"/>
  <c r="C33" i="11"/>
  <c r="C17" i="11"/>
  <c r="E19" i="11"/>
  <c r="A18" i="11"/>
  <c r="C30" i="11"/>
  <c r="C21" i="11"/>
  <c r="C37" i="11"/>
  <c r="A29" i="11"/>
  <c r="C23" i="11"/>
  <c r="A16" i="11"/>
  <c r="A14" i="11"/>
  <c r="C38" i="11"/>
  <c r="E27" i="11"/>
  <c r="E21" i="11"/>
  <c r="F6" i="1"/>
  <c r="C11" i="11"/>
  <c r="E24" i="11"/>
  <c r="C28" i="11"/>
  <c r="C36" i="11"/>
  <c r="F7" i="1"/>
  <c r="E20" i="11"/>
  <c r="A28" i="11"/>
  <c r="C15" i="11"/>
  <c r="E9" i="11"/>
  <c r="C22" i="11"/>
  <c r="E7" i="11"/>
  <c r="C14" i="11"/>
  <c r="C12" i="11"/>
  <c r="A30" i="11"/>
  <c r="E28" i="11"/>
  <c r="A21" i="11"/>
  <c r="C26" i="11"/>
  <c r="E25" i="11"/>
  <c r="E12" i="11"/>
  <c r="C20" i="11"/>
  <c r="A32" i="11"/>
  <c r="A23" i="11"/>
  <c r="E5" i="11"/>
  <c r="C25" i="11"/>
  <c r="E15" i="11"/>
  <c r="A15" i="11"/>
  <c r="E6" i="11"/>
  <c r="A27" i="11"/>
  <c r="F8" i="1"/>
  <c r="C9" i="11"/>
  <c r="C19" i="11"/>
  <c r="C24" i="11"/>
  <c r="E17" i="11"/>
  <c r="E26" i="11"/>
  <c r="E16" i="11"/>
  <c r="A22" i="11"/>
  <c r="C6" i="11"/>
  <c r="A13" i="11"/>
  <c r="C27" i="11"/>
  <c r="E18" i="11"/>
  <c r="A19" i="11"/>
  <c r="A24" i="11"/>
  <c r="A2" i="11"/>
  <c r="A17" i="11"/>
  <c r="E23" i="11"/>
  <c r="C5" i="11"/>
  <c r="E29" i="11"/>
  <c r="A5" i="11"/>
  <c r="C34" i="11"/>
  <c r="E13" i="11"/>
  <c r="A1" i="11"/>
  <c r="E10" i="11"/>
  <c r="C32" i="11"/>
  <c r="A25" i="11"/>
  <c r="C31" i="11"/>
  <c r="C7" i="11"/>
  <c r="G8" i="3"/>
  <c r="G9" i="3" s="1"/>
  <c r="G10" i="3" s="1"/>
  <c r="D6" i="3" s="1"/>
  <c r="A6" i="11" s="1"/>
  <c r="D9" i="3"/>
  <c r="A9" i="11" s="1"/>
  <c r="D10" i="3" l="1"/>
  <c r="A10" i="11" s="1"/>
  <c r="D7" i="3"/>
  <c r="D11" i="3" l="1"/>
  <c r="A7" i="11"/>
  <c r="D8" i="3"/>
  <c r="C12" i="9" l="1"/>
  <c r="A8" i="11"/>
  <c r="A11" i="11"/>
  <c r="D12" i="3"/>
  <c r="C13" i="9" l="1"/>
  <c r="A12" i="11"/>
  <c r="F5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作成者</author>
  </authors>
  <commentList>
    <comment ref="D8" authorId="0" shapeId="0" xr:uid="{1DDDF508-05D3-4E53-91B1-663C23A88047}">
      <text>
        <r>
          <rPr>
            <b/>
            <sz val="9"/>
            <color indexed="81"/>
            <rFont val="MS P ゴシック"/>
            <family val="3"/>
            <charset val="128"/>
          </rPr>
          <t>法人税法67条7項・国税通則法10条：月数は暦に従い、応当日がない月は月末を満了日とし、1月未満の端数は1月に切り上げます。</t>
        </r>
      </text>
    </comment>
    <comment ref="D9" authorId="0" shapeId="0" xr:uid="{8599EBD8-4BD1-4665-B280-CA0AFE22294C}">
      <text>
        <r>
          <rPr>
            <b/>
            <sz val="9"/>
            <color indexed="81"/>
            <rFont val="MS P ゴシック"/>
            <family val="3"/>
            <charset val="128"/>
          </rPr>
          <t>措置法42条の12の5第2項の中小企業者等該当性を明示選択してください。</t>
        </r>
      </text>
    </comment>
    <comment ref="D11" authorId="0" shapeId="0" xr:uid="{F8DC2214-1C4B-4012-B364-29A7745E7EE8}">
      <text>
        <r>
          <rPr>
            <b/>
            <sz val="9"/>
            <color indexed="81"/>
            <rFont val="MS P ゴシック"/>
            <family val="3"/>
            <charset val="128"/>
          </rPr>
          <t>別表二「同族会社等の判定に関する明細書」の判定結果18を転記してください。未確認・いいえの間は最終結果と帳票印字を停止します。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作成者</author>
  </authors>
  <commentList>
    <comment ref="G10" authorId="0" shapeId="0" xr:uid="{F199AACD-2C64-4611-B923-8295D49018AE}">
      <text>
        <r>
          <rPr>
            <b/>
            <sz val="9"/>
            <color indexed="81"/>
            <rFont val="MS P ゴシック"/>
            <family val="3"/>
            <charset val="128"/>
          </rPr>
          <t>国税庁法人税基本通達16-1-8(2)：年1億円相当額の端数が課税留保金額（21）で切り捨てた端数より多い場合は切上げ、それ以外は切捨て。</t>
        </r>
      </text>
    </comment>
  </commentList>
</comments>
</file>

<file path=xl/sharedStrings.xml><?xml version="1.0" encoding="utf-8"?>
<sst xmlns="http://schemas.openxmlformats.org/spreadsheetml/2006/main" count="1033" uniqueCount="792">
  <si>
    <t>厳密整数計算ヘルパー（IEEE-754安全域内の二進長除算）</t>
  </si>
  <si>
    <t>演算ID</t>
  </si>
  <si>
    <t>被乗数絶対値</t>
  </si>
  <si>
    <t>乗数絶対値</t>
  </si>
  <si>
    <t>安全除数</t>
  </si>
  <si>
    <t>符号</t>
  </si>
  <si>
    <t>実除数</t>
  </si>
  <si>
    <t>安全域</t>
  </si>
  <si>
    <t>説明</t>
  </si>
  <si>
    <t>特定同族会社の留保金課税 - 入力</t>
  </si>
  <si>
    <t>黄色セルだけを入力してください。別表三(一)・付表一・付表二へ自動転記します。</t>
  </si>
  <si>
    <t>基本情報</t>
  </si>
  <si>
    <t>法人名</t>
  </si>
  <si>
    <t>事業年度開始日</t>
  </si>
  <si>
    <t>事業年度終了日</t>
  </si>
  <si>
    <t>事業年度月数（自動）</t>
  </si>
  <si>
    <t>措法42条の12の5第2項の中小企業者等該当性（主表24用）</t>
  </si>
  <si>
    <t>通算法人</t>
  </si>
  <si>
    <t>別表二「判定結果18」：特定同族会社</t>
  </si>
  <si>
    <t>別表三(一)・住民税額計算の入力</t>
  </si>
  <si>
    <t>入力ID</t>
  </si>
  <si>
    <t>転記元</t>
  </si>
  <si>
    <t>内容</t>
  </si>
  <si>
    <t>入力額</t>
  </si>
  <si>
    <t>備考</t>
  </si>
  <si>
    <t>m_B4_52_2</t>
  </si>
  <si>
    <t>別表四「52の②」</t>
  </si>
  <si>
    <t>留保所得金額（9）の基礎額</t>
  </si>
  <si>
    <t>別表四「17」がある場合は後記の内書欄にも入力</t>
  </si>
  <si>
    <t>b10_7_15</t>
  </si>
  <si>
    <t>別表十(七)「15」</t>
  </si>
  <si>
    <t>留保所得金額（9）に含める金額</t>
  </si>
  <si>
    <t>主表記載要領2(2)。該当がなければ0</t>
  </si>
  <si>
    <t>m_B4_17_inner</t>
  </si>
  <si>
    <t>別表四「17」</t>
  </si>
  <si>
    <t>留保所得金額（9）の内書額</t>
  </si>
  <si>
    <t>当期留保金額（19）で9から減算</t>
  </si>
  <si>
    <t>prev_div</t>
  </si>
  <si>
    <t>前期の別表三(一)「11」</t>
  </si>
  <si>
    <t>前期末配当等の額（10）</t>
  </si>
  <si>
    <t>通算法人間配当等を除く</t>
  </si>
  <si>
    <t>curr_div</t>
  </si>
  <si>
    <t>法人税法67条4項</t>
  </si>
  <si>
    <t>当期末配当等の額（11）</t>
  </si>
  <si>
    <t>b1_2</t>
  </si>
  <si>
    <t>別表一「2」</t>
  </si>
  <si>
    <t>法人税額等（12・22・23）用</t>
  </si>
  <si>
    <t>b1_3</t>
  </si>
  <si>
    <t>別表一「3」</t>
  </si>
  <si>
    <t>法人税額等（12）用</t>
  </si>
  <si>
    <t>b1_4</t>
  </si>
  <si>
    <t>別表一「4」</t>
  </si>
  <si>
    <t>研究開発税制の調整額は後段へ入力</t>
  </si>
  <si>
    <t>b1_6</t>
  </si>
  <si>
    <t>別表一「6」</t>
  </si>
  <si>
    <t>b1_9out</t>
  </si>
  <si>
    <t>別表一「9の外書」</t>
  </si>
  <si>
    <t>b1_11</t>
  </si>
  <si>
    <t>別表一「11」</t>
  </si>
  <si>
    <t>b1_17</t>
  </si>
  <si>
    <t>別表一「17」</t>
  </si>
  <si>
    <t>b1_18</t>
  </si>
  <si>
    <t>別表一「18」</t>
  </si>
  <si>
    <t>b1_31</t>
  </si>
  <si>
    <t>別表一「31」</t>
  </si>
  <si>
    <t>地方法人税額計算</t>
  </si>
  <si>
    <t>b1_32</t>
  </si>
  <si>
    <t>別表一「32」</t>
  </si>
  <si>
    <t>b1_36</t>
  </si>
  <si>
    <t>別表一「36」</t>
  </si>
  <si>
    <t>b1_94</t>
  </si>
  <si>
    <t>別表一「94」</t>
  </si>
  <si>
    <t>防衛特別法人税関係</t>
  </si>
  <si>
    <t>b1_50</t>
  </si>
  <si>
    <t>別表一「50」</t>
  </si>
  <si>
    <t>防衛特別法人税額計算</t>
  </si>
  <si>
    <t>b1_51</t>
  </si>
  <si>
    <t>別表一「51」</t>
  </si>
  <si>
    <t>b1_55</t>
  </si>
  <si>
    <t>別表一「55」</t>
  </si>
  <si>
    <t>b1_71</t>
  </si>
  <si>
    <t>別表一「71」</t>
  </si>
  <si>
    <t>b6_5_2_5_3</t>
  </si>
  <si>
    <t>別表六(五の二)「5の③」</t>
  </si>
  <si>
    <t>分配時調整外国税相当額の控除額</t>
  </si>
  <si>
    <t>（12）用</t>
  </si>
  <si>
    <t>b17_3_6_1</t>
  </si>
  <si>
    <t>別表十七(三の六)「1」</t>
  </si>
  <si>
    <t>外国関係会社等に係る控除対象所得税額等相当額（14）</t>
  </si>
  <si>
    <t>specific_donation_total</t>
  </si>
  <si>
    <t>法人税法施行令139条の10第1項</t>
  </si>
  <si>
    <t>特定寄附金のうち、当期所得の計算上損金算入される額の合計額（25の基礎）</t>
  </si>
  <si>
    <t>損金不算入額を含めない。該当がなければ0</t>
  </si>
  <si>
    <t>b6_2_f6_7_total</t>
  </si>
  <si>
    <t>別表六(二)付表六「7の計」</t>
  </si>
  <si>
    <t>調整地方税額に係る控除額（26）の基礎</t>
  </si>
  <si>
    <t>b6_6_3</t>
  </si>
  <si>
    <t>別表六(六)「3」</t>
  </si>
  <si>
    <t>中小企業者等（23）で控除する額</t>
  </si>
  <si>
    <t>b6_6_9_2</t>
  </si>
  <si>
    <t>別表六(六)「9の②」</t>
  </si>
  <si>
    <t>税額控除額</t>
  </si>
  <si>
    <t>22・23用</t>
  </si>
  <si>
    <t>b6_6_9_3</t>
  </si>
  <si>
    <t>別表六(六)「9の③」</t>
  </si>
  <si>
    <t>b6_6_9_4</t>
  </si>
  <si>
    <t>別表六(六)「9の④」</t>
  </si>
  <si>
    <t>23用</t>
  </si>
  <si>
    <t>b6_6_9_5_8</t>
  </si>
  <si>
    <t>別表六(六)「9の⑤～⑧」合計</t>
  </si>
  <si>
    <t>税額控除額の合計</t>
  </si>
  <si>
    <t>b6_6_9_11_14</t>
  </si>
  <si>
    <t>別表六(六)「9の⑪～⑭」合計</t>
  </si>
  <si>
    <t>b6_6_9_16_18</t>
  </si>
  <si>
    <t>別表六(六)「9の⑯～⑱」合計</t>
  </si>
  <si>
    <t>b6_6_9_19_20</t>
  </si>
  <si>
    <t>別表六(六)「9の⑲～⑳」合計</t>
  </si>
  <si>
    <t>b6_6_9_25_26</t>
  </si>
  <si>
    <t>別表六(六)「9の㉕～㉖」合計</t>
  </si>
  <si>
    <t>b6_6_9_27_29</t>
  </si>
  <si>
    <t>別表六(六)「9の㉗～㉙」合計</t>
  </si>
  <si>
    <t>b6_9_f_40</t>
  </si>
  <si>
    <t>別表六(九)付表「40」</t>
  </si>
  <si>
    <t>別表一「4」から控除する研究開発税制調整額</t>
  </si>
  <si>
    <t>該当時のみ</t>
  </si>
  <si>
    <t>b6_9_f_45</t>
  </si>
  <si>
    <t>別表六(九)付表「45」</t>
  </si>
  <si>
    <t>b6_12_f2_19</t>
  </si>
  <si>
    <t>別表六(十二)付表二「19」</t>
  </si>
  <si>
    <t>別表一「4」から控除する調整額</t>
  </si>
  <si>
    <t>中小企業者等以外・該当時のみ</t>
  </si>
  <si>
    <t>b6_12_f2_24</t>
  </si>
  <si>
    <t>別表六(十二)付表二「24」</t>
  </si>
  <si>
    <t>別表三(一)付表一の入力</t>
  </si>
  <si>
    <t>f1_capital</t>
  </si>
  <si>
    <t>期末資本金又は出資金</t>
  </si>
  <si>
    <t>期末資本金の額又は出資金の額（1）</t>
  </si>
  <si>
    <t>f1_b5_1_31_1</t>
  </si>
  <si>
    <t>別表五(一)「31の①」</t>
  </si>
  <si>
    <t>期首利益積立金額の基礎</t>
  </si>
  <si>
    <t>（3）で前期末配当等を控除</t>
  </si>
  <si>
    <t>f1_merger_inc</t>
  </si>
  <si>
    <t>適格合併等</t>
  </si>
  <si>
    <t>適格合併等により増加した利益積立金額（4）</t>
  </si>
  <si>
    <t>f1_split_dec</t>
  </si>
  <si>
    <t>適格分割型分割等</t>
  </si>
  <si>
    <t>適格分割型分割等により減少した利益積立金額（5）</t>
  </si>
  <si>
    <t>f1_b4_52_1</t>
  </si>
  <si>
    <t>別表四「52の①」</t>
  </si>
  <si>
    <t>所得金額（9）</t>
  </si>
  <si>
    <t>f1_b4_38</t>
  </si>
  <si>
    <t>別表四「38」</t>
  </si>
  <si>
    <t>非適格合併による移転資産等の譲渡利益額又は譲渡損失額（10）</t>
  </si>
  <si>
    <t>損失額はマイナス入力可</t>
  </si>
  <si>
    <t>f1_b8_1_5</t>
  </si>
  <si>
    <t>別表八(一)「5」</t>
  </si>
  <si>
    <t>受取配当等の益金不算入額（11）</t>
  </si>
  <si>
    <t>f1_b8_2_26</t>
  </si>
  <si>
    <t>別表八(二)「26」</t>
  </si>
  <si>
    <t>外国子会社配当益金不算入額（12）の一部</t>
  </si>
  <si>
    <t>f1_b17_3_7_27</t>
  </si>
  <si>
    <t>別表十七(三の七)「27の計」</t>
  </si>
  <si>
    <t>f1_b4_16</t>
  </si>
  <si>
    <t>別表四「16」</t>
  </si>
  <si>
    <t>受贈益の益金不算入額（13）</t>
  </si>
  <si>
    <t>f1_b4_19</t>
  </si>
  <si>
    <t>別表四「19」</t>
  </si>
  <si>
    <t>法人税額の還付金等（14）の一部</t>
  </si>
  <si>
    <t>f1_b4f_7</t>
  </si>
  <si>
    <t>別表四付表「7」</t>
  </si>
  <si>
    <t>f1_b7_1_4</t>
  </si>
  <si>
    <t>別表七(一)「4の計」</t>
  </si>
  <si>
    <t>欠損金等の当期控除額（15）の一部</t>
  </si>
  <si>
    <t>f1_b7_other</t>
  </si>
  <si>
    <t>別表七(三)「9/21」又は別表七(四)「10」</t>
  </si>
  <si>
    <t>該当欄の額</t>
  </si>
  <si>
    <t>f1_b4_37</t>
  </si>
  <si>
    <t>別表四「37」</t>
  </si>
  <si>
    <t>災害損失欠損金額の益金算入額（16）</t>
  </si>
  <si>
    <t>f1_b8_3_13</t>
  </si>
  <si>
    <t>別表八(三)「13」の合計額</t>
  </si>
  <si>
    <t>他法人株式等の帳簿価額から減算される金額（19）</t>
  </si>
  <si>
    <t>現物分配対応部分を除外</t>
  </si>
  <si>
    <t>f1_b10_3_47</t>
  </si>
  <si>
    <t>別表十(三)「47」</t>
  </si>
  <si>
    <t>新鉱床探鉱費等の特別控除額（20）</t>
  </si>
  <si>
    <t>f1_b10_4_20</t>
  </si>
  <si>
    <t>別表十(四)「20」</t>
  </si>
  <si>
    <t>日本船舶収入所得の損金算入額（21）</t>
  </si>
  <si>
    <t>f1_b10_4_21_23</t>
  </si>
  <si>
    <t>別表十(四)「21」又は「23」</t>
  </si>
  <si>
    <t>日本船舶収入所得の益金算入額（22）</t>
  </si>
  <si>
    <t>f1_b10_5_12</t>
  </si>
  <si>
    <t>別表十(五)「12」</t>
  </si>
  <si>
    <t>特許権等の譲渡等による所得の特別控除額（23）</t>
  </si>
  <si>
    <t>f1_b10_1_15_or_10_2_10</t>
  </si>
  <si>
    <t>別表十(一)「15」又は別表十(二)「10」</t>
  </si>
  <si>
    <t>沖縄・国家戦略特区の所得特別控除額（24）</t>
  </si>
  <si>
    <t>f1_b10_1_16_or_10_2_11</t>
  </si>
  <si>
    <t>別表十(一)「16」又は別表十(二)「11」</t>
  </si>
  <si>
    <t>沖縄・国家戦略特区の要加算調整額（25）</t>
  </si>
  <si>
    <t>f1_b10_6_sum</t>
  </si>
  <si>
    <t>別表十(六)「22+37+42+47+52」</t>
  </si>
  <si>
    <t>収用等の場合等の所得の特別控除額（26）</t>
  </si>
  <si>
    <t>合計入力</t>
  </si>
  <si>
    <t>f1_b10_7_12</t>
  </si>
  <si>
    <t>別表十(七)「12」</t>
  </si>
  <si>
    <t>特別勘定繰入額の損金算入額（27）</t>
  </si>
  <si>
    <t>f1_b10_7_20_22</t>
  </si>
  <si>
    <t>別表十(七)「20+22」</t>
  </si>
  <si>
    <t>特別勘定取崩額の益金算入額（28）</t>
  </si>
  <si>
    <t>f1_b10_8_22</t>
  </si>
  <si>
    <t>別表十(八)「22」</t>
  </si>
  <si>
    <t>肉用牛売却所得の特別控除額（29）</t>
  </si>
  <si>
    <t>f1_b17_2_3_10</t>
  </si>
  <si>
    <t>別表十七(二の三)「10」</t>
  </si>
  <si>
    <t>超過利子額の損金算入額（30）</t>
  </si>
  <si>
    <t>f1_b17_3_income_sum</t>
  </si>
  <si>
    <t>別表十七(三の二)「28」+三の三「9」+三の四「11」</t>
  </si>
  <si>
    <t>課税対象金額等の益金算入額（31）</t>
  </si>
  <si>
    <t>別表三(一)付表二（通算法人）の入力</t>
  </si>
  <si>
    <t>f2_b4f_3</t>
  </si>
  <si>
    <t>別表四付表「3」</t>
  </si>
  <si>
    <t>他の通算法人株式の譲渡損失額（1）</t>
  </si>
  <si>
    <t>f2_b7_2_11</t>
  </si>
  <si>
    <t>別表七の二「11」</t>
  </si>
  <si>
    <t>通算対象所得金額の益金算入額（2・14）</t>
  </si>
  <si>
    <t>f2_out_div_outflow</t>
  </si>
  <si>
    <t>当期計算</t>
  </si>
  <si>
    <t>通算外配当等流出額（3）</t>
  </si>
  <si>
    <t>f2_in_div_amount</t>
  </si>
  <si>
    <t>通算内配当等の額（4）</t>
  </si>
  <si>
    <t>f2_b4f_8</t>
  </si>
  <si>
    <t>別表四付表「8」</t>
  </si>
  <si>
    <t>他の通算法人株式の譲渡利益額（6）</t>
  </si>
  <si>
    <t>f2_b7_2_5</t>
  </si>
  <si>
    <t>別表七の二「5」</t>
  </si>
  <si>
    <t>通算対象欠損金額の損金算入額（7・11）</t>
  </si>
  <si>
    <t>f2_group_div_received</t>
  </si>
  <si>
    <t>法人税法施行令139条の8</t>
  </si>
  <si>
    <t>通算法人間配当等の当期受取額（8・18）</t>
  </si>
  <si>
    <t>記載要領2参照</t>
  </si>
  <si>
    <t>f2_b4f_9</t>
  </si>
  <si>
    <t>別表四付表「9」</t>
  </si>
  <si>
    <t>合併等があった場合の欠損金損金算入額（12）</t>
  </si>
  <si>
    <t>f2_b7_2_f1_23</t>
  </si>
  <si>
    <t>別表七(二)付表一「23の計」</t>
  </si>
  <si>
    <t>当初配賦欠損金控除額の益金算入額（15）</t>
  </si>
  <si>
    <t>f2_b8_1_f_24</t>
  </si>
  <si>
    <t>別表八(一)付表「24」</t>
  </si>
  <si>
    <t>当初支払利子配賦額の控除不足額の益金算入額（16）</t>
  </si>
  <si>
    <t>f2_b18_1_5_total</t>
  </si>
  <si>
    <t>別表十八(一)「5の計」</t>
  </si>
  <si>
    <t>他の通算法人の調整通算外配当等流出額の基礎（21）</t>
  </si>
  <si>
    <t>f2_b18_1_6_total</t>
  </si>
  <si>
    <t>別表十八(一)「6の計」</t>
  </si>
  <si>
    <t>他の通算法人の純通算内配当等の基礎（23）</t>
  </si>
  <si>
    <t>入力別有効性</t>
  </si>
  <si>
    <t>絶対値</t>
  </si>
  <si>
    <t>入力名</t>
  </si>
  <si>
    <t>inp_m_B4_52_2</t>
  </si>
  <si>
    <t>inp_b10_7_15</t>
  </si>
  <si>
    <t>inp_m_B4_17_inner</t>
  </si>
  <si>
    <t>inp_prev_div</t>
  </si>
  <si>
    <t>inp_curr_div</t>
  </si>
  <si>
    <t>inp_b1_2</t>
  </si>
  <si>
    <t>inp_b1_3</t>
  </si>
  <si>
    <t>inp_b1_4</t>
  </si>
  <si>
    <t>inp_b1_6</t>
  </si>
  <si>
    <t>inp_b1_9out</t>
  </si>
  <si>
    <t>inp_b1_11</t>
  </si>
  <si>
    <t>inp_b1_17</t>
  </si>
  <si>
    <t>inp_b1_18</t>
  </si>
  <si>
    <t>inp_b1_31</t>
  </si>
  <si>
    <t>inp_b1_32</t>
  </si>
  <si>
    <t>inp_b1_36</t>
  </si>
  <si>
    <t>inp_b1_94</t>
  </si>
  <si>
    <t>inp_b1_50</t>
  </si>
  <si>
    <t>inp_b1_51</t>
  </si>
  <si>
    <t>inp_b1_55</t>
  </si>
  <si>
    <t>inp_b1_71</t>
  </si>
  <si>
    <t>inp_b6_5_2_5_3</t>
  </si>
  <si>
    <t>inp_b17_3_6_1</t>
  </si>
  <si>
    <t>inp_specific_donation_total</t>
  </si>
  <si>
    <t>inp_b6_2_f6_7_total</t>
  </si>
  <si>
    <t>inp_b6_6_3</t>
  </si>
  <si>
    <t>inp_b6_6_9_2</t>
  </si>
  <si>
    <t>inp_b6_6_9_3</t>
  </si>
  <si>
    <t>inp_b6_6_9_4</t>
  </si>
  <si>
    <t>inp_b6_6_9_5_8</t>
  </si>
  <si>
    <t>inp_b6_6_9_11_14</t>
  </si>
  <si>
    <t>inp_b6_6_9_16_18</t>
  </si>
  <si>
    <t>inp_b6_6_9_19_20</t>
  </si>
  <si>
    <t>inp_b6_6_9_25_26</t>
  </si>
  <si>
    <t>inp_b6_6_9_27_29</t>
  </si>
  <si>
    <t>inp_b6_9_f_40</t>
  </si>
  <si>
    <t>inp_b6_9_f_45</t>
  </si>
  <si>
    <t>inp_b6_12_f2_19</t>
  </si>
  <si>
    <t>inp_b6_12_f2_24</t>
  </si>
  <si>
    <t>inp_f1_capital</t>
  </si>
  <si>
    <t>inp_f1_b5_1_31_1</t>
  </si>
  <si>
    <t>inp_f1_merger_inc</t>
  </si>
  <si>
    <t>inp_f1_split_dec</t>
  </si>
  <si>
    <t>inp_f1_b4_52_1</t>
  </si>
  <si>
    <t>inp_f1_b4_38</t>
  </si>
  <si>
    <t>inp_f1_b8_1_5</t>
  </si>
  <si>
    <t>inp_f1_b8_2_26</t>
  </si>
  <si>
    <t>inp_f1_b17_3_7_27</t>
  </si>
  <si>
    <t>inp_f1_b4_16</t>
  </si>
  <si>
    <t>inp_f1_b4_19</t>
  </si>
  <si>
    <t>inp_f1_b4f_7</t>
  </si>
  <si>
    <t>inp_f1_b7_1_4</t>
  </si>
  <si>
    <t>inp_f1_b7_other</t>
  </si>
  <si>
    <t>inp_f1_b4_37</t>
  </si>
  <si>
    <t>inp_f1_b8_3_13</t>
  </si>
  <si>
    <t>inp_f1_b10_3_47</t>
  </si>
  <si>
    <t>inp_f1_b10_4_20</t>
  </si>
  <si>
    <t>inp_f1_b10_4_21_23</t>
  </si>
  <si>
    <t>inp_f1_b10_5_12</t>
  </si>
  <si>
    <t>inp_f1_b10_1_15_or_10_2_10</t>
  </si>
  <si>
    <t>inp_f1_b10_1_16_or_10_2_11</t>
  </si>
  <si>
    <t>inp_f1_b10_6_sum</t>
  </si>
  <si>
    <t>inp_f1_b10_7_12</t>
  </si>
  <si>
    <t>inp_f1_b10_7_20_22</t>
  </si>
  <si>
    <t>inp_f1_b10_8_22</t>
  </si>
  <si>
    <t>inp_f1_b17_2_3_10</t>
  </si>
  <si>
    <t>inp_f1_b17_3_income_sum</t>
  </si>
  <si>
    <t>inp_f2_b4f_3</t>
  </si>
  <si>
    <t>inp_f2_b7_2_11</t>
  </si>
  <si>
    <t>inp_f2_out_div_outflow</t>
  </si>
  <si>
    <t>inp_f2_in_div_amount</t>
  </si>
  <si>
    <t>inp_f2_b4f_8</t>
  </si>
  <si>
    <t>inp_f2_b7_2_5</t>
  </si>
  <si>
    <t>inp_f2_group_div_received</t>
  </si>
  <si>
    <t>inp_f2_b4f_9</t>
  </si>
  <si>
    <t>inp_f2_b7_2_f1_23</t>
  </si>
  <si>
    <t>inp_f2_b8_1_f_24</t>
  </si>
  <si>
    <t>inp_f2_b18_1_5_total</t>
  </si>
  <si>
    <t>inp_f2_b18_1_6_total</t>
  </si>
  <si>
    <t>全金額入力の絶対値合計が1000000000000000 円以下かつ整数入力</t>
  </si>
  <si>
    <t>別表三(一)付表二 - 調整計算</t>
  </si>
  <si>
    <t>令和8年4月1日以後終了事業年度分。金額単位は円。青色セルは数式です。</t>
  </si>
  <si>
    <t>番号</t>
  </si>
  <si>
    <t>項目</t>
  </si>
  <si>
    <t>計算式・転記元</t>
  </si>
  <si>
    <t>金額</t>
  </si>
  <si>
    <t>注記</t>
  </si>
  <si>
    <t>他の通算法人に対する通算法人株式の譲渡損失額</t>
  </si>
  <si>
    <t>留保金加算額</t>
  </si>
  <si>
    <t>通算対象所得金額の益金算入額</t>
  </si>
  <si>
    <t>通算外配当等流出額</t>
  </si>
  <si>
    <t>入力値</t>
  </si>
  <si>
    <t>通算内配当等の額</t>
  </si>
  <si>
    <t>通算法人の留保金加算額</t>
  </si>
  <si>
    <t>(1)+(2)+(3)+(4)</t>
  </si>
  <si>
    <t>別表三(一)「16」へ</t>
  </si>
  <si>
    <t>他の通算法人に対する通算法人株式の譲渡利益額</t>
  </si>
  <si>
    <t>留保金控除額</t>
  </si>
  <si>
    <t>通算対象欠損金額の損金算入額</t>
  </si>
  <si>
    <t>通算法人間配当等の当期受取額</t>
  </si>
  <si>
    <t>施行令139条の8第1項</t>
  </si>
  <si>
    <t>記載要領2</t>
  </si>
  <si>
    <t>通算外配当等流出配賦額</t>
  </si>
  <si>
    <t>付表二「26」</t>
  </si>
  <si>
    <t>通算法人の留保金控除額</t>
  </si>
  <si>
    <t>(6)+(7)+(8)+(9)</t>
  </si>
  <si>
    <t>別表三(一)「17」へ</t>
  </si>
  <si>
    <t>所得基準額加算</t>
  </si>
  <si>
    <t>通算法人の合併等があった場合の欠損金の損金算入額</t>
  </si>
  <si>
    <t>通算法人の所得基準額加算額</t>
  </si>
  <si>
    <t>(11)+(12)</t>
  </si>
  <si>
    <t>付表一「17」へ</t>
  </si>
  <si>
    <t>所得基準額控除</t>
  </si>
  <si>
    <t>当初配賦欠損金控除額の益金算入額</t>
  </si>
  <si>
    <t>当初支払利子配賦額の控除不足額の益金算入額</t>
  </si>
  <si>
    <t>通算法人の所得基準額控除額</t>
  </si>
  <si>
    <t>(14)+(15)+(16)</t>
  </si>
  <si>
    <t>付表一「18」へ</t>
  </si>
  <si>
    <t>通算内配当等の額の当期受取額</t>
  </si>
  <si>
    <t>入力「通算法人間配当等の当期受取額」</t>
  </si>
  <si>
    <t>流出配賦額計算</t>
  </si>
  <si>
    <t>通算内配当等受取超過額</t>
  </si>
  <si>
    <t>MAX((18)-(4),0)</t>
  </si>
  <si>
    <t/>
  </si>
  <si>
    <t>調整通算外配当等流出額</t>
  </si>
  <si>
    <t>(3)と(19)の少ない金額</t>
  </si>
  <si>
    <t>他の通算法人の調整通算外配当等流出額の合計額</t>
  </si>
  <si>
    <t>別表十八(一)「5の計」-(20)</t>
  </si>
  <si>
    <t>純通算内配当等の額</t>
  </si>
  <si>
    <t>MAX((4)-(18),0)</t>
  </si>
  <si>
    <t>他の通算法人の純通算内配当等の額の合計額</t>
  </si>
  <si>
    <t>別表十八(一)「6の計」-(22)</t>
  </si>
  <si>
    <t>純通算内配当等の割合</t>
  </si>
  <si>
    <t>(22)/((22)+(23))</t>
  </si>
  <si>
    <t>分母0なら0</t>
  </si>
  <si>
    <t>通算外配当等流出超過額</t>
  </si>
  <si>
    <t>MAX((3)-(19),0)</t>
  </si>
  <si>
    <t>((20)+(21))×(24)+(25)</t>
  </si>
  <si>
    <t>割合を分数のまま計算し1円未満切捨て</t>
  </si>
  <si>
    <t>別表三(一)付表一 - 留保控除額の計算</t>
  </si>
  <si>
    <t>期末資本金の額又は出資金の額</t>
  </si>
  <si>
    <t>積立金基準額</t>
  </si>
  <si>
    <t>同上の25％相当額</t>
  </si>
  <si>
    <t>(1)×25％</t>
  </si>
  <si>
    <t>1円未満切捨て</t>
  </si>
  <si>
    <t>期首利益積立金額</t>
  </si>
  <si>
    <t>別表五(一)「31の①」-別表三(一)「10」</t>
  </si>
  <si>
    <t>適格合併等により増加した利益積立金額</t>
  </si>
  <si>
    <t>適格分割型分割等により減少した利益積立金額</t>
  </si>
  <si>
    <t>期末利益積立金額</t>
  </si>
  <si>
    <t>(3)+(4)-(5)</t>
  </si>
  <si>
    <t>(2)-(6)</t>
  </si>
  <si>
    <t>負数となる場合は0</t>
  </si>
  <si>
    <t>定額基準額</t>
  </si>
  <si>
    <t>2,000万円×当期月数/12</t>
  </si>
  <si>
    <t>所得金額</t>
  </si>
  <si>
    <t>所得基準額</t>
  </si>
  <si>
    <t>非適格合併による移転資産等の譲渡利益額又は譲渡損失額</t>
  </si>
  <si>
    <t>損失はマイナス</t>
  </si>
  <si>
    <t>受取配当等の益金不算入額</t>
  </si>
  <si>
    <t>別表八(一)「5」（通算法人間配当等を除く）</t>
  </si>
  <si>
    <t>外国子会社等から受ける剰余金配当等の益金不算入額</t>
  </si>
  <si>
    <t>別表八(二)「26」+別表十七(三の七)「27の計」</t>
  </si>
  <si>
    <t>受贈益の益金不算入額</t>
  </si>
  <si>
    <t>法人税額の還付金等</t>
  </si>
  <si>
    <t>別表四「19」+別表四付表「7」</t>
  </si>
  <si>
    <t>過誤納・中間納付還付を除く</t>
  </si>
  <si>
    <t>欠損金等の当期控除額</t>
  </si>
  <si>
    <t>別表七(一)「4の計」+該当する別表七の額</t>
  </si>
  <si>
    <t>災害損失欠損金額の益金算入額</t>
  </si>
  <si>
    <t>付表二「13」</t>
  </si>
  <si>
    <t>非通算法人は0</t>
  </si>
  <si>
    <t>付表二「17」</t>
  </si>
  <si>
    <t>他法人株式等の帳簿価額から減算される金額</t>
  </si>
  <si>
    <t>現物分配対応部分を除く</t>
  </si>
  <si>
    <t>新鉱床探鉱費又は海外新鉱床探鉱費の特別控除額</t>
  </si>
  <si>
    <t>日本船舶による収入金額に係る所得の損金算入額</t>
  </si>
  <si>
    <t>日本船舶による収入金額に係る所得の益金算入額</t>
  </si>
  <si>
    <t>特許権等の譲渡等による所得の特別控除額</t>
  </si>
  <si>
    <t>沖縄の認定法人・国家戦略特区指定法人の所得特別控除額</t>
  </si>
  <si>
    <t>沖縄の認定法人・国家戦略特区指定法人の要加算調整額</t>
  </si>
  <si>
    <t>収用等の場合等の所得の特別控除額</t>
  </si>
  <si>
    <t>特別新事業開拓事業者株式の特別勘定繰入額</t>
  </si>
  <si>
    <t>損金算入額</t>
  </si>
  <si>
    <t>特別新事業開拓事業者株式の特別勘定取崩額</t>
  </si>
  <si>
    <t>別表十(七)「20」+「22」</t>
  </si>
  <si>
    <t>益金算入額</t>
  </si>
  <si>
    <t>肉用牛の売却に係る所得の特別控除額</t>
  </si>
  <si>
    <t>超過利子額の損金算入額</t>
  </si>
  <si>
    <t>課税対象金額等の益金算入額</t>
  </si>
  <si>
    <t>所得等の金額</t>
  </si>
  <si>
    <t>(9)-(10)+(11)+(12)+(13)+(14)+(15)-(16)+(17)-(18)-(19)+(20)+(21)-(22)+(23)+(24)-(25)+(26)+(27)-(28)+(29)+(30)-(31)</t>
  </si>
  <si>
    <t>(32)×40％</t>
  </si>
  <si>
    <t>留保控除額</t>
  </si>
  <si>
    <t>(7)、(8)、(33)のいずれか多い金額</t>
  </si>
  <si>
    <t>別表三(一)「20」へ</t>
  </si>
  <si>
    <t>別表三(一) - 留保金額に対する税額の計算</t>
  </si>
  <si>
    <t>年3,000万円相当額以下の金額</t>
  </si>
  <si>
    <t>MIN((21),3,000万円×月数/12)</t>
  </si>
  <si>
    <t>1,000円単位</t>
  </si>
  <si>
    <t>年3,000万円相当額超・年1億円相当額以下</t>
  </si>
  <si>
    <t>通達16-1-8(2)の端数判定を適用</t>
  </si>
  <si>
    <t>特殊な切上げ・切捨て</t>
  </si>
  <si>
    <t>年1億円相当額を超える金額</t>
  </si>
  <si>
    <t>(21)-(1)-(2)</t>
  </si>
  <si>
    <t>課税留保金額 計</t>
  </si>
  <si>
    <t>(1)+(2)+(3)</t>
  </si>
  <si>
    <t>(21)と一致</t>
  </si>
  <si>
    <t>(1)の10％相当額</t>
  </si>
  <si>
    <t>(1)×10％</t>
  </si>
  <si>
    <t>(2)の15％相当額</t>
  </si>
  <si>
    <t>(2)×15％</t>
  </si>
  <si>
    <t>(3)の20％相当額</t>
  </si>
  <si>
    <t>(3)×20％</t>
  </si>
  <si>
    <t>留保金額に対する税額 計</t>
  </si>
  <si>
    <t>(5)+(6)+(7)</t>
  </si>
  <si>
    <t>別表一へ転記</t>
  </si>
  <si>
    <t>留保所得金額</t>
  </si>
  <si>
    <t>別表四「52の②」+別表十(七)「15」</t>
  </si>
  <si>
    <t>記載要領2(2)。内書額は別入力</t>
  </si>
  <si>
    <t>前期末配当等の額</t>
  </si>
  <si>
    <t>当期末配当等の額</t>
  </si>
  <si>
    <t>法人税額、地方法人税額及び防衛特別法人税額の合計額</t>
  </si>
  <si>
    <t>令和8年様式の算式を構成要素別に計算</t>
  </si>
  <si>
    <t>マイナスの場合0</t>
  </si>
  <si>
    <t>住民税額</t>
  </si>
  <si>
    <t>(28)</t>
  </si>
  <si>
    <t>外国関係会社等に係る控除対象所得税額等相当額</t>
  </si>
  <si>
    <t>法人税額等の合計額</t>
  </si>
  <si>
    <t>MAX((12)+(13)-(14),0)</t>
  </si>
  <si>
    <t>付表二「5」</t>
  </si>
  <si>
    <t>付表二「10」</t>
  </si>
  <si>
    <t>付表一「19」</t>
  </si>
  <si>
    <t>当期留保金額</t>
  </si>
  <si>
    <t>(9)-9内書+(10)-(11)-(15)+(16)-(17)-(18)</t>
  </si>
  <si>
    <t>記載要領2(1)を反映</t>
  </si>
  <si>
    <t>付表一「34」</t>
  </si>
  <si>
    <t>課税留保金額</t>
  </si>
  <si>
    <t>MAX((19)-(20),0)、1,000円未満切捨て</t>
  </si>
  <si>
    <t>通達16-1-8(1)</t>
  </si>
  <si>
    <t>住民税計算の基礎となる法人税額（中小企業者等以外）</t>
  </si>
  <si>
    <t>令和8年様式「22」</t>
  </si>
  <si>
    <t>記載要領4(1)反映</t>
  </si>
  <si>
    <t>住民税計算の基礎となる法人税額（中小企業者等）</t>
  </si>
  <si>
    <t>令和8年様式「23」</t>
  </si>
  <si>
    <t>記載要領4(2)反映</t>
  </si>
  <si>
    <t>選択した(22)又は(23)×10.4％</t>
  </si>
  <si>
    <t>措法42条の12の5第2項の該当性で選択</t>
  </si>
  <si>
    <t>特定寄附金の額の合計額に係る控除額</t>
  </si>
  <si>
    <t>損金算入される特定寄附金合計×40％</t>
  </si>
  <si>
    <t>施行令139条の10第1項</t>
  </si>
  <si>
    <t>調整地方税額に係る控除額</t>
  </si>
  <si>
    <t>((24)+(別表一11+17)×10.4％-付表六7計×10.4％)×20％</t>
  </si>
  <si>
    <t>10.4%=13/125、20%=1/5で厳密整数計算。マイナスの場合0</t>
  </si>
  <si>
    <t>住民税額から控除される金額</t>
  </si>
  <si>
    <t>(25)又は(26)の少ない金額</t>
  </si>
  <si>
    <t>(24)-(27)</t>
  </si>
  <si>
    <t>(13)へ</t>
  </si>
  <si>
    <t>端数処理ヘルパー</t>
  </si>
  <si>
    <t>値</t>
  </si>
  <si>
    <t>課税留保金額（切捨前）</t>
  </si>
  <si>
    <t>（21）で切り捨てた端数</t>
  </si>
  <si>
    <t>年1億円相当額（生額）</t>
  </si>
  <si>
    <t>（2）の丸め前金額</t>
  </si>
  <si>
    <t>（2）の1,000円未満端数</t>
  </si>
  <si>
    <t>（2）の丸め後金額</t>
  </si>
  <si>
    <t>=IF(inp_group="はい",inp_f2_b4f_3,0)</t>
  </si>
  <si>
    <t>=IF(inp_group="はい",inp_f2_b7_2_11,0)</t>
  </si>
  <si>
    <t>=IF(inp_group="はい",inp_f2_out_div_outflow,0)</t>
  </si>
  <si>
    <t>=IF(inp_group="はい",inp_f2_in_div_amount,0)</t>
  </si>
  <si>
    <t>=SUM(f2_01:f2_04)</t>
  </si>
  <si>
    <t>=IF(inp_group="はい",inp_f2_b4f_8,0)</t>
  </si>
  <si>
    <t>=IF(inp_group="はい",inp_f2_b7_2_5,0)</t>
  </si>
  <si>
    <t>=IF(inp_group="はい",inp_f2_group_div_received,0)</t>
  </si>
  <si>
    <t>=IF(inp_group="はい",f2_26,0)</t>
  </si>
  <si>
    <t>=SUM(f2_06:f2_09)</t>
  </si>
  <si>
    <t>=IF(inp_group="はい",inp_f2_b4f_9,0)</t>
  </si>
  <si>
    <t>=SUM(f2_11:f2_12)</t>
  </si>
  <si>
    <t>=IF(inp_group="はい",inp_f2_b7_2_f1_23,0)</t>
  </si>
  <si>
    <t>=IF(inp_group="はい",inp_f2_b8_1_f_24,0)</t>
  </si>
  <si>
    <t>=SUM(f2_14:f2_16)</t>
  </si>
  <si>
    <t>=MAX(f2_18-f2_04,0)</t>
  </si>
  <si>
    <t>=MIN(f2_03,f2_19)</t>
  </si>
  <si>
    <t>=IF(inp_group="はい",inp_f2_b18_1_5_total,0)-f2_20</t>
  </si>
  <si>
    <t>=MAX(f2_04-f2_18,0)</t>
  </si>
  <si>
    <t>=IF(inp_group="はい",inp_f2_b18_1_6_total,0)-f2_22</t>
  </si>
  <si>
    <t>=IF(f2_22+f2_23=0,0,f2_22/(f2_22+f2_23))</t>
  </si>
  <si>
    <t>=MAX(f2_03-f2_19,0)</t>
  </si>
  <si>
    <t>=IF(f2_22+f2_23=0,f2_25,QUOTIENT((f2_20+f2_21)*f2_22,f2_22+f2_23)+f2_25)</t>
  </si>
  <si>
    <t>bit</t>
  </si>
  <si>
    <t>bit値</t>
  </si>
  <si>
    <t>倍加後値</t>
  </si>
  <si>
    <t>商</t>
  </si>
  <si>
    <t>剰余</t>
  </si>
  <si>
    <t>r8_f2_26_ratio</t>
  </si>
  <si>
    <t>通算外配当等流出配賦額を厳密計算</t>
  </si>
  <si>
    <t>出力</t>
  </si>
  <si>
    <t>=inp_f1_capital</t>
  </si>
  <si>
    <t>=ROUNDDOWN(f1_01*25%,0)</t>
  </si>
  <si>
    <t>=inp_f1_b5_1_31_1-inp_prev_div</t>
  </si>
  <si>
    <t>=inp_f1_merger_inc</t>
  </si>
  <si>
    <t>=inp_f1_split_dec</t>
  </si>
  <si>
    <t>=f1_03+f1_04-f1_05</t>
  </si>
  <si>
    <t>=MAX(f1_02-f1_06,0)</t>
  </si>
  <si>
    <t>=IF(inp_months="",0,ROUNDDOWN(20000000*inp_months/12,0))</t>
  </si>
  <si>
    <t>=inp_f1_b4_52_1</t>
  </si>
  <si>
    <t>=inp_f1_b4_38</t>
  </si>
  <si>
    <t>=inp_f1_b8_1_5</t>
  </si>
  <si>
    <t>=inp_f1_b8_2_26+inp_f1_b17_3_7_27</t>
  </si>
  <si>
    <t>=inp_f1_b4_16</t>
  </si>
  <si>
    <t>=inp_f1_b4_19+inp_f1_b4f_7</t>
  </si>
  <si>
    <t>=inp_f1_b7_1_4+inp_f1_b7_other</t>
  </si>
  <si>
    <t>=inp_f1_b4_37</t>
  </si>
  <si>
    <t>=IF(inp_group="はい",f2_13,0)</t>
  </si>
  <si>
    <t>=IF(inp_group="はい",f2_17,0)</t>
  </si>
  <si>
    <t>=inp_f1_b8_3_13</t>
  </si>
  <si>
    <t>=inp_f1_b10_3_47</t>
  </si>
  <si>
    <t>=inp_f1_b10_4_20</t>
  </si>
  <si>
    <t>=inp_f1_b10_4_21_23</t>
  </si>
  <si>
    <t>=inp_f1_b10_5_12</t>
  </si>
  <si>
    <t>=inp_f1_b10_1_15_or_10_2_10</t>
  </si>
  <si>
    <t>=inp_f1_b10_1_16_or_10_2_11</t>
  </si>
  <si>
    <t>=inp_f1_b10_6_sum</t>
  </si>
  <si>
    <t>=inp_f1_b10_7_12</t>
  </si>
  <si>
    <t>=inp_f1_b10_7_20_22</t>
  </si>
  <si>
    <t>=inp_f1_b10_8_22</t>
  </si>
  <si>
    <t>=inp_f1_b17_2_3_10</t>
  </si>
  <si>
    <t>=inp_f1_b17_3_income_sum</t>
  </si>
  <si>
    <t>=f1_09-f1_10+f1_11+f1_12+f1_13+f1_14+f1_15-f1_16+f1_17-f1_18-f1_19+f1_20+f1_21-f1_22+f1_23+f1_24-f1_25+f1_26+f1_27-f1_28+f1_29+f1_30-f1_31</t>
  </si>
  <si>
    <t>=ROUNDDOWN(f1_32*40%,0)</t>
  </si>
  <si>
    <t>r8_f1_33_income</t>
  </si>
  <si>
    <t>所得基準額40％を厳密計算</t>
  </si>
  <si>
    <t>=MAX(f1_07,f1_08,f1_33)</t>
  </si>
  <si>
    <t>=MIN(m_21,IF(inp_months="",0,30000000*inp_months/12))</t>
  </si>
  <si>
    <t>=$G$10</t>
  </si>
  <si>
    <t>=m_21-m_01-m_02</t>
  </si>
  <si>
    <t>=SUM(m_01:m_03)</t>
  </si>
  <si>
    <t>=ROUNDDOWN(m_01*10%,0)</t>
  </si>
  <si>
    <t>=ROUNDDOWN(m_02*15%,0)</t>
  </si>
  <si>
    <t>=ROUNDDOWN(m_03*20%,0)</t>
  </si>
  <si>
    <t>=SUM(m_05:m_07)</t>
  </si>
  <si>
    <t>=inp_m_B4_52_2+inp_b10_7_15</t>
  </si>
  <si>
    <t>=inp_prev_div</t>
  </si>
  <si>
    <t>=inp_curr_div</t>
  </si>
  <si>
    <t>=MAX(MAX((inp_b1_2-inp_b1_3+inp_b1_4+inp_b1_6+inp_b1_9out-inp_b1_11-inp_b1_18)-inp_b6_5_2_5_3,0)+MAX((inp_b1_31+inp_b1_32-inp_b1_36-inp_b1_94)-MAX(inp_b6_5_2_5_3-(inp_b1_2-inp_b1_3+inp_b1_4+inp_b1_6+inp_b1_9out),0),0)+MAX(inp_b1_50+inp_b1_51-inp_b1_55-inp_b1_71,0)-MAX(inp_b6_5_2_5_3-(inp_b1_2-inp_b1_3+inp_b1_4+inp_b1_6+inp_b1_9out)-(inp_b1_31+inp_b1_32),0),0)</t>
  </si>
  <si>
    <t>=m_28</t>
  </si>
  <si>
    <t>=inp_b17_3_6_1</t>
  </si>
  <si>
    <t>=MAX(m_12+m_13-m_14,0)</t>
  </si>
  <si>
    <t>=IF(inp_group="はい",f2_05,0)</t>
  </si>
  <si>
    <t>=IF(inp_group="はい",f2_10,0)</t>
  </si>
  <si>
    <t>=f1_19</t>
  </si>
  <si>
    <t>=m_09-inp_m_B4_17_inner+m_10-m_11-m_15+m_16-m_17-m_18</t>
  </si>
  <si>
    <t>=f1_34</t>
  </si>
  <si>
    <t>=ROUNDDOWN(MAX(m_19-m_20,0),-3)</t>
  </si>
  <si>
    <t>=(inp_b1_2+(inp_b1_4-inp_b6_9_f_40-inp_b6_9_f_45-inp_b6_12_f2_19-inp_b6_12_f2_24)+inp_b1_6+inp_b1_9out-inp_b1_11-inp_b1_17)-(inp_b6_6_9_2+inp_b6_6_9_3+inp_b6_6_9_5_8+inp_b6_6_9_16_18+inp_b6_6_9_27_29)</t>
  </si>
  <si>
    <t>=(inp_b1_2+(inp_b1_4-inp_b6_9_f_40-inp_b6_9_f_45)+inp_b1_6+inp_b1_9out-inp_b1_11-inp_b1_17)-(inp_b6_6_3+inp_b6_6_9_2+inp_b6_6_9_3+inp_b6_6_9_4+inp_b6_6_9_5_8+inp_b6_6_9_11_14+inp_b6_6_9_16_18+inp_b6_6_9_19_20+inp_b6_6_9_25_26+inp_b6_6_9_27_29)</t>
  </si>
  <si>
    <t>=ROUNDDOWN(MAX(0,IF(inp_class="該当",m_23,m_22))*10.4%,0)</t>
  </si>
  <si>
    <t>r8_m_24_resident</t>
  </si>
  <si>
    <t>住民税率を1円未満切捨てで厳密計算</t>
  </si>
  <si>
    <t>=ROUNDDOWN(inp_specific_donation_total*40%,0)</t>
  </si>
  <si>
    <t>=QUOTIENT(MAX(0,m_24*125+(inp_b1_11+inp_b1_17-inp_b6_2_f6_7_total)*13),625)</t>
  </si>
  <si>
    <t>r8_m_26_municipal</t>
  </si>
  <si>
    <t>調整地方税額：住民税項</t>
  </si>
  <si>
    <t>r8_m_26_delta</t>
  </si>
  <si>
    <t>調整地方税額：加減算項</t>
  </si>
  <si>
    <t>=MIN(m_25,m_26)</t>
  </si>
  <si>
    <t>=m_24-m_27</t>
  </si>
  <si>
    <t>全演算が2^53未満の整数安全域</t>
  </si>
  <si>
    <t>令和8年版の適用終了日条件</t>
  </si>
  <si>
    <t>令和8年版の通算制度開始日条件</t>
  </si>
  <si>
    <t>付表二21・23欄と24欄割合の入力整合性</t>
  </si>
  <si>
    <t>別表二判定結果18</t>
  </si>
  <si>
    <t>中小企業者等区分の選択</t>
  </si>
  <si>
    <t>通算法人区分の選択</t>
  </si>
  <si>
    <t>開始日・終了日・事業年度月数の有効性（1900～2100年・12か月以内）</t>
  </si>
  <si>
    <t>最終結果・帳票印字の準備完了</t>
  </si>
  <si>
    <t>特定同族会社の留保金課税 計算シート</t>
  </si>
  <si>
    <t>国税庁 令和8年4月1日以後終了事業年度分 別表三(一)・付表一・付表二対応</t>
  </si>
  <si>
    <t>最終結果</t>
  </si>
  <si>
    <t>留保金額に対する税額（別表三(一)「8」）</t>
  </si>
  <si>
    <t>課税留保金額（同「21」）</t>
  </si>
  <si>
    <t>留保控除額（付表一「34」）</t>
  </si>
  <si>
    <t>住民税額（別表三(一)「28」）</t>
  </si>
  <si>
    <t>適用・入力チェック</t>
  </si>
  <si>
    <t>様式の適用関係</t>
  </si>
  <si>
    <t>特定同族会社の判定</t>
  </si>
  <si>
    <t>通算法人の取扱い</t>
  </si>
  <si>
    <t>事業年度月数</t>
  </si>
  <si>
    <t>厳密整数演算・付表二整合性</t>
  </si>
  <si>
    <t>使い方</t>
  </si>
  <si>
    <t>1. 「入力」シートの黄色セルへ、各別表から金額を転記します。</t>
  </si>
  <si>
    <t>2. 法人区分・通算法人該当を選択し、計算シートの各欄を確認します。</t>
  </si>
  <si>
    <t>3. 「検算」シートが全てOKであることを確認します。</t>
  </si>
  <si>
    <t>4. 印刷用の「別表三(一)」「付表一」「付表二」を必要に応じて印刷します。</t>
  </si>
  <si>
    <t>5. 実申告前に税理士・社内税務担当者が他の申告書別表との一致を確認してください。</t>
  </si>
  <si>
    <t>シート移動</t>
  </si>
  <si>
    <t>入力</t>
  </si>
  <si>
    <t>主表計算</t>
  </si>
  <si>
    <t>付表一計算</t>
  </si>
  <si>
    <t>付表二計算</t>
  </si>
  <si>
    <t>別表三(一)</t>
  </si>
  <si>
    <t>付表一</t>
  </si>
  <si>
    <t>付表二</t>
  </si>
  <si>
    <t>検算</t>
  </si>
  <si>
    <t>注意：本ブックは国税庁の令和8年様式・記載要領を基に計算補助を行うものです。法人の事実関係、特定同族会社該当性、各別表の転記値及び税制改正・経過措置は必ず最終確認してください。</t>
  </si>
  <si>
    <t>根拠・出典</t>
  </si>
  <si>
    <t>区分</t>
  </si>
  <si>
    <t>資料名</t>
  </si>
  <si>
    <t>URL</t>
  </si>
  <si>
    <t>反映内容</t>
  </si>
  <si>
    <t>国税庁</t>
  </si>
  <si>
    <t>令和8年法人税等各種別表一覧</t>
  </si>
  <si>
    <t>https://www.nta.go.jp/taxes/tetsuzuki/shinsei/annai/hojin/shinkoku/itiran2026/01.htm</t>
  </si>
  <si>
    <t>適用年度・様式版</t>
  </si>
  <si>
    <t>別表三(一) 様式</t>
  </si>
  <si>
    <t>https://www.nta.go.jp/taxes/tetsuzuki/shinsei/annai/hojin/shinkoku/itiran2026/pdf/03%2801%29.pdf</t>
  </si>
  <si>
    <t>主表の完全版面・欄番号・算式</t>
  </si>
  <si>
    <t>別表三(一) 記載の仕方</t>
  </si>
  <si>
    <t>https://www.nta.go.jp/taxes/tetsuzuki/shinsei/annai/hojin/shinkoku/itiran2026/pdf/03%2801%29-ki.pdf</t>
  </si>
  <si>
    <t>9内書、19、22・23、24の取扱い</t>
  </si>
  <si>
    <t>別表三(一)付表一 様式</t>
  </si>
  <si>
    <t>https://www.nta.go.jp/taxes/tetsuzuki/shinsei/annai/hojin/shinkoku/itiran2026/pdf/03%2801%29-f1.pdf</t>
  </si>
  <si>
    <t>留保控除額1～34</t>
  </si>
  <si>
    <t>別表三(一)付表一 記載の仕方</t>
  </si>
  <si>
    <t>https://www.nta.go.jp/taxes/tetsuzuki/shinsei/annai/hojin/shinkoku/itiran2026/pdf/03%2801%29-f1-ki.pdf</t>
  </si>
  <si>
    <t>19欄の現物分配調整</t>
  </si>
  <si>
    <t>別表三(一)付表二 様式</t>
  </si>
  <si>
    <t>https://www.nta.go.jp/taxes/tetsuzuki/shinsei/annai/hojin/shinkoku/itiran2026/pdf/03%2801%29-f2.pdf</t>
  </si>
  <si>
    <t>通算法人1～26</t>
  </si>
  <si>
    <t>別表三(一)付表二 記載の仕方</t>
  </si>
  <si>
    <t>https://www.nta.go.jp/taxes/tetsuzuki/shinsei/annai/hojin/shinkoku/itiran2026/pdf/03%2801%29-f2-ki.pdf</t>
  </si>
  <si>
    <t>通算法人間配当等の定義・使用条件</t>
  </si>
  <si>
    <t>法人税基本通達16-1-8（留保金額の端数計算）</t>
  </si>
  <si>
    <t>https://www.nta.go.jp/law/tsutatsu/kihon/hojin/16/16_01_02.htm</t>
  </si>
  <si>
    <t>1,000円未満切捨て・短期事業年度の特殊丸め</t>
  </si>
  <si>
    <t>e-Gov</t>
  </si>
  <si>
    <t>法人税法 第67条（特定同族会社の特別税率）</t>
  </si>
  <si>
    <t>https://laws.e-gov.go.jp/law/340AC0000000034#Mp-At_67</t>
  </si>
  <si>
    <t>税率、留保控除額、月数</t>
  </si>
  <si>
    <t>国税通則法 第10条（期間の計算及び期限の特例）</t>
  </si>
  <si>
    <t>https://laws.e-gov.go.jp/law/337AC0000000066#Mp-At_10</t>
  </si>
  <si>
    <t>暦による月数計算・応当日がない月の満了日</t>
  </si>
  <si>
    <t>検算・QA</t>
  </si>
  <si>
    <t>検算項目</t>
  </si>
  <si>
    <t>判定式</t>
  </si>
  <si>
    <t>結果</t>
  </si>
  <si>
    <t>様式適用日</t>
  </si>
  <si>
    <t>=inp_end&gt;=DATE(2026,4,1)</t>
  </si>
  <si>
    <t>令和8年4月1日以後終了事業年度分</t>
  </si>
  <si>
    <t>特定同族会社判定</t>
  </si>
  <si>
    <t>=inp_special="はい"</t>
  </si>
  <si>
    <t>別表二「判定結果18」</t>
  </si>
  <si>
    <t>開始日・終了日・月数の有効性</t>
  </si>
  <si>
    <t>=cfg_period_input_valid</t>
  </si>
  <si>
    <t>1900～2100年、日付型、前後関係、12か月以内</t>
  </si>
  <si>
    <t>事業年度は暦による12か月以内</t>
  </si>
  <si>
    <t>=inp_end&lt;=IF(DAY(EDATE(inp_start,12))&lt;DAY(inp_start),EDATE(inp_start,12),EDATE(inp_start,12)-1)</t>
  </si>
  <si>
    <t>終了年等の誤入力を検知</t>
  </si>
  <si>
    <t>月数範囲</t>
  </si>
  <si>
    <t>=AND(inp_months&gt;=1,inp_months&lt;=12)</t>
  </si>
  <si>
    <t>端数月は1月に切上げ</t>
  </si>
  <si>
    <t>法人区分の必須選択</t>
  </si>
  <si>
    <t>=OR(inp_class="該当",inp_class="非該当")</t>
  </si>
  <si>
    <t>措法42条の12の5第2項の該当性</t>
  </si>
  <si>
    <t>通算法人区分の必須選択</t>
  </si>
  <si>
    <t>=OR(inp_group="はい",inp_group="いいえ")</t>
  </si>
  <si>
    <t>空欄の黙示的な非通算扱いを防止</t>
  </si>
  <si>
    <t>主表 (9)=別表四52②+別表十(七)15</t>
  </si>
  <si>
    <t>=m_09=inp_m_B4_52_2+inp_b10_7_15</t>
  </si>
  <si>
    <t>主表記載要領2(2)</t>
  </si>
  <si>
    <t>主表 (4)=(21)</t>
  </si>
  <si>
    <t>=m_04=m_21</t>
  </si>
  <si>
    <t>課税留保金額の区分合計</t>
  </si>
  <si>
    <t>主表 (8)=(5)+(6)+(7)</t>
  </si>
  <si>
    <t>=m_08=SUM(m_05:m_07)</t>
  </si>
  <si>
    <t>留保金額に対する税額</t>
  </si>
  <si>
    <t>主表 (21)は1,000円単位</t>
  </si>
  <si>
    <t>=MOD(m_21,1000)=0</t>
  </si>
  <si>
    <t>付表一 (6)=(3)+(4)-(5)</t>
  </si>
  <si>
    <t>=f1_06=f1_03+f1_04-f1_05</t>
  </si>
  <si>
    <t>付表一 (34)=MAX(7,8,33)</t>
  </si>
  <si>
    <t>=f1_34=MAX(f1_07,f1_08,f1_33)</t>
  </si>
  <si>
    <t>付表二 (5)=SUM(1:4)</t>
  </si>
  <si>
    <t>=f2_05=SUM(f2_01:f2_04)</t>
  </si>
  <si>
    <t>付表二 (10)=SUM(6:9)</t>
  </si>
  <si>
    <t>=f2_10=SUM(f2_06:f2_09)</t>
  </si>
  <si>
    <t>付表二 (13)=SUM(11:12)</t>
  </si>
  <si>
    <t>=f2_13=SUM(f2_11:f2_12)</t>
  </si>
  <si>
    <t>所得基準額加算額</t>
  </si>
  <si>
    <t>付表二 (17)=SUM(14:16)</t>
  </si>
  <si>
    <t>=f2_17=SUM(f2_14:f2_16)</t>
  </si>
  <si>
    <t>所得基準額控除額</t>
  </si>
  <si>
    <t>自動テスト結果</t>
  </si>
  <si>
    <t>ケース</t>
  </si>
  <si>
    <t>期待値</t>
  </si>
  <si>
    <t>実測値</t>
  </si>
  <si>
    <t>未確認</t>
    <phoneticPr fontId="4"/>
  </si>
  <si>
    <t>未選択</t>
    <phoneticPr fontId="4"/>
  </si>
  <si>
    <t>12か月・3段階税率</t>
  </si>
  <si>
    <t>課税留保180,000,000 / 税額29,500,000</t>
  </si>
  <si>
    <t>180,000,000
29,500,000</t>
  </si>
  <si>
    <t>PASS</t>
  </si>
  <si>
    <t>5か月・端数切上げ</t>
  </si>
  <si>
    <t>(2)=29,167,000</t>
  </si>
  <si>
    <t>5か月・端数切捨て</t>
  </si>
  <si>
    <t>(2)=29,166,000</t>
  </si>
  <si>
    <t>月末開始・平年短月末</t>
  </si>
  <si>
    <t>月数=1</t>
  </si>
  <si>
    <t>月末開始・閏年短月末</t>
  </si>
  <si>
    <t>31日開始・30日月末</t>
  </si>
  <si>
    <t>応当日前日まで</t>
  </si>
  <si>
    <t>1か月と1日</t>
  </si>
  <si>
    <t>月数=2</t>
  </si>
  <si>
    <t>事業年度・文字列貼付ガード</t>
  </si>
  <si>
    <t>period=FALSE / ready=FALSE</t>
  </si>
  <si>
    <t>period=False / ready=False</t>
  </si>
  <si>
    <t>事業年度・12か月超ガード</t>
  </si>
  <si>
    <t>事業年度・2101年範囲外ガード</t>
  </si>
  <si>
    <t>別表十(七)15の主表9加算・伝播</t>
  </si>
  <si>
    <t>9=110,000,000 / 21=90,000,000 / 8=12,000,000</t>
  </si>
  <si>
    <t>110,000,000
90,000,000
12,000,000</t>
  </si>
  <si>
    <t>主表26・10.4%×20%厳密計算</t>
  </si>
  <si>
    <t>(26)=416,000</t>
  </si>
  <si>
    <t>住民税10.4%・15桁厳密切捨て</t>
  </si>
  <si>
    <t>付表一7・負数は0</t>
  </si>
  <si>
    <t>0 / 30,000,000</t>
  </si>
  <si>
    <t>付表二26・15桁厳密除算反例</t>
  </si>
  <si>
    <t>(26)=135,625,407,013</t>
  </si>
  <si>
    <t>別表二判定結果18・出力ガード</t>
  </si>
  <si>
    <t>未確認/いいえは停止、はいで有効</t>
  </si>
  <si>
    <t>未確認停止=True / いいえ停止=True / はい有効=True</t>
  </si>
  <si>
    <t>厳密整数演算ヘルパー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</si>
</sst>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9" formatCode="yyyy/mm/dd"/>
    <numFmt numFmtId="180" formatCode="#,##0;\-#,##0;0"/>
    <numFmt numFmtId="181" formatCode="0.00000000"/>
    <numFmt numFmtId="182" formatCode="#,##0&quot; 円&quot;"/>
  </numFmts>
  <fonts count="18">
    <font>
      <sz val="11"/>
      <color theme="1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b/>
      <sz val="11"/>
      <color rgb="FFFFFFFF"/>
      <name val="游ゴシック"/>
      <family val="3"/>
      <charset val="128"/>
      <scheme val="minor"/>
    </font>
    <font>
      <b/>
      <sz val="10"/>
      <color rgb="FFFFFFFF"/>
      <name val="游ゴシック"/>
      <family val="3"/>
      <charset val="128"/>
      <scheme val="minor"/>
    </font>
    <font>
      <sz val="6"/>
      <name val="游ゴシック"/>
      <family val="2"/>
      <charset val="128"/>
      <scheme val="minor"/>
    </font>
    <font>
      <b/>
      <sz val="9"/>
      <color indexed="81"/>
      <name val="MS P ゴシック"/>
      <family val="3"/>
      <charset val="128"/>
    </font>
    <font>
      <b/>
      <sz val="16"/>
      <color rgb="FFFFFFFF"/>
      <name val="Yu Gothic"/>
      <family val="3"/>
      <charset val="128"/>
    </font>
    <font>
      <sz val="11"/>
      <color theme="1"/>
      <name val="Yu Gothic"/>
      <family val="3"/>
      <charset val="128"/>
    </font>
    <font>
      <sz val="11"/>
      <color rgb="FF595959"/>
      <name val="Yu Gothic"/>
      <family val="3"/>
      <charset val="128"/>
    </font>
    <font>
      <b/>
      <sz val="10"/>
      <color rgb="FFFFFFFF"/>
      <name val="Yu Gothic"/>
      <family val="3"/>
      <charset val="128"/>
    </font>
    <font>
      <b/>
      <sz val="11"/>
      <color rgb="FFFFFFFF"/>
      <name val="Yu Gothic"/>
      <family val="3"/>
      <charset val="128"/>
    </font>
    <font>
      <b/>
      <sz val="11"/>
      <color theme="1"/>
      <name val="Yu Gothic"/>
      <family val="3"/>
      <charset val="128"/>
    </font>
    <font>
      <u/>
      <sz val="11"/>
      <color theme="10"/>
      <name val="游ゴシック"/>
      <family val="2"/>
      <charset val="128"/>
      <scheme val="minor"/>
    </font>
    <font>
      <b/>
      <sz val="18"/>
      <color rgb="FFFFFFFF"/>
      <name val="Yu Gothic"/>
      <family val="3"/>
      <charset val="128"/>
    </font>
    <font>
      <b/>
      <sz val="13"/>
      <color theme="1"/>
      <name val="Yu Gothic"/>
      <family val="3"/>
      <charset val="128"/>
    </font>
    <font>
      <u/>
      <sz val="11"/>
      <color rgb="FF2F75B5"/>
      <name val="Yu Gothic"/>
      <family val="3"/>
      <charset val="128"/>
    </font>
    <font>
      <b/>
      <sz val="11"/>
      <color rgb="FFC00000"/>
      <name val="Yu Gothic"/>
      <family val="3"/>
      <charset val="128"/>
    </font>
    <font>
      <b/>
      <sz val="11"/>
      <color rgb="FF548235"/>
      <name val="游ゴシック"/>
      <family val="3"/>
      <charset val="128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17365D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EDF4FB"/>
        <bgColor indexed="64"/>
      </patternFill>
    </fill>
    <fill>
      <patternFill patternType="solid">
        <fgColor rgb="FF2F75B5"/>
        <bgColor indexed="64"/>
      </patternFill>
    </fill>
    <fill>
      <patternFill patternType="solid">
        <fgColor rgb="FF548235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CE4D6"/>
        <bgColor indexed="64"/>
      </patternFill>
    </fill>
  </fills>
  <borders count="4">
    <border>
      <left/>
      <right/>
      <top/>
      <bottom/>
      <diagonal/>
    </border>
    <border>
      <left style="thin">
        <color rgb="FF7F8C8D"/>
      </left>
      <right style="thin">
        <color rgb="FF7F8C8D"/>
      </right>
      <top style="thin">
        <color rgb="FF7F8C8D"/>
      </top>
      <bottom style="thin">
        <color rgb="FF7F8C8D"/>
      </bottom>
      <diagonal/>
    </border>
    <border>
      <left/>
      <right/>
      <top style="thin">
        <color rgb="FF7F8C8D"/>
      </top>
      <bottom/>
      <diagonal/>
    </border>
    <border>
      <left style="thin">
        <color rgb="FFC00000"/>
      </left>
      <right style="thin">
        <color rgb="FFC00000"/>
      </right>
      <top style="thin">
        <color rgb="FFC00000"/>
      </top>
      <bottom style="thin">
        <color rgb="FFC00000"/>
      </bottom>
      <diagonal/>
    </border>
  </borders>
  <cellStyleXfs count="2">
    <xf numFmtId="0" fontId="0" fillId="0" borderId="0">
      <alignment vertical="center"/>
    </xf>
    <xf numFmtId="0" fontId="12" fillId="0" borderId="0" applyNumberFormat="0" applyFill="0" applyBorder="0" applyAlignment="0" applyProtection="0">
      <alignment vertical="center"/>
    </xf>
  </cellStyleXfs>
  <cellXfs count="55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>
      <alignment vertical="center"/>
    </xf>
    <xf numFmtId="0" fontId="3" fillId="2" borderId="0" xfId="0" applyFont="1" applyFill="1" applyAlignment="1">
      <alignment horizontal="left" vertical="center"/>
    </xf>
    <xf numFmtId="0" fontId="0" fillId="0" borderId="0" xfId="0" applyAlignment="1">
      <alignment vertical="center" wrapText="1"/>
    </xf>
    <xf numFmtId="0" fontId="0" fillId="0" borderId="1" xfId="0" applyBorder="1">
      <alignment vertical="center"/>
    </xf>
    <xf numFmtId="0" fontId="0" fillId="0" borderId="1" xfId="0" applyBorder="1" applyAlignment="1">
      <alignment vertical="center" wrapText="1"/>
    </xf>
    <xf numFmtId="0" fontId="6" fillId="2" borderId="0" xfId="0" applyFont="1" applyFill="1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7" fillId="0" borderId="0" xfId="0" applyFont="1">
      <alignment vertical="center"/>
    </xf>
    <xf numFmtId="0" fontId="9" fillId="2" borderId="1" xfId="0" applyFont="1" applyFill="1" applyBorder="1" applyAlignment="1">
      <alignment horizontal="left" vertical="center"/>
    </xf>
    <xf numFmtId="0" fontId="7" fillId="0" borderId="1" xfId="0" applyFont="1" applyBorder="1" applyAlignment="1">
      <alignment vertical="center"/>
    </xf>
    <xf numFmtId="0" fontId="7" fillId="0" borderId="1" xfId="0" applyFont="1" applyBorder="1" applyAlignment="1">
      <alignment vertical="center"/>
    </xf>
    <xf numFmtId="0" fontId="10" fillId="5" borderId="1" xfId="0" applyFont="1" applyFill="1" applyBorder="1" applyAlignment="1">
      <alignment vertical="center"/>
    </xf>
    <xf numFmtId="0" fontId="7" fillId="0" borderId="1" xfId="0" applyFont="1" applyBorder="1" applyAlignment="1">
      <alignment vertical="center" wrapText="1"/>
    </xf>
    <xf numFmtId="1" fontId="7" fillId="4" borderId="1" xfId="0" applyNumberFormat="1" applyFont="1" applyFill="1" applyBorder="1" applyAlignment="1">
      <alignment horizontal="right" vertical="center"/>
    </xf>
    <xf numFmtId="0" fontId="7" fillId="0" borderId="0" xfId="0" applyFont="1" applyAlignment="1">
      <alignment horizontal="right" vertical="center"/>
    </xf>
    <xf numFmtId="0" fontId="9" fillId="2" borderId="1" xfId="0" applyFont="1" applyFill="1" applyBorder="1" applyAlignment="1">
      <alignment horizontal="right" vertical="center"/>
    </xf>
    <xf numFmtId="0" fontId="10" fillId="5" borderId="1" xfId="0" applyFont="1" applyFill="1" applyBorder="1" applyAlignment="1">
      <alignment horizontal="right" vertical="center"/>
    </xf>
    <xf numFmtId="0" fontId="7" fillId="0" borderId="1" xfId="0" applyFont="1" applyBorder="1" applyAlignment="1">
      <alignment horizontal="right" vertical="center"/>
    </xf>
    <xf numFmtId="0" fontId="6" fillId="2" borderId="0" xfId="0" applyFont="1" applyFill="1" applyAlignment="1">
      <alignment vertical="center"/>
    </xf>
    <xf numFmtId="0" fontId="7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49" fontId="0" fillId="0" borderId="0" xfId="0" applyNumberFormat="1">
      <alignment vertical="center"/>
    </xf>
    <xf numFmtId="0" fontId="10" fillId="5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49" fontId="7" fillId="0" borderId="1" xfId="0" applyNumberFormat="1" applyFont="1" applyBorder="1" applyAlignment="1">
      <alignment vertical="center" wrapText="1"/>
    </xf>
    <xf numFmtId="180" fontId="7" fillId="4" borderId="1" xfId="0" applyNumberFormat="1" applyFont="1" applyFill="1" applyBorder="1" applyAlignment="1">
      <alignment horizontal="right" vertical="center"/>
    </xf>
    <xf numFmtId="0" fontId="2" fillId="6" borderId="1" xfId="0" applyFont="1" applyFill="1" applyBorder="1">
      <alignment vertical="center"/>
    </xf>
    <xf numFmtId="4" fontId="0" fillId="0" borderId="1" xfId="0" applyNumberFormat="1" applyBorder="1">
      <alignment vertical="center"/>
    </xf>
    <xf numFmtId="181" fontId="7" fillId="4" borderId="1" xfId="0" applyNumberFormat="1" applyFont="1" applyFill="1" applyBorder="1" applyAlignment="1">
      <alignment horizontal="right" vertical="center"/>
    </xf>
    <xf numFmtId="180" fontId="11" fillId="7" borderId="1" xfId="0" applyNumberFormat="1" applyFont="1" applyFill="1" applyBorder="1" applyAlignment="1">
      <alignment horizontal="right" vertical="center"/>
    </xf>
    <xf numFmtId="0" fontId="13" fillId="2" borderId="0" xfId="0" applyFont="1" applyFill="1">
      <alignment vertical="center"/>
    </xf>
    <xf numFmtId="0" fontId="11" fillId="8" borderId="0" xfId="0" applyFont="1" applyFill="1">
      <alignment vertical="center"/>
    </xf>
    <xf numFmtId="182" fontId="14" fillId="7" borderId="1" xfId="0" applyNumberFormat="1" applyFont="1" applyFill="1" applyBorder="1" applyAlignment="1">
      <alignment horizontal="right" vertical="center"/>
    </xf>
    <xf numFmtId="0" fontId="7" fillId="0" borderId="1" xfId="0" applyFont="1" applyBorder="1" applyAlignment="1">
      <alignment horizontal="right" vertical="center"/>
    </xf>
    <xf numFmtId="0" fontId="7" fillId="0" borderId="1" xfId="0" applyFont="1" applyBorder="1" applyAlignment="1">
      <alignment vertical="center" wrapText="1"/>
    </xf>
    <xf numFmtId="0" fontId="9" fillId="2" borderId="2" xfId="0" applyFont="1" applyFill="1" applyBorder="1" applyAlignment="1">
      <alignment horizontal="left" vertical="center"/>
    </xf>
    <xf numFmtId="0" fontId="7" fillId="0" borderId="0" xfId="0" applyFont="1" applyAlignment="1">
      <alignment vertical="center" wrapText="1"/>
    </xf>
    <xf numFmtId="0" fontId="15" fillId="9" borderId="1" xfId="1" applyFont="1" applyFill="1" applyBorder="1" applyAlignment="1">
      <alignment horizontal="center" vertical="center"/>
    </xf>
    <xf numFmtId="0" fontId="16" fillId="10" borderId="3" xfId="0" applyFont="1" applyFill="1" applyBorder="1" applyAlignment="1">
      <alignment vertical="center" wrapText="1"/>
    </xf>
    <xf numFmtId="0" fontId="7" fillId="0" borderId="3" xfId="0" applyFont="1" applyBorder="1" applyAlignment="1">
      <alignment vertical="center" wrapText="1"/>
    </xf>
    <xf numFmtId="0" fontId="2" fillId="5" borderId="1" xfId="0" applyFont="1" applyFill="1" applyBorder="1" applyAlignment="1">
      <alignment vertical="center" wrapText="1"/>
    </xf>
    <xf numFmtId="0" fontId="10" fillId="5" borderId="1" xfId="0" applyFont="1" applyFill="1" applyBorder="1" applyAlignment="1">
      <alignment vertical="center" wrapText="1"/>
    </xf>
    <xf numFmtId="0" fontId="15" fillId="0" borderId="1" xfId="1" applyFont="1" applyBorder="1" applyAlignment="1">
      <alignment vertical="center" wrapText="1"/>
    </xf>
    <xf numFmtId="0" fontId="7" fillId="0" borderId="1" xfId="0" quotePrefix="1" applyFont="1" applyBorder="1" applyAlignment="1">
      <alignment vertical="center" wrapText="1"/>
    </xf>
    <xf numFmtId="0" fontId="11" fillId="0" borderId="1" xfId="0" applyFont="1" applyBorder="1" applyAlignment="1">
      <alignment horizontal="center" vertical="center" wrapText="1"/>
    </xf>
    <xf numFmtId="0" fontId="17" fillId="7" borderId="1" xfId="0" applyFont="1" applyFill="1" applyBorder="1" applyAlignment="1">
      <alignment vertical="center" wrapText="1"/>
    </xf>
    <xf numFmtId="3" fontId="0" fillId="0" borderId="1" xfId="0" applyNumberFormat="1" applyBorder="1" applyAlignment="1">
      <alignment vertical="center" wrapText="1"/>
    </xf>
    <xf numFmtId="180" fontId="7" fillId="3" borderId="1" xfId="0" applyNumberFormat="1" applyFont="1" applyFill="1" applyBorder="1" applyAlignment="1" applyProtection="1">
      <alignment horizontal="right" vertical="center"/>
      <protection locked="0"/>
    </xf>
    <xf numFmtId="49" fontId="7" fillId="3" borderId="1" xfId="0" applyNumberFormat="1" applyFont="1" applyFill="1" applyBorder="1" applyAlignment="1" applyProtection="1">
      <alignment horizontal="right" vertical="center"/>
      <protection locked="0"/>
    </xf>
    <xf numFmtId="0" fontId="7" fillId="3" borderId="1" xfId="0" applyNumberFormat="1" applyFont="1" applyFill="1" applyBorder="1" applyAlignment="1" applyProtection="1">
      <alignment horizontal="right" vertical="center"/>
      <protection locked="0"/>
    </xf>
    <xf numFmtId="179" fontId="7" fillId="3" borderId="1" xfId="0" applyNumberFormat="1" applyFont="1" applyFill="1" applyBorder="1" applyAlignment="1" applyProtection="1">
      <alignment horizontal="right" vertical="center"/>
      <protection locked="0"/>
    </xf>
  </cellXfs>
  <cellStyles count="2">
    <cellStyle name="ハイパーリンク" xfId="1" builtinId="8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svg"/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svg"/><Relationship Id="rId1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0</xdr:colOff>
      <xdr:row>0</xdr:row>
      <xdr:rowOff>0</xdr:rowOff>
    </xdr:from>
    <xdr:to>
      <xdr:col>11</xdr:col>
      <xdr:colOff>574294</xdr:colOff>
      <xdr:row>3</xdr:row>
      <xdr:rowOff>25400</xdr:rowOff>
    </xdr:to>
    <xdr:pic>
      <xdr:nvPicPr>
        <xdr:cNvPr id="3" name="国税庁公式様式_背景">
          <a:extLst>
            <a:ext uri="{FF2B5EF4-FFF2-40B4-BE49-F238E27FC236}">
              <a16:creationId xmlns:a16="http://schemas.microsoft.com/office/drawing/2014/main" id="{847980B4-1ABE-149D-9A42-3F3AA762B55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0" y="0"/>
          <a:ext cx="7559294" cy="10693400"/>
        </a:xfrm>
        <a:prstGeom prst="rect">
          <a:avLst/>
        </a:prstGeom>
      </xdr:spPr>
    </xdr:pic>
    <xdr:clientData/>
  </xdr:twoCellAnchor>
  <xdr:twoCellAnchor editAs="absolute">
    <xdr:from>
      <xdr:col>6</xdr:col>
      <xdr:colOff>373467</xdr:colOff>
      <xdr:row>0</xdr:row>
      <xdr:rowOff>462280</xdr:rowOff>
    </xdr:from>
    <xdr:to>
      <xdr:col>7</xdr:col>
      <xdr:colOff>574783</xdr:colOff>
      <xdr:row>0</xdr:row>
      <xdr:rowOff>838200</xdr:rowOff>
    </xdr:to>
    <xdr:sp macro="" textlink="印字値!$A$2">
      <xdr:nvSpPr>
        <xdr:cNvPr id="4" name="事業年度">
          <a:extLst>
            <a:ext uri="{FF2B5EF4-FFF2-40B4-BE49-F238E27FC236}">
              <a16:creationId xmlns:a16="http://schemas.microsoft.com/office/drawing/2014/main" id="{0FE253E7-4F96-2932-12EB-070DAFDF2243}"/>
            </a:ext>
          </a:extLst>
        </xdr:cNvPr>
        <xdr:cNvSpPr txBox="1"/>
      </xdr:nvSpPr>
      <xdr:spPr>
        <a:xfrm>
          <a:off x="4168227" y="462280"/>
          <a:ext cx="833776" cy="375920"/>
        </a:xfrm>
        <a:prstGeom prst="rect">
          <a:avLst/>
        </a:prstGeom>
        <a:solidFill>
          <a:srgbClr val="FFFFFF"/>
        </a:solidFill>
        <a:ln w="9525" cmpd="sng">
          <a:noFill/>
        </a:ln>
        <a:effectLst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0" tIns="0" rIns="0" bIns="0" rtlCol="0" anchor="ctr">
          <a:normAutofit/>
        </a:bodyPr>
        <a:lstStyle/>
        <a:p>
          <a:pPr algn="ctr"/>
          <a:fld id="{95BBC46A-FFE1-4641-88B3-4DC90EF8D92D}" type="TxLink">
            <a:rPr kumimoji="1" lang="en-US" altLang="en-US" sz="720" b="0" i="0" u="none" strike="noStrike">
              <a:solidFill>
                <a:srgbClr val="000000"/>
              </a:solidFill>
              <a:latin typeface="ＭＳ 明朝" panose="02020609040205080304" pitchFamily="17" charset="-128"/>
              <a:ea typeface="游ゴシック"/>
            </a:rPr>
            <a:pPr algn="ctr"/>
            <a:t> </a:t>
          </a:fld>
          <a:endParaRPr kumimoji="1" lang="ja-JP" altLang="en-US" sz="720">
            <a:solidFill>
              <a:srgbClr val="000000"/>
            </a:solidFill>
            <a:latin typeface="ＭＳ 明朝" panose="02020609040205080304" pitchFamily="17" charset="-128"/>
          </a:endParaRPr>
        </a:p>
      </xdr:txBody>
    </xdr:sp>
    <xdr:clientData/>
  </xdr:twoCellAnchor>
  <xdr:twoCellAnchor editAs="absolute">
    <xdr:from>
      <xdr:col>8</xdr:col>
      <xdr:colOff>415827</xdr:colOff>
      <xdr:row>0</xdr:row>
      <xdr:rowOff>477520</xdr:rowOff>
    </xdr:from>
    <xdr:to>
      <xdr:col>10</xdr:col>
      <xdr:colOff>396425</xdr:colOff>
      <xdr:row>0</xdr:row>
      <xdr:rowOff>833120</xdr:rowOff>
    </xdr:to>
    <xdr:sp macro="" textlink="印字値!$A$1">
      <xdr:nvSpPr>
        <xdr:cNvPr id="5" name="法人名">
          <a:extLst>
            <a:ext uri="{FF2B5EF4-FFF2-40B4-BE49-F238E27FC236}">
              <a16:creationId xmlns:a16="http://schemas.microsoft.com/office/drawing/2014/main" id="{B6F0A610-3E56-B037-230A-7F1B839D81E9}"/>
            </a:ext>
          </a:extLst>
        </xdr:cNvPr>
        <xdr:cNvSpPr txBox="1"/>
      </xdr:nvSpPr>
      <xdr:spPr>
        <a:xfrm>
          <a:off x="5475507" y="477520"/>
          <a:ext cx="1245518" cy="3556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square" lIns="0" tIns="0" rIns="0" bIns="0" rtlCol="0" anchor="ctr">
          <a:normAutofit/>
        </a:bodyPr>
        <a:lstStyle/>
        <a:p>
          <a:pPr algn="l"/>
          <a:fld id="{C74F1CCB-71C4-48C8-816B-0881B8AC9F01}" type="TxLink">
            <a:rPr kumimoji="1" lang="en-US" altLang="en-US" sz="480" b="0" i="0" u="none" strike="noStrike">
              <a:solidFill>
                <a:srgbClr val="000000"/>
              </a:solidFill>
              <a:latin typeface="ＭＳ 明朝" panose="02020609040205080304" pitchFamily="17" charset="-128"/>
              <a:ea typeface="游ゴシック"/>
            </a:rPr>
            <a:pPr algn="l"/>
            <a:t> </a:t>
          </a:fld>
          <a:endParaRPr kumimoji="1" lang="ja-JP" altLang="en-US" sz="480">
            <a:solidFill>
              <a:srgbClr val="000000"/>
            </a:solidFill>
            <a:latin typeface="ＭＳ 明朝" panose="02020609040205080304" pitchFamily="17" charset="-128"/>
          </a:endParaRPr>
        </a:p>
      </xdr:txBody>
    </xdr:sp>
    <xdr:clientData/>
  </xdr:twoCellAnchor>
  <xdr:twoCellAnchor editAs="absolute">
    <xdr:from>
      <xdr:col>4</xdr:col>
      <xdr:colOff>526685</xdr:colOff>
      <xdr:row>0</xdr:row>
      <xdr:rowOff>1234440</xdr:rowOff>
    </xdr:from>
    <xdr:to>
      <xdr:col>5</xdr:col>
      <xdr:colOff>378021</xdr:colOff>
      <xdr:row>0</xdr:row>
      <xdr:rowOff>1676400</xdr:rowOff>
    </xdr:to>
    <xdr:sp macro="" textlink="印字値!$A$5">
      <xdr:nvSpPr>
        <xdr:cNvPr id="6" name="主表01">
          <a:extLst>
            <a:ext uri="{FF2B5EF4-FFF2-40B4-BE49-F238E27FC236}">
              <a16:creationId xmlns:a16="http://schemas.microsoft.com/office/drawing/2014/main" id="{A102C234-D3EA-BB80-2F4D-FA49E859DDAC}"/>
            </a:ext>
          </a:extLst>
        </xdr:cNvPr>
        <xdr:cNvSpPr txBox="1"/>
      </xdr:nvSpPr>
      <xdr:spPr>
        <a:xfrm>
          <a:off x="3056525" y="1234440"/>
          <a:ext cx="483796" cy="44196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0" tIns="0" rIns="0" bIns="0" rtlCol="0" anchor="ctr">
          <a:normAutofit/>
        </a:bodyPr>
        <a:lstStyle/>
        <a:p>
          <a:pPr algn="r"/>
          <a:fld id="{E1014C79-843C-4623-BF6E-C8F581D641BD}" type="TxLink">
            <a:rPr kumimoji="1" lang="en-US" altLang="en-US" sz="550" b="0" i="0" u="none" strike="noStrike">
              <a:solidFill>
                <a:srgbClr val="000000"/>
              </a:solidFill>
              <a:latin typeface="ＭＳ 明朝" panose="02020609040205080304" pitchFamily="17" charset="-128"/>
              <a:ea typeface="游ゴシック"/>
            </a:rPr>
            <a:pPr algn="r"/>
            <a:t> </a:t>
          </a:fld>
          <a:endParaRPr kumimoji="1" lang="ja-JP" altLang="en-US" sz="550">
            <a:solidFill>
              <a:srgbClr val="000000"/>
            </a:solidFill>
            <a:latin typeface="ＭＳ 明朝" panose="02020609040205080304" pitchFamily="17" charset="-128"/>
          </a:endParaRPr>
        </a:p>
      </xdr:txBody>
    </xdr:sp>
    <xdr:clientData/>
  </xdr:twoCellAnchor>
  <xdr:twoCellAnchor editAs="absolute">
    <xdr:from>
      <xdr:col>4</xdr:col>
      <xdr:colOff>526685</xdr:colOff>
      <xdr:row>0</xdr:row>
      <xdr:rowOff>1737360</xdr:rowOff>
    </xdr:from>
    <xdr:to>
      <xdr:col>5</xdr:col>
      <xdr:colOff>378021</xdr:colOff>
      <xdr:row>0</xdr:row>
      <xdr:rowOff>2179320</xdr:rowOff>
    </xdr:to>
    <xdr:sp macro="" textlink="印字値!$A$6">
      <xdr:nvSpPr>
        <xdr:cNvPr id="7" name="主表02">
          <a:extLst>
            <a:ext uri="{FF2B5EF4-FFF2-40B4-BE49-F238E27FC236}">
              <a16:creationId xmlns:a16="http://schemas.microsoft.com/office/drawing/2014/main" id="{C786FDBF-87DA-710E-5FF6-0F2AD55ABF25}"/>
            </a:ext>
          </a:extLst>
        </xdr:cNvPr>
        <xdr:cNvSpPr txBox="1"/>
      </xdr:nvSpPr>
      <xdr:spPr>
        <a:xfrm>
          <a:off x="3056525" y="1737360"/>
          <a:ext cx="483796" cy="44196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0" tIns="0" rIns="0" bIns="0" rtlCol="0" anchor="ctr">
          <a:normAutofit/>
        </a:bodyPr>
        <a:lstStyle/>
        <a:p>
          <a:pPr algn="r"/>
          <a:fld id="{4D3D7C7C-2B62-4516-8B32-FFEC5A27014F}" type="TxLink">
            <a:rPr kumimoji="1" lang="en-US" altLang="en-US" sz="550" b="0" i="0" u="none" strike="noStrike">
              <a:solidFill>
                <a:srgbClr val="000000"/>
              </a:solidFill>
              <a:latin typeface="ＭＳ 明朝" panose="02020609040205080304" pitchFamily="17" charset="-128"/>
              <a:ea typeface="游ゴシック"/>
            </a:rPr>
            <a:pPr algn="r"/>
            <a:t> </a:t>
          </a:fld>
          <a:endParaRPr kumimoji="1" lang="ja-JP" altLang="en-US" sz="550">
            <a:solidFill>
              <a:srgbClr val="000000"/>
            </a:solidFill>
            <a:latin typeface="ＭＳ 明朝" panose="02020609040205080304" pitchFamily="17" charset="-128"/>
          </a:endParaRPr>
        </a:p>
      </xdr:txBody>
    </xdr:sp>
    <xdr:clientData/>
  </xdr:twoCellAnchor>
  <xdr:twoCellAnchor editAs="absolute">
    <xdr:from>
      <xdr:col>4</xdr:col>
      <xdr:colOff>526685</xdr:colOff>
      <xdr:row>0</xdr:row>
      <xdr:rowOff>2240280</xdr:rowOff>
    </xdr:from>
    <xdr:to>
      <xdr:col>5</xdr:col>
      <xdr:colOff>378021</xdr:colOff>
      <xdr:row>0</xdr:row>
      <xdr:rowOff>2682240</xdr:rowOff>
    </xdr:to>
    <xdr:sp macro="" textlink="印字値!$A$7">
      <xdr:nvSpPr>
        <xdr:cNvPr id="8" name="主表03">
          <a:extLst>
            <a:ext uri="{FF2B5EF4-FFF2-40B4-BE49-F238E27FC236}">
              <a16:creationId xmlns:a16="http://schemas.microsoft.com/office/drawing/2014/main" id="{D95E2E8B-EB09-0113-A93A-316AACA0F21C}"/>
            </a:ext>
          </a:extLst>
        </xdr:cNvPr>
        <xdr:cNvSpPr txBox="1"/>
      </xdr:nvSpPr>
      <xdr:spPr>
        <a:xfrm>
          <a:off x="3056525" y="2240280"/>
          <a:ext cx="483796" cy="44196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0" tIns="0" rIns="0" bIns="0" rtlCol="0" anchor="ctr">
          <a:normAutofit/>
        </a:bodyPr>
        <a:lstStyle/>
        <a:p>
          <a:pPr algn="r"/>
          <a:fld id="{68E27C9C-7C31-41BB-8D19-760D14413990}" type="TxLink">
            <a:rPr kumimoji="1" lang="en-US" altLang="en-US" sz="550" b="0" i="0" u="none" strike="noStrike">
              <a:solidFill>
                <a:srgbClr val="000000"/>
              </a:solidFill>
              <a:latin typeface="ＭＳ 明朝" panose="02020609040205080304" pitchFamily="17" charset="-128"/>
              <a:ea typeface="游ゴシック"/>
            </a:rPr>
            <a:pPr algn="r"/>
            <a:t> </a:t>
          </a:fld>
          <a:endParaRPr kumimoji="1" lang="ja-JP" altLang="en-US" sz="550">
            <a:solidFill>
              <a:srgbClr val="000000"/>
            </a:solidFill>
            <a:latin typeface="ＭＳ 明朝" panose="02020609040205080304" pitchFamily="17" charset="-128"/>
          </a:endParaRPr>
        </a:p>
      </xdr:txBody>
    </xdr:sp>
    <xdr:clientData/>
  </xdr:twoCellAnchor>
  <xdr:twoCellAnchor editAs="absolute">
    <xdr:from>
      <xdr:col>4</xdr:col>
      <xdr:colOff>526685</xdr:colOff>
      <xdr:row>0</xdr:row>
      <xdr:rowOff>2743200</xdr:rowOff>
    </xdr:from>
    <xdr:to>
      <xdr:col>5</xdr:col>
      <xdr:colOff>378021</xdr:colOff>
      <xdr:row>0</xdr:row>
      <xdr:rowOff>3185160</xdr:rowOff>
    </xdr:to>
    <xdr:sp macro="" textlink="印字値!$A$8">
      <xdr:nvSpPr>
        <xdr:cNvPr id="9" name="主表04">
          <a:extLst>
            <a:ext uri="{FF2B5EF4-FFF2-40B4-BE49-F238E27FC236}">
              <a16:creationId xmlns:a16="http://schemas.microsoft.com/office/drawing/2014/main" id="{DE6C2D63-B600-0BF5-EADC-9C743F766ED1}"/>
            </a:ext>
          </a:extLst>
        </xdr:cNvPr>
        <xdr:cNvSpPr txBox="1"/>
      </xdr:nvSpPr>
      <xdr:spPr>
        <a:xfrm>
          <a:off x="3056525" y="2743200"/>
          <a:ext cx="483796" cy="44196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0" tIns="0" rIns="0" bIns="0" rtlCol="0" anchor="ctr">
          <a:normAutofit/>
        </a:bodyPr>
        <a:lstStyle/>
        <a:p>
          <a:pPr algn="r"/>
          <a:fld id="{75001220-271F-4E8B-89C9-2056F0E48686}" type="TxLink">
            <a:rPr kumimoji="1" lang="en-US" altLang="en-US" sz="550" b="0" i="0" u="none" strike="noStrike">
              <a:solidFill>
                <a:srgbClr val="000000"/>
              </a:solidFill>
              <a:latin typeface="ＭＳ 明朝" panose="02020609040205080304" pitchFamily="17" charset="-128"/>
              <a:ea typeface="游ゴシック"/>
            </a:rPr>
            <a:pPr algn="r"/>
            <a:t> </a:t>
          </a:fld>
          <a:endParaRPr kumimoji="1" lang="ja-JP" altLang="en-US" sz="550">
            <a:solidFill>
              <a:srgbClr val="000000"/>
            </a:solidFill>
            <a:latin typeface="ＭＳ 明朝" panose="02020609040205080304" pitchFamily="17" charset="-128"/>
          </a:endParaRPr>
        </a:p>
      </xdr:txBody>
    </xdr:sp>
    <xdr:clientData/>
  </xdr:twoCellAnchor>
  <xdr:twoCellAnchor editAs="absolute">
    <xdr:from>
      <xdr:col>9</xdr:col>
      <xdr:colOff>395831</xdr:colOff>
      <xdr:row>0</xdr:row>
      <xdr:rowOff>1234440</xdr:rowOff>
    </xdr:from>
    <xdr:to>
      <xdr:col>10</xdr:col>
      <xdr:colOff>396423</xdr:colOff>
      <xdr:row>0</xdr:row>
      <xdr:rowOff>1676400</xdr:rowOff>
    </xdr:to>
    <xdr:sp macro="" textlink="印字値!$A$9">
      <xdr:nvSpPr>
        <xdr:cNvPr id="10" name="主表05">
          <a:extLst>
            <a:ext uri="{FF2B5EF4-FFF2-40B4-BE49-F238E27FC236}">
              <a16:creationId xmlns:a16="http://schemas.microsoft.com/office/drawing/2014/main" id="{18474E3A-48C8-9200-694E-FB3191AA684E}"/>
            </a:ext>
          </a:extLst>
        </xdr:cNvPr>
        <xdr:cNvSpPr txBox="1"/>
      </xdr:nvSpPr>
      <xdr:spPr>
        <a:xfrm>
          <a:off x="6087971" y="1234440"/>
          <a:ext cx="633052" cy="44196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0" tIns="0" rIns="0" bIns="0" rtlCol="0" anchor="ctr">
          <a:normAutofit/>
        </a:bodyPr>
        <a:lstStyle/>
        <a:p>
          <a:pPr algn="r"/>
          <a:fld id="{B8B57234-6F73-488C-8332-11B6E04EF1BA}" type="TxLink">
            <a:rPr kumimoji="1" lang="en-US" altLang="en-US" sz="620" b="0" i="0" u="none" strike="noStrike">
              <a:solidFill>
                <a:srgbClr val="000000"/>
              </a:solidFill>
              <a:latin typeface="ＭＳ 明朝" panose="02020609040205080304" pitchFamily="17" charset="-128"/>
              <a:ea typeface="游ゴシック"/>
            </a:rPr>
            <a:pPr algn="r"/>
            <a:t> </a:t>
          </a:fld>
          <a:endParaRPr kumimoji="1" lang="ja-JP" altLang="en-US" sz="620">
            <a:solidFill>
              <a:srgbClr val="000000"/>
            </a:solidFill>
            <a:latin typeface="ＭＳ 明朝" panose="02020609040205080304" pitchFamily="17" charset="-128"/>
          </a:endParaRPr>
        </a:p>
      </xdr:txBody>
    </xdr:sp>
    <xdr:clientData/>
  </xdr:twoCellAnchor>
  <xdr:twoCellAnchor editAs="absolute">
    <xdr:from>
      <xdr:col>9</xdr:col>
      <xdr:colOff>395831</xdr:colOff>
      <xdr:row>0</xdr:row>
      <xdr:rowOff>1737360</xdr:rowOff>
    </xdr:from>
    <xdr:to>
      <xdr:col>10</xdr:col>
      <xdr:colOff>396423</xdr:colOff>
      <xdr:row>0</xdr:row>
      <xdr:rowOff>2179320</xdr:rowOff>
    </xdr:to>
    <xdr:sp macro="" textlink="印字値!$A$10">
      <xdr:nvSpPr>
        <xdr:cNvPr id="11" name="主表06">
          <a:extLst>
            <a:ext uri="{FF2B5EF4-FFF2-40B4-BE49-F238E27FC236}">
              <a16:creationId xmlns:a16="http://schemas.microsoft.com/office/drawing/2014/main" id="{27EAF3E2-3AC1-6B4B-9405-A87D8A17B3AC}"/>
            </a:ext>
          </a:extLst>
        </xdr:cNvPr>
        <xdr:cNvSpPr txBox="1"/>
      </xdr:nvSpPr>
      <xdr:spPr>
        <a:xfrm>
          <a:off x="6087971" y="1737360"/>
          <a:ext cx="633052" cy="44196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0" tIns="0" rIns="0" bIns="0" rtlCol="0" anchor="ctr">
          <a:normAutofit/>
        </a:bodyPr>
        <a:lstStyle/>
        <a:p>
          <a:pPr algn="r"/>
          <a:fld id="{515039CC-D36D-4F29-B333-C8C3240654BC}" type="TxLink">
            <a:rPr kumimoji="1" lang="en-US" altLang="en-US" sz="620" b="0" i="0" u="none" strike="noStrike">
              <a:solidFill>
                <a:srgbClr val="000000"/>
              </a:solidFill>
              <a:latin typeface="ＭＳ 明朝" panose="02020609040205080304" pitchFamily="17" charset="-128"/>
              <a:ea typeface="游ゴシック"/>
            </a:rPr>
            <a:pPr algn="r"/>
            <a:t> </a:t>
          </a:fld>
          <a:endParaRPr kumimoji="1" lang="ja-JP" altLang="en-US" sz="620">
            <a:solidFill>
              <a:srgbClr val="000000"/>
            </a:solidFill>
            <a:latin typeface="ＭＳ 明朝" panose="02020609040205080304" pitchFamily="17" charset="-128"/>
          </a:endParaRPr>
        </a:p>
      </xdr:txBody>
    </xdr:sp>
    <xdr:clientData/>
  </xdr:twoCellAnchor>
  <xdr:twoCellAnchor editAs="absolute">
    <xdr:from>
      <xdr:col>9</xdr:col>
      <xdr:colOff>395831</xdr:colOff>
      <xdr:row>0</xdr:row>
      <xdr:rowOff>2240280</xdr:rowOff>
    </xdr:from>
    <xdr:to>
      <xdr:col>10</xdr:col>
      <xdr:colOff>396423</xdr:colOff>
      <xdr:row>0</xdr:row>
      <xdr:rowOff>2682240</xdr:rowOff>
    </xdr:to>
    <xdr:sp macro="" textlink="印字値!$A$11">
      <xdr:nvSpPr>
        <xdr:cNvPr id="12" name="主表07">
          <a:extLst>
            <a:ext uri="{FF2B5EF4-FFF2-40B4-BE49-F238E27FC236}">
              <a16:creationId xmlns:a16="http://schemas.microsoft.com/office/drawing/2014/main" id="{6F4FB362-1B1E-A535-7E6D-9216D1A1B0F3}"/>
            </a:ext>
          </a:extLst>
        </xdr:cNvPr>
        <xdr:cNvSpPr txBox="1"/>
      </xdr:nvSpPr>
      <xdr:spPr>
        <a:xfrm>
          <a:off x="6087971" y="2240280"/>
          <a:ext cx="633052" cy="44196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0" tIns="0" rIns="0" bIns="0" rtlCol="0" anchor="ctr">
          <a:normAutofit/>
        </a:bodyPr>
        <a:lstStyle/>
        <a:p>
          <a:pPr algn="r"/>
          <a:fld id="{DC39D9F9-C30A-41A9-9F9F-4F1B5C087905}" type="TxLink">
            <a:rPr kumimoji="1" lang="en-US" altLang="en-US" sz="620" b="0" i="0" u="none" strike="noStrike">
              <a:solidFill>
                <a:srgbClr val="000000"/>
              </a:solidFill>
              <a:latin typeface="ＭＳ 明朝" panose="02020609040205080304" pitchFamily="17" charset="-128"/>
              <a:ea typeface="游ゴシック"/>
            </a:rPr>
            <a:pPr algn="r"/>
            <a:t> </a:t>
          </a:fld>
          <a:endParaRPr kumimoji="1" lang="ja-JP" altLang="en-US" sz="620">
            <a:solidFill>
              <a:srgbClr val="000000"/>
            </a:solidFill>
            <a:latin typeface="ＭＳ 明朝" panose="02020609040205080304" pitchFamily="17" charset="-128"/>
          </a:endParaRPr>
        </a:p>
      </xdr:txBody>
    </xdr:sp>
    <xdr:clientData/>
  </xdr:twoCellAnchor>
  <xdr:twoCellAnchor editAs="absolute">
    <xdr:from>
      <xdr:col>9</xdr:col>
      <xdr:colOff>395831</xdr:colOff>
      <xdr:row>0</xdr:row>
      <xdr:rowOff>2743200</xdr:rowOff>
    </xdr:from>
    <xdr:to>
      <xdr:col>10</xdr:col>
      <xdr:colOff>396423</xdr:colOff>
      <xdr:row>0</xdr:row>
      <xdr:rowOff>3185160</xdr:rowOff>
    </xdr:to>
    <xdr:sp macro="" textlink="印字値!$A$12">
      <xdr:nvSpPr>
        <xdr:cNvPr id="13" name="主表08">
          <a:extLst>
            <a:ext uri="{FF2B5EF4-FFF2-40B4-BE49-F238E27FC236}">
              <a16:creationId xmlns:a16="http://schemas.microsoft.com/office/drawing/2014/main" id="{8A6DA582-FCDE-C081-40B1-2C7BAA6E7017}"/>
            </a:ext>
          </a:extLst>
        </xdr:cNvPr>
        <xdr:cNvSpPr txBox="1"/>
      </xdr:nvSpPr>
      <xdr:spPr>
        <a:xfrm>
          <a:off x="6087971" y="2743200"/>
          <a:ext cx="633052" cy="44196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0" tIns="0" rIns="0" bIns="0" rtlCol="0" anchor="ctr">
          <a:normAutofit/>
        </a:bodyPr>
        <a:lstStyle/>
        <a:p>
          <a:pPr algn="r"/>
          <a:fld id="{35EBE914-9EEA-4854-B9DD-EF1F78D9C26F}" type="TxLink">
            <a:rPr kumimoji="1" lang="en-US" altLang="en-US" sz="620" b="0" i="0" u="none" strike="noStrike">
              <a:solidFill>
                <a:srgbClr val="000000"/>
              </a:solidFill>
              <a:latin typeface="ＭＳ 明朝" panose="02020609040205080304" pitchFamily="17" charset="-128"/>
              <a:ea typeface="游ゴシック"/>
            </a:rPr>
            <a:pPr algn="r"/>
            <a:t> </a:t>
          </a:fld>
          <a:endParaRPr kumimoji="1" lang="ja-JP" altLang="en-US" sz="620">
            <a:solidFill>
              <a:srgbClr val="000000"/>
            </a:solidFill>
            <a:latin typeface="ＭＳ 明朝" panose="02020609040205080304" pitchFamily="17" charset="-128"/>
          </a:endParaRPr>
        </a:p>
      </xdr:txBody>
    </xdr:sp>
    <xdr:clientData/>
  </xdr:twoCellAnchor>
  <xdr:twoCellAnchor editAs="absolute">
    <xdr:from>
      <xdr:col>4</xdr:col>
      <xdr:colOff>526686</xdr:colOff>
      <xdr:row>0</xdr:row>
      <xdr:rowOff>3510280</xdr:rowOff>
    </xdr:from>
    <xdr:to>
      <xdr:col>5</xdr:col>
      <xdr:colOff>532425</xdr:colOff>
      <xdr:row>1</xdr:row>
      <xdr:rowOff>104140</xdr:rowOff>
    </xdr:to>
    <xdr:sp macro="" textlink="印字値!$A$13">
      <xdr:nvSpPr>
        <xdr:cNvPr id="14" name="主表09">
          <a:extLst>
            <a:ext uri="{FF2B5EF4-FFF2-40B4-BE49-F238E27FC236}">
              <a16:creationId xmlns:a16="http://schemas.microsoft.com/office/drawing/2014/main" id="{AD5A3E62-86B3-9624-6E81-4D2BCE0E8345}"/>
            </a:ext>
          </a:extLst>
        </xdr:cNvPr>
        <xdr:cNvSpPr txBox="1"/>
      </xdr:nvSpPr>
      <xdr:spPr>
        <a:xfrm>
          <a:off x="3056526" y="3510280"/>
          <a:ext cx="638199" cy="1524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0" tIns="0" rIns="0" bIns="0" rtlCol="0" anchor="ctr">
          <a:normAutofit/>
        </a:bodyPr>
        <a:lstStyle/>
        <a:p>
          <a:pPr algn="r"/>
          <a:fld id="{1F39FD38-6836-4B14-9D55-A99F2296EF1E}" type="TxLink">
            <a:rPr kumimoji="1" lang="en-US" altLang="en-US" sz="640" b="0" i="0" u="none" strike="noStrike">
              <a:solidFill>
                <a:srgbClr val="000000"/>
              </a:solidFill>
              <a:latin typeface="ＭＳ 明朝" panose="02020609040205080304" pitchFamily="17" charset="-128"/>
              <a:ea typeface="游ゴシック"/>
            </a:rPr>
            <a:pPr algn="r"/>
            <a:t> </a:t>
          </a:fld>
          <a:endParaRPr kumimoji="1" lang="ja-JP" altLang="en-US" sz="640">
            <a:solidFill>
              <a:srgbClr val="000000"/>
            </a:solidFill>
            <a:latin typeface="ＭＳ 明朝" panose="02020609040205080304" pitchFamily="17" charset="-128"/>
          </a:endParaRPr>
        </a:p>
      </xdr:txBody>
    </xdr:sp>
    <xdr:clientData/>
  </xdr:twoCellAnchor>
  <xdr:twoCellAnchor editAs="absolute">
    <xdr:from>
      <xdr:col>4</xdr:col>
      <xdr:colOff>526686</xdr:colOff>
      <xdr:row>1</xdr:row>
      <xdr:rowOff>154940</xdr:rowOff>
    </xdr:from>
    <xdr:to>
      <xdr:col>5</xdr:col>
      <xdr:colOff>532425</xdr:colOff>
      <xdr:row>1</xdr:row>
      <xdr:rowOff>408940</xdr:rowOff>
    </xdr:to>
    <xdr:sp macro="" textlink="印字値!$A$14">
      <xdr:nvSpPr>
        <xdr:cNvPr id="15" name="主表10">
          <a:extLst>
            <a:ext uri="{FF2B5EF4-FFF2-40B4-BE49-F238E27FC236}">
              <a16:creationId xmlns:a16="http://schemas.microsoft.com/office/drawing/2014/main" id="{87027424-8D22-5EF5-6CB4-000BC1E6366D}"/>
            </a:ext>
          </a:extLst>
        </xdr:cNvPr>
        <xdr:cNvSpPr txBox="1"/>
      </xdr:nvSpPr>
      <xdr:spPr>
        <a:xfrm>
          <a:off x="3056526" y="3713480"/>
          <a:ext cx="638199" cy="2540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0" tIns="0" rIns="0" bIns="0" rtlCol="0" anchor="ctr">
          <a:normAutofit/>
        </a:bodyPr>
        <a:lstStyle/>
        <a:p>
          <a:pPr algn="r"/>
          <a:fld id="{E569EFE1-0EAD-4B00-8EF2-A778793E636C}" type="TxLink">
            <a:rPr kumimoji="1" lang="en-US" altLang="en-US" sz="640" b="0" i="0" u="none" strike="noStrike">
              <a:solidFill>
                <a:srgbClr val="000000"/>
              </a:solidFill>
              <a:latin typeface="ＭＳ 明朝" panose="02020609040205080304" pitchFamily="17" charset="-128"/>
              <a:ea typeface="游ゴシック"/>
            </a:rPr>
            <a:pPr algn="r"/>
            <a:t> </a:t>
          </a:fld>
          <a:endParaRPr kumimoji="1" lang="ja-JP" altLang="en-US" sz="640">
            <a:solidFill>
              <a:srgbClr val="000000"/>
            </a:solidFill>
            <a:latin typeface="ＭＳ 明朝" panose="02020609040205080304" pitchFamily="17" charset="-128"/>
          </a:endParaRPr>
        </a:p>
      </xdr:txBody>
    </xdr:sp>
    <xdr:clientData/>
  </xdr:twoCellAnchor>
  <xdr:twoCellAnchor editAs="absolute">
    <xdr:from>
      <xdr:col>4</xdr:col>
      <xdr:colOff>526686</xdr:colOff>
      <xdr:row>1</xdr:row>
      <xdr:rowOff>459740</xdr:rowOff>
    </xdr:from>
    <xdr:to>
      <xdr:col>5</xdr:col>
      <xdr:colOff>532425</xdr:colOff>
      <xdr:row>1</xdr:row>
      <xdr:rowOff>708660</xdr:rowOff>
    </xdr:to>
    <xdr:sp macro="" textlink="印字値!$A$15">
      <xdr:nvSpPr>
        <xdr:cNvPr id="16" name="主表11">
          <a:extLst>
            <a:ext uri="{FF2B5EF4-FFF2-40B4-BE49-F238E27FC236}">
              <a16:creationId xmlns:a16="http://schemas.microsoft.com/office/drawing/2014/main" id="{041B7CE7-A5CA-C72B-3B73-A0B67B2E1C9F}"/>
            </a:ext>
          </a:extLst>
        </xdr:cNvPr>
        <xdr:cNvSpPr txBox="1"/>
      </xdr:nvSpPr>
      <xdr:spPr>
        <a:xfrm>
          <a:off x="3056526" y="4018280"/>
          <a:ext cx="638199" cy="24892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0" tIns="0" rIns="0" bIns="0" rtlCol="0" anchor="ctr">
          <a:normAutofit/>
        </a:bodyPr>
        <a:lstStyle/>
        <a:p>
          <a:pPr algn="r"/>
          <a:fld id="{0CEE5DCE-8E0A-4109-8B39-DE03EEA9DBD4}" type="TxLink">
            <a:rPr kumimoji="1" lang="en-US" altLang="en-US" sz="640" b="0" i="0" u="none" strike="noStrike">
              <a:solidFill>
                <a:srgbClr val="000000"/>
              </a:solidFill>
              <a:latin typeface="ＭＳ 明朝" panose="02020609040205080304" pitchFamily="17" charset="-128"/>
              <a:ea typeface="游ゴシック"/>
            </a:rPr>
            <a:pPr algn="r"/>
            <a:t> </a:t>
          </a:fld>
          <a:endParaRPr kumimoji="1" lang="ja-JP" altLang="en-US" sz="640">
            <a:solidFill>
              <a:srgbClr val="000000"/>
            </a:solidFill>
            <a:latin typeface="ＭＳ 明朝" panose="02020609040205080304" pitchFamily="17" charset="-128"/>
          </a:endParaRPr>
        </a:p>
      </xdr:txBody>
    </xdr:sp>
    <xdr:clientData/>
  </xdr:twoCellAnchor>
  <xdr:twoCellAnchor editAs="absolute">
    <xdr:from>
      <xdr:col>4</xdr:col>
      <xdr:colOff>526686</xdr:colOff>
      <xdr:row>1</xdr:row>
      <xdr:rowOff>759460</xdr:rowOff>
    </xdr:from>
    <xdr:to>
      <xdr:col>5</xdr:col>
      <xdr:colOff>532425</xdr:colOff>
      <xdr:row>1</xdr:row>
      <xdr:rowOff>1714500</xdr:rowOff>
    </xdr:to>
    <xdr:sp macro="" textlink="印字値!$A$16">
      <xdr:nvSpPr>
        <xdr:cNvPr id="17" name="主表12">
          <a:extLst>
            <a:ext uri="{FF2B5EF4-FFF2-40B4-BE49-F238E27FC236}">
              <a16:creationId xmlns:a16="http://schemas.microsoft.com/office/drawing/2014/main" id="{C1677CCD-2921-A3E5-CF27-9E122EB52C17}"/>
            </a:ext>
          </a:extLst>
        </xdr:cNvPr>
        <xdr:cNvSpPr txBox="1"/>
      </xdr:nvSpPr>
      <xdr:spPr>
        <a:xfrm>
          <a:off x="3056526" y="4318000"/>
          <a:ext cx="638199" cy="95504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0" tIns="0" rIns="0" bIns="0" rtlCol="0" anchor="ctr">
          <a:normAutofit/>
        </a:bodyPr>
        <a:lstStyle/>
        <a:p>
          <a:pPr algn="r"/>
          <a:fld id="{CDB166CD-DAD8-45DB-86B0-50F4DC49AD37}" type="TxLink">
            <a:rPr kumimoji="1" lang="en-US" altLang="en-US" sz="620" b="0" i="0" u="none" strike="noStrike">
              <a:solidFill>
                <a:srgbClr val="000000"/>
              </a:solidFill>
              <a:latin typeface="ＭＳ 明朝" panose="02020609040205080304" pitchFamily="17" charset="-128"/>
              <a:ea typeface="游ゴシック"/>
            </a:rPr>
            <a:pPr algn="r"/>
            <a:t> </a:t>
          </a:fld>
          <a:endParaRPr kumimoji="1" lang="ja-JP" altLang="en-US" sz="620">
            <a:solidFill>
              <a:srgbClr val="000000"/>
            </a:solidFill>
            <a:latin typeface="ＭＳ 明朝" panose="02020609040205080304" pitchFamily="17" charset="-128"/>
          </a:endParaRPr>
        </a:p>
      </xdr:txBody>
    </xdr:sp>
    <xdr:clientData/>
  </xdr:twoCellAnchor>
  <xdr:twoCellAnchor editAs="absolute">
    <xdr:from>
      <xdr:col>4</xdr:col>
      <xdr:colOff>526686</xdr:colOff>
      <xdr:row>1</xdr:row>
      <xdr:rowOff>1765300</xdr:rowOff>
    </xdr:from>
    <xdr:to>
      <xdr:col>5</xdr:col>
      <xdr:colOff>532425</xdr:colOff>
      <xdr:row>1</xdr:row>
      <xdr:rowOff>2014220</xdr:rowOff>
    </xdr:to>
    <xdr:sp macro="" textlink="印字値!$A$17">
      <xdr:nvSpPr>
        <xdr:cNvPr id="18" name="主表13">
          <a:extLst>
            <a:ext uri="{FF2B5EF4-FFF2-40B4-BE49-F238E27FC236}">
              <a16:creationId xmlns:a16="http://schemas.microsoft.com/office/drawing/2014/main" id="{9BE21576-B86E-4FCE-A2D4-C683A834030D}"/>
            </a:ext>
          </a:extLst>
        </xdr:cNvPr>
        <xdr:cNvSpPr txBox="1"/>
      </xdr:nvSpPr>
      <xdr:spPr>
        <a:xfrm>
          <a:off x="3056526" y="5323840"/>
          <a:ext cx="638199" cy="24892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0" tIns="0" rIns="0" bIns="0" rtlCol="0" anchor="ctr">
          <a:normAutofit/>
        </a:bodyPr>
        <a:lstStyle/>
        <a:p>
          <a:pPr algn="r"/>
          <a:fld id="{5CE542C5-C647-4A65-BA66-9D6FCB76EC9D}" type="TxLink">
            <a:rPr kumimoji="1" lang="en-US" altLang="en-US" sz="640" b="0" i="0" u="none" strike="noStrike">
              <a:solidFill>
                <a:srgbClr val="000000"/>
              </a:solidFill>
              <a:latin typeface="ＭＳ 明朝" panose="02020609040205080304" pitchFamily="17" charset="-128"/>
              <a:ea typeface="游ゴシック"/>
            </a:rPr>
            <a:pPr algn="r"/>
            <a:t> </a:t>
          </a:fld>
          <a:endParaRPr kumimoji="1" lang="ja-JP" altLang="en-US" sz="640">
            <a:solidFill>
              <a:srgbClr val="000000"/>
            </a:solidFill>
            <a:latin typeface="ＭＳ 明朝" panose="02020609040205080304" pitchFamily="17" charset="-128"/>
          </a:endParaRPr>
        </a:p>
      </xdr:txBody>
    </xdr:sp>
    <xdr:clientData/>
  </xdr:twoCellAnchor>
  <xdr:twoCellAnchor editAs="absolute">
    <xdr:from>
      <xdr:col>4</xdr:col>
      <xdr:colOff>526686</xdr:colOff>
      <xdr:row>1</xdr:row>
      <xdr:rowOff>2065020</xdr:rowOff>
    </xdr:from>
    <xdr:to>
      <xdr:col>5</xdr:col>
      <xdr:colOff>532425</xdr:colOff>
      <xdr:row>1</xdr:row>
      <xdr:rowOff>2420620</xdr:rowOff>
    </xdr:to>
    <xdr:sp macro="" textlink="印字値!$A$18">
      <xdr:nvSpPr>
        <xdr:cNvPr id="19" name="主表14">
          <a:extLst>
            <a:ext uri="{FF2B5EF4-FFF2-40B4-BE49-F238E27FC236}">
              <a16:creationId xmlns:a16="http://schemas.microsoft.com/office/drawing/2014/main" id="{C7176E92-3A1A-B092-724D-B6ADEB528573}"/>
            </a:ext>
          </a:extLst>
        </xdr:cNvPr>
        <xdr:cNvSpPr txBox="1"/>
      </xdr:nvSpPr>
      <xdr:spPr>
        <a:xfrm>
          <a:off x="3056526" y="5623560"/>
          <a:ext cx="638199" cy="3556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0" tIns="0" rIns="0" bIns="0" rtlCol="0" anchor="ctr">
          <a:normAutofit/>
        </a:bodyPr>
        <a:lstStyle/>
        <a:p>
          <a:pPr algn="r"/>
          <a:fld id="{172E7922-B736-4844-8D5C-6793641FD2FE}" type="TxLink">
            <a:rPr kumimoji="1" lang="en-US" altLang="en-US" sz="640" b="0" i="0" u="none" strike="noStrike">
              <a:solidFill>
                <a:srgbClr val="000000"/>
              </a:solidFill>
              <a:latin typeface="ＭＳ 明朝" panose="02020609040205080304" pitchFamily="17" charset="-128"/>
              <a:ea typeface="游ゴシック"/>
            </a:rPr>
            <a:pPr algn="r"/>
            <a:t> </a:t>
          </a:fld>
          <a:endParaRPr kumimoji="1" lang="ja-JP" altLang="en-US" sz="640">
            <a:solidFill>
              <a:srgbClr val="000000"/>
            </a:solidFill>
            <a:latin typeface="ＭＳ 明朝" panose="02020609040205080304" pitchFamily="17" charset="-128"/>
          </a:endParaRPr>
        </a:p>
      </xdr:txBody>
    </xdr:sp>
    <xdr:clientData/>
  </xdr:twoCellAnchor>
  <xdr:twoCellAnchor editAs="absolute">
    <xdr:from>
      <xdr:col>4</xdr:col>
      <xdr:colOff>526686</xdr:colOff>
      <xdr:row>1</xdr:row>
      <xdr:rowOff>2471420</xdr:rowOff>
    </xdr:from>
    <xdr:to>
      <xdr:col>5</xdr:col>
      <xdr:colOff>532425</xdr:colOff>
      <xdr:row>1</xdr:row>
      <xdr:rowOff>2821940</xdr:rowOff>
    </xdr:to>
    <xdr:sp macro="" textlink="印字値!$A$19">
      <xdr:nvSpPr>
        <xdr:cNvPr id="20" name="主表15">
          <a:extLst>
            <a:ext uri="{FF2B5EF4-FFF2-40B4-BE49-F238E27FC236}">
              <a16:creationId xmlns:a16="http://schemas.microsoft.com/office/drawing/2014/main" id="{72C0B5C0-B5AE-EF69-A908-5E7333CD2F1A}"/>
            </a:ext>
          </a:extLst>
        </xdr:cNvPr>
        <xdr:cNvSpPr txBox="1"/>
      </xdr:nvSpPr>
      <xdr:spPr>
        <a:xfrm>
          <a:off x="3056526" y="6029960"/>
          <a:ext cx="638199" cy="35052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0" tIns="0" rIns="0" bIns="0" rtlCol="0" anchor="ctr">
          <a:normAutofit/>
        </a:bodyPr>
        <a:lstStyle/>
        <a:p>
          <a:pPr algn="r"/>
          <a:fld id="{06C3302E-9DF9-4E04-8871-DA064A06A350}" type="TxLink">
            <a:rPr kumimoji="1" lang="en-US" altLang="en-US" sz="640" b="0" i="0" u="none" strike="noStrike">
              <a:solidFill>
                <a:srgbClr val="000000"/>
              </a:solidFill>
              <a:latin typeface="ＭＳ 明朝" panose="02020609040205080304" pitchFamily="17" charset="-128"/>
              <a:ea typeface="游ゴシック"/>
            </a:rPr>
            <a:pPr algn="r"/>
            <a:t> </a:t>
          </a:fld>
          <a:endParaRPr kumimoji="1" lang="ja-JP" altLang="en-US" sz="640">
            <a:solidFill>
              <a:srgbClr val="000000"/>
            </a:solidFill>
            <a:latin typeface="ＭＳ 明朝" panose="02020609040205080304" pitchFamily="17" charset="-128"/>
          </a:endParaRPr>
        </a:p>
      </xdr:txBody>
    </xdr:sp>
    <xdr:clientData/>
  </xdr:twoCellAnchor>
  <xdr:twoCellAnchor editAs="absolute">
    <xdr:from>
      <xdr:col>4</xdr:col>
      <xdr:colOff>526686</xdr:colOff>
      <xdr:row>1</xdr:row>
      <xdr:rowOff>2872740</xdr:rowOff>
    </xdr:from>
    <xdr:to>
      <xdr:col>5</xdr:col>
      <xdr:colOff>532425</xdr:colOff>
      <xdr:row>1</xdr:row>
      <xdr:rowOff>3223260</xdr:rowOff>
    </xdr:to>
    <xdr:sp macro="" textlink="印字値!$A$20">
      <xdr:nvSpPr>
        <xdr:cNvPr id="21" name="主表16">
          <a:extLst>
            <a:ext uri="{FF2B5EF4-FFF2-40B4-BE49-F238E27FC236}">
              <a16:creationId xmlns:a16="http://schemas.microsoft.com/office/drawing/2014/main" id="{516D5F6C-3FB6-6883-6C78-C894DEB03632}"/>
            </a:ext>
          </a:extLst>
        </xdr:cNvPr>
        <xdr:cNvSpPr txBox="1"/>
      </xdr:nvSpPr>
      <xdr:spPr>
        <a:xfrm>
          <a:off x="3056526" y="6431280"/>
          <a:ext cx="638199" cy="35052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0" tIns="0" rIns="0" bIns="0" rtlCol="0" anchor="ctr">
          <a:normAutofit/>
        </a:bodyPr>
        <a:lstStyle/>
        <a:p>
          <a:pPr algn="r"/>
          <a:fld id="{55C7A74F-4258-4E6E-BF8C-EAEBB9560A8C}" type="TxLink">
            <a:rPr kumimoji="1" lang="en-US" altLang="en-US" sz="640" b="0" i="0" u="none" strike="noStrike">
              <a:solidFill>
                <a:srgbClr val="000000"/>
              </a:solidFill>
              <a:latin typeface="ＭＳ 明朝" panose="02020609040205080304" pitchFamily="17" charset="-128"/>
              <a:ea typeface="游ゴシック"/>
            </a:rPr>
            <a:pPr algn="r"/>
            <a:t> </a:t>
          </a:fld>
          <a:endParaRPr kumimoji="1" lang="ja-JP" altLang="en-US" sz="640">
            <a:solidFill>
              <a:srgbClr val="000000"/>
            </a:solidFill>
            <a:latin typeface="ＭＳ 明朝" panose="02020609040205080304" pitchFamily="17" charset="-128"/>
          </a:endParaRPr>
        </a:p>
      </xdr:txBody>
    </xdr:sp>
    <xdr:clientData/>
  </xdr:twoCellAnchor>
  <xdr:twoCellAnchor editAs="absolute">
    <xdr:from>
      <xdr:col>4</xdr:col>
      <xdr:colOff>526686</xdr:colOff>
      <xdr:row>1</xdr:row>
      <xdr:rowOff>3274060</xdr:rowOff>
    </xdr:from>
    <xdr:to>
      <xdr:col>5</xdr:col>
      <xdr:colOff>532425</xdr:colOff>
      <xdr:row>2</xdr:row>
      <xdr:rowOff>66040</xdr:rowOff>
    </xdr:to>
    <xdr:sp macro="" textlink="印字値!$A$21">
      <xdr:nvSpPr>
        <xdr:cNvPr id="22" name="主表17">
          <a:extLst>
            <a:ext uri="{FF2B5EF4-FFF2-40B4-BE49-F238E27FC236}">
              <a16:creationId xmlns:a16="http://schemas.microsoft.com/office/drawing/2014/main" id="{6BBE712A-37F8-CEAD-7B65-D9FDE06B3624}"/>
            </a:ext>
          </a:extLst>
        </xdr:cNvPr>
        <xdr:cNvSpPr txBox="1"/>
      </xdr:nvSpPr>
      <xdr:spPr>
        <a:xfrm>
          <a:off x="3056526" y="6832600"/>
          <a:ext cx="638199" cy="35052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0" tIns="0" rIns="0" bIns="0" rtlCol="0" anchor="ctr">
          <a:normAutofit/>
        </a:bodyPr>
        <a:lstStyle/>
        <a:p>
          <a:pPr algn="r"/>
          <a:fld id="{B4D1EB27-4EC0-42AF-93BC-FF5785D27A35}" type="TxLink">
            <a:rPr kumimoji="1" lang="en-US" altLang="en-US" sz="640" b="0" i="0" u="none" strike="noStrike">
              <a:solidFill>
                <a:srgbClr val="000000"/>
              </a:solidFill>
              <a:latin typeface="ＭＳ 明朝" panose="02020609040205080304" pitchFamily="17" charset="-128"/>
              <a:ea typeface="游ゴシック"/>
            </a:rPr>
            <a:pPr algn="r"/>
            <a:t> </a:t>
          </a:fld>
          <a:endParaRPr kumimoji="1" lang="ja-JP" altLang="en-US" sz="640">
            <a:solidFill>
              <a:srgbClr val="000000"/>
            </a:solidFill>
            <a:latin typeface="ＭＳ 明朝" panose="02020609040205080304" pitchFamily="17" charset="-128"/>
          </a:endParaRPr>
        </a:p>
      </xdr:txBody>
    </xdr:sp>
    <xdr:clientData/>
  </xdr:twoCellAnchor>
  <xdr:twoCellAnchor editAs="absolute">
    <xdr:from>
      <xdr:col>4</xdr:col>
      <xdr:colOff>526686</xdr:colOff>
      <xdr:row>2</xdr:row>
      <xdr:rowOff>116840</xdr:rowOff>
    </xdr:from>
    <xdr:to>
      <xdr:col>5</xdr:col>
      <xdr:colOff>532425</xdr:colOff>
      <xdr:row>2</xdr:row>
      <xdr:rowOff>467360</xdr:rowOff>
    </xdr:to>
    <xdr:sp macro="" textlink="印字値!$A$22">
      <xdr:nvSpPr>
        <xdr:cNvPr id="23" name="主表18">
          <a:extLst>
            <a:ext uri="{FF2B5EF4-FFF2-40B4-BE49-F238E27FC236}">
              <a16:creationId xmlns:a16="http://schemas.microsoft.com/office/drawing/2014/main" id="{A02B3A5B-C450-35BB-4AEA-1B70B814A0E5}"/>
            </a:ext>
          </a:extLst>
        </xdr:cNvPr>
        <xdr:cNvSpPr txBox="1"/>
      </xdr:nvSpPr>
      <xdr:spPr>
        <a:xfrm>
          <a:off x="3056526" y="7233920"/>
          <a:ext cx="638199" cy="35052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0" tIns="0" rIns="0" bIns="0" rtlCol="0" anchor="ctr">
          <a:normAutofit/>
        </a:bodyPr>
        <a:lstStyle/>
        <a:p>
          <a:pPr algn="r"/>
          <a:fld id="{5C3CC799-AD82-4AE6-B6F5-A10CCEDD5DE7}" type="TxLink">
            <a:rPr kumimoji="1" lang="en-US" altLang="en-US" sz="640" b="0" i="0" u="none" strike="noStrike">
              <a:solidFill>
                <a:srgbClr val="000000"/>
              </a:solidFill>
              <a:latin typeface="ＭＳ 明朝" panose="02020609040205080304" pitchFamily="17" charset="-128"/>
              <a:ea typeface="游ゴシック"/>
            </a:rPr>
            <a:pPr algn="r"/>
            <a:t> </a:t>
          </a:fld>
          <a:endParaRPr kumimoji="1" lang="ja-JP" altLang="en-US" sz="640">
            <a:solidFill>
              <a:srgbClr val="000000"/>
            </a:solidFill>
            <a:latin typeface="ＭＳ 明朝" panose="02020609040205080304" pitchFamily="17" charset="-128"/>
          </a:endParaRPr>
        </a:p>
      </xdr:txBody>
    </xdr:sp>
    <xdr:clientData/>
  </xdr:twoCellAnchor>
  <xdr:twoCellAnchor editAs="absolute">
    <xdr:from>
      <xdr:col>4</xdr:col>
      <xdr:colOff>526686</xdr:colOff>
      <xdr:row>2</xdr:row>
      <xdr:rowOff>518160</xdr:rowOff>
    </xdr:from>
    <xdr:to>
      <xdr:col>5</xdr:col>
      <xdr:colOff>532425</xdr:colOff>
      <xdr:row>2</xdr:row>
      <xdr:rowOff>873760</xdr:rowOff>
    </xdr:to>
    <xdr:sp macro="" textlink="印字値!$A$23">
      <xdr:nvSpPr>
        <xdr:cNvPr id="24" name="主表19">
          <a:extLst>
            <a:ext uri="{FF2B5EF4-FFF2-40B4-BE49-F238E27FC236}">
              <a16:creationId xmlns:a16="http://schemas.microsoft.com/office/drawing/2014/main" id="{A50DC04C-E8C7-5D6B-B30D-9298E391B303}"/>
            </a:ext>
          </a:extLst>
        </xdr:cNvPr>
        <xdr:cNvSpPr txBox="1"/>
      </xdr:nvSpPr>
      <xdr:spPr>
        <a:xfrm>
          <a:off x="3056526" y="7635240"/>
          <a:ext cx="638199" cy="3556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0" tIns="0" rIns="0" bIns="0" rtlCol="0" anchor="ctr">
          <a:normAutofit/>
        </a:bodyPr>
        <a:lstStyle/>
        <a:p>
          <a:pPr algn="r"/>
          <a:fld id="{1D12579F-A89E-4284-8662-1EB804D8D9D1}" type="TxLink">
            <a:rPr kumimoji="1" lang="en-US" altLang="en-US" sz="620" b="0" i="0" u="none" strike="noStrike">
              <a:solidFill>
                <a:srgbClr val="000000"/>
              </a:solidFill>
              <a:latin typeface="ＭＳ 明朝" panose="02020609040205080304" pitchFamily="17" charset="-128"/>
              <a:ea typeface="游ゴシック"/>
            </a:rPr>
            <a:pPr algn="r"/>
            <a:t> </a:t>
          </a:fld>
          <a:endParaRPr kumimoji="1" lang="ja-JP" altLang="en-US" sz="620">
            <a:solidFill>
              <a:srgbClr val="000000"/>
            </a:solidFill>
            <a:latin typeface="ＭＳ 明朝" panose="02020609040205080304" pitchFamily="17" charset="-128"/>
          </a:endParaRPr>
        </a:p>
      </xdr:txBody>
    </xdr:sp>
    <xdr:clientData/>
  </xdr:twoCellAnchor>
  <xdr:twoCellAnchor editAs="absolute">
    <xdr:from>
      <xdr:col>4</xdr:col>
      <xdr:colOff>526686</xdr:colOff>
      <xdr:row>2</xdr:row>
      <xdr:rowOff>924560</xdr:rowOff>
    </xdr:from>
    <xdr:to>
      <xdr:col>5</xdr:col>
      <xdr:colOff>532425</xdr:colOff>
      <xdr:row>2</xdr:row>
      <xdr:rowOff>1275080</xdr:rowOff>
    </xdr:to>
    <xdr:sp macro="" textlink="印字値!$A$24">
      <xdr:nvSpPr>
        <xdr:cNvPr id="25" name="主表20">
          <a:extLst>
            <a:ext uri="{FF2B5EF4-FFF2-40B4-BE49-F238E27FC236}">
              <a16:creationId xmlns:a16="http://schemas.microsoft.com/office/drawing/2014/main" id="{9B323F25-C38B-8583-FCA0-86B1032374E8}"/>
            </a:ext>
          </a:extLst>
        </xdr:cNvPr>
        <xdr:cNvSpPr txBox="1"/>
      </xdr:nvSpPr>
      <xdr:spPr>
        <a:xfrm>
          <a:off x="3056526" y="8041640"/>
          <a:ext cx="638199" cy="35052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0" tIns="0" rIns="0" bIns="0" rtlCol="0" anchor="ctr">
          <a:normAutofit/>
        </a:bodyPr>
        <a:lstStyle/>
        <a:p>
          <a:pPr algn="r"/>
          <a:fld id="{EAAD3521-31EE-44F9-A30A-75685C825DB1}" type="TxLink">
            <a:rPr kumimoji="1" lang="en-US" altLang="en-US" sz="640" b="0" i="0" u="none" strike="noStrike">
              <a:solidFill>
                <a:srgbClr val="000000"/>
              </a:solidFill>
              <a:latin typeface="ＭＳ 明朝" panose="02020609040205080304" pitchFamily="17" charset="-128"/>
              <a:ea typeface="游ゴシック"/>
            </a:rPr>
            <a:pPr algn="r"/>
            <a:t> </a:t>
          </a:fld>
          <a:endParaRPr kumimoji="1" lang="ja-JP" altLang="en-US" sz="640">
            <a:solidFill>
              <a:srgbClr val="000000"/>
            </a:solidFill>
            <a:latin typeface="ＭＳ 明朝" panose="02020609040205080304" pitchFamily="17" charset="-128"/>
          </a:endParaRPr>
        </a:p>
      </xdr:txBody>
    </xdr:sp>
    <xdr:clientData/>
  </xdr:twoCellAnchor>
  <xdr:twoCellAnchor editAs="absolute">
    <xdr:from>
      <xdr:col>4</xdr:col>
      <xdr:colOff>526685</xdr:colOff>
      <xdr:row>2</xdr:row>
      <xdr:rowOff>1325880</xdr:rowOff>
    </xdr:from>
    <xdr:to>
      <xdr:col>5</xdr:col>
      <xdr:colOff>378021</xdr:colOff>
      <xdr:row>2</xdr:row>
      <xdr:rowOff>1676400</xdr:rowOff>
    </xdr:to>
    <xdr:sp macro="" textlink="印字値!$A$25">
      <xdr:nvSpPr>
        <xdr:cNvPr id="26" name="主表21">
          <a:extLst>
            <a:ext uri="{FF2B5EF4-FFF2-40B4-BE49-F238E27FC236}">
              <a16:creationId xmlns:a16="http://schemas.microsoft.com/office/drawing/2014/main" id="{83CFC9B4-2C51-80F6-9940-072E0B6FE322}"/>
            </a:ext>
          </a:extLst>
        </xdr:cNvPr>
        <xdr:cNvSpPr txBox="1"/>
      </xdr:nvSpPr>
      <xdr:spPr>
        <a:xfrm>
          <a:off x="3056525" y="8442960"/>
          <a:ext cx="483796" cy="35052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0" tIns="0" rIns="0" bIns="0" rtlCol="0" anchor="ctr">
          <a:normAutofit/>
        </a:bodyPr>
        <a:lstStyle/>
        <a:p>
          <a:pPr algn="r"/>
          <a:fld id="{77DB9B4A-1DF4-4C69-B177-F46121052CBA}" type="TxLink">
            <a:rPr kumimoji="1" lang="en-US" altLang="en-US" sz="550" b="0" i="0" u="none" strike="noStrike">
              <a:solidFill>
                <a:srgbClr val="000000"/>
              </a:solidFill>
              <a:latin typeface="ＭＳ 明朝" panose="02020609040205080304" pitchFamily="17" charset="-128"/>
              <a:ea typeface="游ゴシック"/>
            </a:rPr>
            <a:pPr algn="r"/>
            <a:t> </a:t>
          </a:fld>
          <a:endParaRPr kumimoji="1" lang="ja-JP" altLang="en-US" sz="550">
            <a:solidFill>
              <a:srgbClr val="000000"/>
            </a:solidFill>
            <a:latin typeface="ＭＳ 明朝" panose="02020609040205080304" pitchFamily="17" charset="-128"/>
          </a:endParaRPr>
        </a:p>
      </xdr:txBody>
    </xdr:sp>
    <xdr:clientData/>
  </xdr:twoCellAnchor>
  <xdr:twoCellAnchor editAs="absolute">
    <xdr:from>
      <xdr:col>4</xdr:col>
      <xdr:colOff>521539</xdr:colOff>
      <xdr:row>0</xdr:row>
      <xdr:rowOff>3393440</xdr:rowOff>
    </xdr:from>
    <xdr:to>
      <xdr:col>5</xdr:col>
      <xdr:colOff>532425</xdr:colOff>
      <xdr:row>0</xdr:row>
      <xdr:rowOff>3495040</xdr:rowOff>
    </xdr:to>
    <xdr:sp macro="" textlink="印字値!$B$5">
      <xdr:nvSpPr>
        <xdr:cNvPr id="27" name="主表09内書">
          <a:extLst>
            <a:ext uri="{FF2B5EF4-FFF2-40B4-BE49-F238E27FC236}">
              <a16:creationId xmlns:a16="http://schemas.microsoft.com/office/drawing/2014/main" id="{E2197E1D-55F9-8936-A517-AF2E62BB8719}"/>
            </a:ext>
          </a:extLst>
        </xdr:cNvPr>
        <xdr:cNvSpPr txBox="1"/>
      </xdr:nvSpPr>
      <xdr:spPr>
        <a:xfrm>
          <a:off x="3051379" y="3393440"/>
          <a:ext cx="643346" cy="1016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0" tIns="0" rIns="0" bIns="0" rtlCol="0" anchor="ctr">
          <a:normAutofit/>
        </a:bodyPr>
        <a:lstStyle/>
        <a:p>
          <a:pPr algn="l"/>
          <a:fld id="{D74E2441-7D52-4EF2-8A8B-6E8F5AD1B02D}" type="TxLink">
            <a:rPr kumimoji="1" lang="en-US" altLang="en-US" sz="580" b="0" i="0" u="none" strike="noStrike">
              <a:solidFill>
                <a:srgbClr val="000000"/>
              </a:solidFill>
              <a:latin typeface="ＭＳ 明朝" panose="02020609040205080304" pitchFamily="17" charset="-128"/>
              <a:ea typeface="游ゴシック"/>
            </a:rPr>
            <a:pPr algn="l"/>
            <a:t> </a:t>
          </a:fld>
          <a:endParaRPr kumimoji="1" lang="ja-JP" altLang="en-US" sz="580">
            <a:solidFill>
              <a:srgbClr val="000000"/>
            </a:solidFill>
            <a:latin typeface="ＭＳ 明朝" panose="02020609040205080304" pitchFamily="17" charset="-128"/>
          </a:endParaRPr>
        </a:p>
      </xdr:txBody>
    </xdr:sp>
    <xdr:clientData/>
  </xdr:twoCellAnchor>
  <xdr:twoCellAnchor editAs="absolute">
    <xdr:from>
      <xdr:col>9</xdr:col>
      <xdr:colOff>395831</xdr:colOff>
      <xdr:row>0</xdr:row>
      <xdr:rowOff>3418840</xdr:rowOff>
    </xdr:from>
    <xdr:to>
      <xdr:col>10</xdr:col>
      <xdr:colOff>396423</xdr:colOff>
      <xdr:row>1</xdr:row>
      <xdr:rowOff>693420</xdr:rowOff>
    </xdr:to>
    <xdr:sp macro="" textlink="印字値!$A$26">
      <xdr:nvSpPr>
        <xdr:cNvPr id="28" name="主表22">
          <a:extLst>
            <a:ext uri="{FF2B5EF4-FFF2-40B4-BE49-F238E27FC236}">
              <a16:creationId xmlns:a16="http://schemas.microsoft.com/office/drawing/2014/main" id="{527DA608-30A4-CCE3-9BF7-26458D1F318D}"/>
            </a:ext>
          </a:extLst>
        </xdr:cNvPr>
        <xdr:cNvSpPr txBox="1"/>
      </xdr:nvSpPr>
      <xdr:spPr>
        <a:xfrm>
          <a:off x="6087971" y="3418840"/>
          <a:ext cx="633052" cy="83312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0" tIns="0" rIns="0" bIns="0" rtlCol="0" anchor="ctr">
          <a:normAutofit/>
        </a:bodyPr>
        <a:lstStyle/>
        <a:p>
          <a:pPr algn="r"/>
          <a:fld id="{4D3EDA0C-CA99-4952-9E9B-AAAC81FB7BE0}" type="TxLink">
            <a:rPr kumimoji="1" lang="en-US" altLang="en-US" sz="620" b="0" i="0" u="none" strike="noStrike">
              <a:solidFill>
                <a:srgbClr val="000000"/>
              </a:solidFill>
              <a:latin typeface="ＭＳ 明朝" panose="02020609040205080304" pitchFamily="17" charset="-128"/>
              <a:ea typeface="游ゴシック"/>
            </a:rPr>
            <a:pPr algn="r"/>
            <a:t> </a:t>
          </a:fld>
          <a:endParaRPr kumimoji="1" lang="ja-JP" altLang="en-US" sz="620">
            <a:solidFill>
              <a:srgbClr val="000000"/>
            </a:solidFill>
            <a:latin typeface="ＭＳ 明朝" panose="02020609040205080304" pitchFamily="17" charset="-128"/>
          </a:endParaRPr>
        </a:p>
      </xdr:txBody>
    </xdr:sp>
    <xdr:clientData/>
  </xdr:twoCellAnchor>
  <xdr:twoCellAnchor editAs="absolute">
    <xdr:from>
      <xdr:col>9</xdr:col>
      <xdr:colOff>395831</xdr:colOff>
      <xdr:row>1</xdr:row>
      <xdr:rowOff>764540</xdr:rowOff>
    </xdr:from>
    <xdr:to>
      <xdr:col>10</xdr:col>
      <xdr:colOff>396423</xdr:colOff>
      <xdr:row>1</xdr:row>
      <xdr:rowOff>1902460</xdr:rowOff>
    </xdr:to>
    <xdr:sp macro="" textlink="印字値!$A$27">
      <xdr:nvSpPr>
        <xdr:cNvPr id="29" name="主表23">
          <a:extLst>
            <a:ext uri="{FF2B5EF4-FFF2-40B4-BE49-F238E27FC236}">
              <a16:creationId xmlns:a16="http://schemas.microsoft.com/office/drawing/2014/main" id="{C4A9A004-3BF5-DC67-0297-587DD36FB9CF}"/>
            </a:ext>
          </a:extLst>
        </xdr:cNvPr>
        <xdr:cNvSpPr txBox="1"/>
      </xdr:nvSpPr>
      <xdr:spPr>
        <a:xfrm>
          <a:off x="6087971" y="4323080"/>
          <a:ext cx="633052" cy="113792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0" tIns="0" rIns="0" bIns="0" rtlCol="0" anchor="ctr">
          <a:normAutofit/>
        </a:bodyPr>
        <a:lstStyle/>
        <a:p>
          <a:pPr algn="r"/>
          <a:fld id="{2DF8FC21-0248-4102-96CC-3511D46BA0F9}" type="TxLink">
            <a:rPr kumimoji="1" lang="en-US" altLang="en-US" sz="620" b="0" i="0" u="none" strike="noStrike">
              <a:solidFill>
                <a:srgbClr val="000000"/>
              </a:solidFill>
              <a:latin typeface="ＭＳ 明朝" panose="02020609040205080304" pitchFamily="17" charset="-128"/>
              <a:ea typeface="游ゴシック"/>
            </a:rPr>
            <a:pPr algn="r"/>
            <a:t> </a:t>
          </a:fld>
          <a:endParaRPr kumimoji="1" lang="ja-JP" altLang="en-US" sz="620">
            <a:solidFill>
              <a:srgbClr val="000000"/>
            </a:solidFill>
            <a:latin typeface="ＭＳ 明朝" panose="02020609040205080304" pitchFamily="17" charset="-128"/>
          </a:endParaRPr>
        </a:p>
      </xdr:txBody>
    </xdr:sp>
    <xdr:clientData/>
  </xdr:twoCellAnchor>
  <xdr:twoCellAnchor editAs="absolute">
    <xdr:from>
      <xdr:col>9</xdr:col>
      <xdr:colOff>395831</xdr:colOff>
      <xdr:row>1</xdr:row>
      <xdr:rowOff>1973580</xdr:rowOff>
    </xdr:from>
    <xdr:to>
      <xdr:col>10</xdr:col>
      <xdr:colOff>396423</xdr:colOff>
      <xdr:row>1</xdr:row>
      <xdr:rowOff>2603500</xdr:rowOff>
    </xdr:to>
    <xdr:sp macro="" textlink="印字値!$A$28">
      <xdr:nvSpPr>
        <xdr:cNvPr id="30" name="主表24">
          <a:extLst>
            <a:ext uri="{FF2B5EF4-FFF2-40B4-BE49-F238E27FC236}">
              <a16:creationId xmlns:a16="http://schemas.microsoft.com/office/drawing/2014/main" id="{A9CC6403-D135-22B4-0C56-9D743EFB8361}"/>
            </a:ext>
          </a:extLst>
        </xdr:cNvPr>
        <xdr:cNvSpPr txBox="1"/>
      </xdr:nvSpPr>
      <xdr:spPr>
        <a:xfrm>
          <a:off x="6087971" y="5532120"/>
          <a:ext cx="633052" cy="62992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0" tIns="0" rIns="0" bIns="0" rtlCol="0" anchor="ctr">
          <a:normAutofit/>
        </a:bodyPr>
        <a:lstStyle/>
        <a:p>
          <a:pPr algn="r"/>
          <a:fld id="{19E7A0E2-3B3E-4E65-B925-1E48CA462B2D}" type="TxLink">
            <a:rPr kumimoji="1" lang="en-US" altLang="en-US" sz="620" b="0" i="0" u="none" strike="noStrike">
              <a:solidFill>
                <a:srgbClr val="000000"/>
              </a:solidFill>
              <a:latin typeface="ＭＳ 明朝" panose="02020609040205080304" pitchFamily="17" charset="-128"/>
              <a:ea typeface="游ゴシック"/>
            </a:rPr>
            <a:pPr algn="r"/>
            <a:t> </a:t>
          </a:fld>
          <a:endParaRPr kumimoji="1" lang="ja-JP" altLang="en-US" sz="620">
            <a:solidFill>
              <a:srgbClr val="000000"/>
            </a:solidFill>
            <a:latin typeface="ＭＳ 明朝" panose="02020609040205080304" pitchFamily="17" charset="-128"/>
          </a:endParaRPr>
        </a:p>
      </xdr:txBody>
    </xdr:sp>
    <xdr:clientData/>
  </xdr:twoCellAnchor>
  <xdr:twoCellAnchor editAs="absolute">
    <xdr:from>
      <xdr:col>9</xdr:col>
      <xdr:colOff>395831</xdr:colOff>
      <xdr:row>1</xdr:row>
      <xdr:rowOff>2674620</xdr:rowOff>
    </xdr:from>
    <xdr:to>
      <xdr:col>10</xdr:col>
      <xdr:colOff>396423</xdr:colOff>
      <xdr:row>1</xdr:row>
      <xdr:rowOff>3208020</xdr:rowOff>
    </xdr:to>
    <xdr:sp macro="" textlink="印字値!$A$29">
      <xdr:nvSpPr>
        <xdr:cNvPr id="31" name="主表25">
          <a:extLst>
            <a:ext uri="{FF2B5EF4-FFF2-40B4-BE49-F238E27FC236}">
              <a16:creationId xmlns:a16="http://schemas.microsoft.com/office/drawing/2014/main" id="{1563F4AA-F073-EFEF-F9C6-CC9431C6A126}"/>
            </a:ext>
          </a:extLst>
        </xdr:cNvPr>
        <xdr:cNvSpPr txBox="1"/>
      </xdr:nvSpPr>
      <xdr:spPr>
        <a:xfrm>
          <a:off x="6087971" y="6233160"/>
          <a:ext cx="633052" cy="5334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0" tIns="0" rIns="0" bIns="0" rtlCol="0" anchor="ctr">
          <a:normAutofit/>
        </a:bodyPr>
        <a:lstStyle/>
        <a:p>
          <a:pPr algn="r"/>
          <a:fld id="{85B4275E-65A5-436B-BED5-371E320FEEA7}" type="TxLink">
            <a:rPr kumimoji="1" lang="en-US" altLang="en-US" sz="620" b="0" i="0" u="none" strike="noStrike">
              <a:solidFill>
                <a:srgbClr val="000000"/>
              </a:solidFill>
              <a:latin typeface="ＭＳ 明朝" panose="02020609040205080304" pitchFamily="17" charset="-128"/>
              <a:ea typeface="游ゴシック"/>
            </a:rPr>
            <a:pPr algn="r"/>
            <a:t> </a:t>
          </a:fld>
          <a:endParaRPr kumimoji="1" lang="ja-JP" altLang="en-US" sz="620">
            <a:solidFill>
              <a:srgbClr val="000000"/>
            </a:solidFill>
            <a:latin typeface="ＭＳ 明朝" panose="02020609040205080304" pitchFamily="17" charset="-128"/>
          </a:endParaRPr>
        </a:p>
      </xdr:txBody>
    </xdr:sp>
    <xdr:clientData/>
  </xdr:twoCellAnchor>
  <xdr:twoCellAnchor editAs="absolute">
    <xdr:from>
      <xdr:col>9</xdr:col>
      <xdr:colOff>395831</xdr:colOff>
      <xdr:row>1</xdr:row>
      <xdr:rowOff>3279140</xdr:rowOff>
    </xdr:from>
    <xdr:to>
      <xdr:col>10</xdr:col>
      <xdr:colOff>396423</xdr:colOff>
      <xdr:row>2</xdr:row>
      <xdr:rowOff>355600</xdr:rowOff>
    </xdr:to>
    <xdr:sp macro="" textlink="印字値!$A$30">
      <xdr:nvSpPr>
        <xdr:cNvPr id="32" name="主表26">
          <a:extLst>
            <a:ext uri="{FF2B5EF4-FFF2-40B4-BE49-F238E27FC236}">
              <a16:creationId xmlns:a16="http://schemas.microsoft.com/office/drawing/2014/main" id="{895561F1-6193-0F6B-3F3F-561071BA43F8}"/>
            </a:ext>
          </a:extLst>
        </xdr:cNvPr>
        <xdr:cNvSpPr txBox="1"/>
      </xdr:nvSpPr>
      <xdr:spPr>
        <a:xfrm>
          <a:off x="6087971" y="6837680"/>
          <a:ext cx="633052" cy="6350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0" tIns="0" rIns="0" bIns="0" rtlCol="0" anchor="ctr">
          <a:normAutofit/>
        </a:bodyPr>
        <a:lstStyle/>
        <a:p>
          <a:pPr algn="r"/>
          <a:fld id="{8474520C-9C8E-4CF9-9ED3-E9335318633C}" type="TxLink">
            <a:rPr kumimoji="1" lang="en-US" altLang="en-US" sz="620" b="0" i="0" u="none" strike="noStrike">
              <a:solidFill>
                <a:srgbClr val="000000"/>
              </a:solidFill>
              <a:latin typeface="ＭＳ 明朝" panose="02020609040205080304" pitchFamily="17" charset="-128"/>
              <a:ea typeface="游ゴシック"/>
            </a:rPr>
            <a:pPr algn="r"/>
            <a:t> </a:t>
          </a:fld>
          <a:endParaRPr kumimoji="1" lang="ja-JP" altLang="en-US" sz="620">
            <a:solidFill>
              <a:srgbClr val="000000"/>
            </a:solidFill>
            <a:latin typeface="ＭＳ 明朝" panose="02020609040205080304" pitchFamily="17" charset="-128"/>
          </a:endParaRPr>
        </a:p>
      </xdr:txBody>
    </xdr:sp>
    <xdr:clientData/>
  </xdr:twoCellAnchor>
  <xdr:twoCellAnchor editAs="absolute">
    <xdr:from>
      <xdr:col>9</xdr:col>
      <xdr:colOff>395831</xdr:colOff>
      <xdr:row>2</xdr:row>
      <xdr:rowOff>426720</xdr:rowOff>
    </xdr:from>
    <xdr:to>
      <xdr:col>10</xdr:col>
      <xdr:colOff>396423</xdr:colOff>
      <xdr:row>2</xdr:row>
      <xdr:rowOff>1056640</xdr:rowOff>
    </xdr:to>
    <xdr:sp macro="" textlink="印字値!$A$31">
      <xdr:nvSpPr>
        <xdr:cNvPr id="33" name="主表27">
          <a:extLst>
            <a:ext uri="{FF2B5EF4-FFF2-40B4-BE49-F238E27FC236}">
              <a16:creationId xmlns:a16="http://schemas.microsoft.com/office/drawing/2014/main" id="{A2E970A5-9D74-6025-7405-B03A87CFEAFA}"/>
            </a:ext>
          </a:extLst>
        </xdr:cNvPr>
        <xdr:cNvSpPr txBox="1"/>
      </xdr:nvSpPr>
      <xdr:spPr>
        <a:xfrm>
          <a:off x="6087971" y="7543800"/>
          <a:ext cx="633052" cy="62992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0" tIns="0" rIns="0" bIns="0" rtlCol="0" anchor="ctr">
          <a:normAutofit/>
        </a:bodyPr>
        <a:lstStyle/>
        <a:p>
          <a:pPr algn="r"/>
          <a:fld id="{B0CFE7DE-7E56-43E9-93B1-3DD48332E901}" type="TxLink">
            <a:rPr kumimoji="1" lang="en-US" altLang="en-US" sz="620" b="0" i="0" u="none" strike="noStrike">
              <a:solidFill>
                <a:srgbClr val="000000"/>
              </a:solidFill>
              <a:latin typeface="ＭＳ 明朝" panose="02020609040205080304" pitchFamily="17" charset="-128"/>
              <a:ea typeface="游ゴシック"/>
            </a:rPr>
            <a:pPr algn="r"/>
            <a:t> </a:t>
          </a:fld>
          <a:endParaRPr kumimoji="1" lang="ja-JP" altLang="en-US" sz="620">
            <a:solidFill>
              <a:srgbClr val="000000"/>
            </a:solidFill>
            <a:latin typeface="ＭＳ 明朝" panose="02020609040205080304" pitchFamily="17" charset="-128"/>
          </a:endParaRPr>
        </a:p>
      </xdr:txBody>
    </xdr:sp>
    <xdr:clientData/>
  </xdr:twoCellAnchor>
  <xdr:twoCellAnchor editAs="absolute">
    <xdr:from>
      <xdr:col>9</xdr:col>
      <xdr:colOff>395831</xdr:colOff>
      <xdr:row>2</xdr:row>
      <xdr:rowOff>1127760</xdr:rowOff>
    </xdr:from>
    <xdr:to>
      <xdr:col>10</xdr:col>
      <xdr:colOff>396423</xdr:colOff>
      <xdr:row>2</xdr:row>
      <xdr:rowOff>1661160</xdr:rowOff>
    </xdr:to>
    <xdr:sp macro="" textlink="印字値!$A$32">
      <xdr:nvSpPr>
        <xdr:cNvPr id="34" name="主表28">
          <a:extLst>
            <a:ext uri="{FF2B5EF4-FFF2-40B4-BE49-F238E27FC236}">
              <a16:creationId xmlns:a16="http://schemas.microsoft.com/office/drawing/2014/main" id="{77E35788-0FA1-30E7-071B-46806DF722C8}"/>
            </a:ext>
          </a:extLst>
        </xdr:cNvPr>
        <xdr:cNvSpPr txBox="1"/>
      </xdr:nvSpPr>
      <xdr:spPr>
        <a:xfrm>
          <a:off x="6087971" y="8244840"/>
          <a:ext cx="633052" cy="5334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0" tIns="0" rIns="0" bIns="0" rtlCol="0" anchor="ctr">
          <a:normAutofit/>
        </a:bodyPr>
        <a:lstStyle/>
        <a:p>
          <a:pPr algn="r"/>
          <a:fld id="{681CC7EE-8EEE-4F42-A166-76FBBE47A295}" type="TxLink">
            <a:rPr kumimoji="1" lang="en-US" altLang="en-US" sz="620" b="0" i="0" u="none" strike="noStrike">
              <a:solidFill>
                <a:srgbClr val="000000"/>
              </a:solidFill>
              <a:latin typeface="ＭＳ 明朝" panose="02020609040205080304" pitchFamily="17" charset="-128"/>
              <a:ea typeface="游ゴシック"/>
            </a:rPr>
            <a:pPr algn="r"/>
            <a:t> </a:t>
          </a:fld>
          <a:endParaRPr kumimoji="1" lang="ja-JP" altLang="en-US" sz="620">
            <a:solidFill>
              <a:srgbClr val="000000"/>
            </a:solidFill>
            <a:latin typeface="ＭＳ 明朝" panose="02020609040205080304" pitchFamily="17" charset="-128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0</xdr:colOff>
      <xdr:row>0</xdr:row>
      <xdr:rowOff>0</xdr:rowOff>
    </xdr:from>
    <xdr:to>
      <xdr:col>12</xdr:col>
      <xdr:colOff>33655</xdr:colOff>
      <xdr:row>3</xdr:row>
      <xdr:rowOff>2921</xdr:rowOff>
    </xdr:to>
    <xdr:pic>
      <xdr:nvPicPr>
        <xdr:cNvPr id="3" name="国税庁公式様式_背景">
          <a:extLst>
            <a:ext uri="{FF2B5EF4-FFF2-40B4-BE49-F238E27FC236}">
              <a16:creationId xmlns:a16="http://schemas.microsoft.com/office/drawing/2014/main" id="{0110D186-3DCA-4DB3-DCB1-C935105F01C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0" y="0"/>
          <a:ext cx="7958455" cy="11255121"/>
        </a:xfrm>
        <a:prstGeom prst="rect">
          <a:avLst/>
        </a:prstGeom>
      </xdr:spPr>
    </xdr:pic>
    <xdr:clientData/>
  </xdr:twoCellAnchor>
  <xdr:twoCellAnchor editAs="absolute">
    <xdr:from>
      <xdr:col>6</xdr:col>
      <xdr:colOff>401699</xdr:colOff>
      <xdr:row>0</xdr:row>
      <xdr:rowOff>477428</xdr:rowOff>
    </xdr:from>
    <xdr:to>
      <xdr:col>8</xdr:col>
      <xdr:colOff>100310</xdr:colOff>
      <xdr:row>0</xdr:row>
      <xdr:rowOff>858355</xdr:rowOff>
    </xdr:to>
    <xdr:sp macro="" textlink="印字値!$A$2">
      <xdr:nvSpPr>
        <xdr:cNvPr id="4" name="事業年度">
          <a:extLst>
            <a:ext uri="{FF2B5EF4-FFF2-40B4-BE49-F238E27FC236}">
              <a16:creationId xmlns:a16="http://schemas.microsoft.com/office/drawing/2014/main" id="{EA88ED86-DFAE-AD49-4A0B-149C96018FF0}"/>
            </a:ext>
          </a:extLst>
        </xdr:cNvPr>
        <xdr:cNvSpPr txBox="1"/>
      </xdr:nvSpPr>
      <xdr:spPr>
        <a:xfrm>
          <a:off x="4379339" y="477428"/>
          <a:ext cx="1024491" cy="380927"/>
        </a:xfrm>
        <a:prstGeom prst="rect">
          <a:avLst/>
        </a:prstGeom>
        <a:solidFill>
          <a:srgbClr val="FFFFFF"/>
        </a:solidFill>
        <a:ln w="9525" cmpd="sng">
          <a:noFill/>
        </a:ln>
        <a:effectLst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0" tIns="0" rIns="0" bIns="0" rtlCol="0" anchor="ctr">
          <a:normAutofit/>
        </a:bodyPr>
        <a:lstStyle/>
        <a:p>
          <a:pPr algn="ctr"/>
          <a:fld id="{6E9A26E6-2B33-4D1E-9A10-1E62F60850D5}" type="TxLink">
            <a:rPr kumimoji="1" lang="en-US" altLang="en-US" sz="720" b="0" i="0" u="none" strike="noStrike">
              <a:solidFill>
                <a:srgbClr val="000000"/>
              </a:solidFill>
              <a:latin typeface="ＭＳ 明朝" panose="02020609040205080304" pitchFamily="17" charset="-128"/>
              <a:ea typeface="游ゴシック"/>
            </a:rPr>
            <a:pPr algn="ctr"/>
            <a:t> </a:t>
          </a:fld>
          <a:endParaRPr kumimoji="1" lang="ja-JP" altLang="en-US" sz="720">
            <a:solidFill>
              <a:srgbClr val="000000"/>
            </a:solidFill>
            <a:latin typeface="ＭＳ 明朝" panose="02020609040205080304" pitchFamily="17" charset="-128"/>
          </a:endParaRPr>
        </a:p>
      </xdr:txBody>
    </xdr:sp>
    <xdr:clientData/>
  </xdr:twoCellAnchor>
  <xdr:twoCellAnchor editAs="absolute">
    <xdr:from>
      <xdr:col>8</xdr:col>
      <xdr:colOff>497872</xdr:colOff>
      <xdr:row>0</xdr:row>
      <xdr:rowOff>482507</xdr:rowOff>
    </xdr:from>
    <xdr:to>
      <xdr:col>10</xdr:col>
      <xdr:colOff>543076</xdr:colOff>
      <xdr:row>0</xdr:row>
      <xdr:rowOff>858355</xdr:rowOff>
    </xdr:to>
    <xdr:sp macro="" textlink="印字値!$A$1">
      <xdr:nvSpPr>
        <xdr:cNvPr id="5" name="法人名">
          <a:extLst>
            <a:ext uri="{FF2B5EF4-FFF2-40B4-BE49-F238E27FC236}">
              <a16:creationId xmlns:a16="http://schemas.microsoft.com/office/drawing/2014/main" id="{4130BE55-E390-FE58-DE77-54A9F32935F9}"/>
            </a:ext>
          </a:extLst>
        </xdr:cNvPr>
        <xdr:cNvSpPr txBox="1"/>
      </xdr:nvSpPr>
      <xdr:spPr>
        <a:xfrm>
          <a:off x="5801392" y="482507"/>
          <a:ext cx="1371084" cy="375848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square" lIns="0" tIns="0" rIns="0" bIns="0" rtlCol="0" anchor="ctr">
          <a:normAutofit/>
        </a:bodyPr>
        <a:lstStyle/>
        <a:p>
          <a:pPr algn="l"/>
          <a:fld id="{31684DCC-0000-4F99-AB95-EBBFC67B2896}" type="TxLink">
            <a:rPr kumimoji="1" lang="en-US" altLang="en-US" sz="480" b="0" i="0" u="none" strike="noStrike">
              <a:solidFill>
                <a:srgbClr val="000000"/>
              </a:solidFill>
              <a:latin typeface="ＭＳ 明朝" panose="02020609040205080304" pitchFamily="17" charset="-128"/>
              <a:ea typeface="游ゴシック"/>
            </a:rPr>
            <a:pPr algn="l"/>
            <a:t> </a:t>
          </a:fld>
          <a:endParaRPr kumimoji="1" lang="ja-JP" altLang="en-US" sz="480">
            <a:solidFill>
              <a:srgbClr val="000000"/>
            </a:solidFill>
            <a:latin typeface="ＭＳ 明朝" panose="02020609040205080304" pitchFamily="17" charset="-128"/>
          </a:endParaRPr>
        </a:p>
      </xdr:txBody>
    </xdr:sp>
    <xdr:clientData/>
  </xdr:twoCellAnchor>
  <xdr:twoCellAnchor editAs="absolute">
    <xdr:from>
      <xdr:col>4</xdr:col>
      <xdr:colOff>412562</xdr:colOff>
      <xdr:row>0</xdr:row>
      <xdr:rowOff>924383</xdr:rowOff>
    </xdr:from>
    <xdr:to>
      <xdr:col>5</xdr:col>
      <xdr:colOff>585525</xdr:colOff>
      <xdr:row>0</xdr:row>
      <xdr:rowOff>1325626</xdr:rowOff>
    </xdr:to>
    <xdr:sp macro="" textlink="印字値!$C$5">
      <xdr:nvSpPr>
        <xdr:cNvPr id="6" name="付表一01">
          <a:extLst>
            <a:ext uri="{FF2B5EF4-FFF2-40B4-BE49-F238E27FC236}">
              <a16:creationId xmlns:a16="http://schemas.microsoft.com/office/drawing/2014/main" id="{03027423-621A-B041-C006-807FF6F9582F}"/>
            </a:ext>
          </a:extLst>
        </xdr:cNvPr>
        <xdr:cNvSpPr txBox="1"/>
      </xdr:nvSpPr>
      <xdr:spPr>
        <a:xfrm>
          <a:off x="3064322" y="924383"/>
          <a:ext cx="835903" cy="401243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0" tIns="0" rIns="0" bIns="0" rtlCol="0" anchor="ctr">
          <a:normAutofit/>
        </a:bodyPr>
        <a:lstStyle/>
        <a:p>
          <a:pPr algn="r"/>
          <a:fld id="{0B194414-F202-4089-81CF-62E739A67EE8}" type="TxLink">
            <a:rPr kumimoji="1" lang="en-US" altLang="en-US" sz="740" b="0" i="0" u="none" strike="noStrike">
              <a:solidFill>
                <a:srgbClr val="000000"/>
              </a:solidFill>
              <a:latin typeface="ＭＳ 明朝" panose="02020609040205080304" pitchFamily="17" charset="-128"/>
              <a:ea typeface="游ゴシック"/>
            </a:rPr>
            <a:pPr algn="r"/>
            <a:t> </a:t>
          </a:fld>
          <a:endParaRPr kumimoji="1" lang="ja-JP" altLang="en-US" sz="740">
            <a:solidFill>
              <a:srgbClr val="000000"/>
            </a:solidFill>
            <a:latin typeface="ＭＳ 明朝" panose="02020609040205080304" pitchFamily="17" charset="-128"/>
          </a:endParaRPr>
        </a:p>
      </xdr:txBody>
    </xdr:sp>
    <xdr:clientData/>
  </xdr:twoCellAnchor>
  <xdr:twoCellAnchor editAs="absolute">
    <xdr:from>
      <xdr:col>4</xdr:col>
      <xdr:colOff>412562</xdr:colOff>
      <xdr:row>0</xdr:row>
      <xdr:rowOff>1396732</xdr:rowOff>
    </xdr:from>
    <xdr:to>
      <xdr:col>5</xdr:col>
      <xdr:colOff>585525</xdr:colOff>
      <xdr:row>0</xdr:row>
      <xdr:rowOff>1803054</xdr:rowOff>
    </xdr:to>
    <xdr:sp macro="" textlink="印字値!$C$6">
      <xdr:nvSpPr>
        <xdr:cNvPr id="7" name="付表一02">
          <a:extLst>
            <a:ext uri="{FF2B5EF4-FFF2-40B4-BE49-F238E27FC236}">
              <a16:creationId xmlns:a16="http://schemas.microsoft.com/office/drawing/2014/main" id="{19F9331D-3302-3141-49EA-4BE4EF349F3C}"/>
            </a:ext>
          </a:extLst>
        </xdr:cNvPr>
        <xdr:cNvSpPr txBox="1"/>
      </xdr:nvSpPr>
      <xdr:spPr>
        <a:xfrm>
          <a:off x="3064322" y="1396732"/>
          <a:ext cx="835903" cy="406322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0" tIns="0" rIns="0" bIns="0" rtlCol="0" anchor="ctr">
          <a:normAutofit/>
        </a:bodyPr>
        <a:lstStyle/>
        <a:p>
          <a:pPr algn="r"/>
          <a:fld id="{166F275B-D833-49EE-ADEE-508809427ACD}" type="TxLink">
            <a:rPr kumimoji="1" lang="en-US" altLang="en-US" sz="740" b="0" i="0" u="none" strike="noStrike">
              <a:solidFill>
                <a:srgbClr val="000000"/>
              </a:solidFill>
              <a:latin typeface="ＭＳ 明朝" panose="02020609040205080304" pitchFamily="17" charset="-128"/>
              <a:ea typeface="游ゴシック"/>
            </a:rPr>
            <a:pPr algn="r"/>
            <a:t> </a:t>
          </a:fld>
          <a:endParaRPr kumimoji="1" lang="ja-JP" altLang="en-US" sz="740">
            <a:solidFill>
              <a:srgbClr val="000000"/>
            </a:solidFill>
            <a:latin typeface="ＭＳ 明朝" panose="02020609040205080304" pitchFamily="17" charset="-128"/>
          </a:endParaRPr>
        </a:p>
      </xdr:txBody>
    </xdr:sp>
    <xdr:clientData/>
  </xdr:twoCellAnchor>
  <xdr:twoCellAnchor editAs="absolute">
    <xdr:from>
      <xdr:col>4</xdr:col>
      <xdr:colOff>412562</xdr:colOff>
      <xdr:row>0</xdr:row>
      <xdr:rowOff>1874160</xdr:rowOff>
    </xdr:from>
    <xdr:to>
      <xdr:col>5</xdr:col>
      <xdr:colOff>585525</xdr:colOff>
      <xdr:row>0</xdr:row>
      <xdr:rowOff>2275403</xdr:rowOff>
    </xdr:to>
    <xdr:sp macro="" textlink="印字値!$C$7">
      <xdr:nvSpPr>
        <xdr:cNvPr id="8" name="付表一03">
          <a:extLst>
            <a:ext uri="{FF2B5EF4-FFF2-40B4-BE49-F238E27FC236}">
              <a16:creationId xmlns:a16="http://schemas.microsoft.com/office/drawing/2014/main" id="{773FF5B4-D210-15A5-A786-CB8A211F0FDC}"/>
            </a:ext>
          </a:extLst>
        </xdr:cNvPr>
        <xdr:cNvSpPr txBox="1"/>
      </xdr:nvSpPr>
      <xdr:spPr>
        <a:xfrm>
          <a:off x="3064322" y="1874160"/>
          <a:ext cx="835903" cy="401243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0" tIns="0" rIns="0" bIns="0" rtlCol="0" anchor="ctr">
          <a:normAutofit/>
        </a:bodyPr>
        <a:lstStyle/>
        <a:p>
          <a:pPr algn="r"/>
          <a:fld id="{35049C34-33E8-46BD-AF28-BCDBD5C5A1EB}" type="TxLink">
            <a:rPr kumimoji="1" lang="en-US" altLang="en-US" sz="740" b="0" i="0" u="none" strike="noStrike">
              <a:solidFill>
                <a:srgbClr val="000000"/>
              </a:solidFill>
              <a:latin typeface="ＭＳ 明朝" panose="02020609040205080304" pitchFamily="17" charset="-128"/>
              <a:ea typeface="游ゴシック"/>
            </a:rPr>
            <a:pPr algn="r"/>
            <a:t> </a:t>
          </a:fld>
          <a:endParaRPr kumimoji="1" lang="ja-JP" altLang="en-US" sz="740">
            <a:solidFill>
              <a:srgbClr val="000000"/>
            </a:solidFill>
            <a:latin typeface="ＭＳ 明朝" panose="02020609040205080304" pitchFamily="17" charset="-128"/>
          </a:endParaRPr>
        </a:p>
      </xdr:txBody>
    </xdr:sp>
    <xdr:clientData/>
  </xdr:twoCellAnchor>
  <xdr:twoCellAnchor editAs="absolute">
    <xdr:from>
      <xdr:col>4</xdr:col>
      <xdr:colOff>412562</xdr:colOff>
      <xdr:row>0</xdr:row>
      <xdr:rowOff>2346510</xdr:rowOff>
    </xdr:from>
    <xdr:to>
      <xdr:col>5</xdr:col>
      <xdr:colOff>585525</xdr:colOff>
      <xdr:row>0</xdr:row>
      <xdr:rowOff>2752832</xdr:rowOff>
    </xdr:to>
    <xdr:sp macro="" textlink="印字値!$C$8">
      <xdr:nvSpPr>
        <xdr:cNvPr id="9" name="付表一04">
          <a:extLst>
            <a:ext uri="{FF2B5EF4-FFF2-40B4-BE49-F238E27FC236}">
              <a16:creationId xmlns:a16="http://schemas.microsoft.com/office/drawing/2014/main" id="{152C36E2-3E60-D85C-DEC4-1C492C01EA75}"/>
            </a:ext>
          </a:extLst>
        </xdr:cNvPr>
        <xdr:cNvSpPr txBox="1"/>
      </xdr:nvSpPr>
      <xdr:spPr>
        <a:xfrm>
          <a:off x="3064322" y="2346510"/>
          <a:ext cx="835903" cy="406322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0" tIns="0" rIns="0" bIns="0" rtlCol="0" anchor="ctr">
          <a:normAutofit/>
        </a:bodyPr>
        <a:lstStyle/>
        <a:p>
          <a:pPr algn="r"/>
          <a:fld id="{D99DC831-D11F-4C7F-B320-2657228356AA}" type="TxLink">
            <a:rPr kumimoji="1" lang="en-US" altLang="en-US" sz="740" b="0" i="0" u="none" strike="noStrike">
              <a:solidFill>
                <a:srgbClr val="000000"/>
              </a:solidFill>
              <a:latin typeface="ＭＳ 明朝" panose="02020609040205080304" pitchFamily="17" charset="-128"/>
              <a:ea typeface="游ゴシック"/>
            </a:rPr>
            <a:pPr algn="r"/>
            <a:t> </a:t>
          </a:fld>
          <a:endParaRPr kumimoji="1" lang="ja-JP" altLang="en-US" sz="740">
            <a:solidFill>
              <a:srgbClr val="000000"/>
            </a:solidFill>
            <a:latin typeface="ＭＳ 明朝" panose="02020609040205080304" pitchFamily="17" charset="-128"/>
          </a:endParaRPr>
        </a:p>
      </xdr:txBody>
    </xdr:sp>
    <xdr:clientData/>
  </xdr:twoCellAnchor>
  <xdr:twoCellAnchor editAs="absolute">
    <xdr:from>
      <xdr:col>4</xdr:col>
      <xdr:colOff>412562</xdr:colOff>
      <xdr:row>0</xdr:row>
      <xdr:rowOff>2823938</xdr:rowOff>
    </xdr:from>
    <xdr:to>
      <xdr:col>5</xdr:col>
      <xdr:colOff>585525</xdr:colOff>
      <xdr:row>0</xdr:row>
      <xdr:rowOff>3225181</xdr:rowOff>
    </xdr:to>
    <xdr:sp macro="" textlink="印字値!$C$9">
      <xdr:nvSpPr>
        <xdr:cNvPr id="10" name="付表一05">
          <a:extLst>
            <a:ext uri="{FF2B5EF4-FFF2-40B4-BE49-F238E27FC236}">
              <a16:creationId xmlns:a16="http://schemas.microsoft.com/office/drawing/2014/main" id="{552B0A24-5629-ACD6-81B9-E13B655F9FD0}"/>
            </a:ext>
          </a:extLst>
        </xdr:cNvPr>
        <xdr:cNvSpPr txBox="1"/>
      </xdr:nvSpPr>
      <xdr:spPr>
        <a:xfrm>
          <a:off x="3064322" y="2823938"/>
          <a:ext cx="835903" cy="401243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0" tIns="0" rIns="0" bIns="0" rtlCol="0" anchor="ctr">
          <a:normAutofit/>
        </a:bodyPr>
        <a:lstStyle/>
        <a:p>
          <a:pPr algn="r"/>
          <a:fld id="{083E54B4-FA26-421B-B33B-26502D48C691}" type="TxLink">
            <a:rPr kumimoji="1" lang="en-US" altLang="en-US" sz="740" b="0" i="0" u="none" strike="noStrike">
              <a:solidFill>
                <a:srgbClr val="000000"/>
              </a:solidFill>
              <a:latin typeface="ＭＳ 明朝" panose="02020609040205080304" pitchFamily="17" charset="-128"/>
              <a:ea typeface="游ゴシック"/>
            </a:rPr>
            <a:pPr algn="r"/>
            <a:t> </a:t>
          </a:fld>
          <a:endParaRPr kumimoji="1" lang="ja-JP" altLang="en-US" sz="740">
            <a:solidFill>
              <a:srgbClr val="000000"/>
            </a:solidFill>
            <a:latin typeface="ＭＳ 明朝" panose="02020609040205080304" pitchFamily="17" charset="-128"/>
          </a:endParaRPr>
        </a:p>
      </xdr:txBody>
    </xdr:sp>
    <xdr:clientData/>
  </xdr:twoCellAnchor>
  <xdr:twoCellAnchor editAs="absolute">
    <xdr:from>
      <xdr:col>4</xdr:col>
      <xdr:colOff>412562</xdr:colOff>
      <xdr:row>0</xdr:row>
      <xdr:rowOff>3296288</xdr:rowOff>
    </xdr:from>
    <xdr:to>
      <xdr:col>5</xdr:col>
      <xdr:colOff>585525</xdr:colOff>
      <xdr:row>0</xdr:row>
      <xdr:rowOff>3702610</xdr:rowOff>
    </xdr:to>
    <xdr:sp macro="" textlink="印字値!$C$10">
      <xdr:nvSpPr>
        <xdr:cNvPr id="11" name="付表一06">
          <a:extLst>
            <a:ext uri="{FF2B5EF4-FFF2-40B4-BE49-F238E27FC236}">
              <a16:creationId xmlns:a16="http://schemas.microsoft.com/office/drawing/2014/main" id="{0B56603E-CA29-F482-71B7-3A3059E8C4BA}"/>
            </a:ext>
          </a:extLst>
        </xdr:cNvPr>
        <xdr:cNvSpPr txBox="1"/>
      </xdr:nvSpPr>
      <xdr:spPr>
        <a:xfrm>
          <a:off x="3064322" y="3296288"/>
          <a:ext cx="835903" cy="406322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0" tIns="0" rIns="0" bIns="0" rtlCol="0" anchor="ctr">
          <a:normAutofit/>
        </a:bodyPr>
        <a:lstStyle/>
        <a:p>
          <a:pPr algn="r"/>
          <a:fld id="{3BAFB47D-5ACA-462C-8A8C-2BDD4AFA9AB2}" type="TxLink">
            <a:rPr kumimoji="1" lang="en-US" altLang="en-US" sz="740" b="0" i="0" u="none" strike="noStrike">
              <a:solidFill>
                <a:srgbClr val="000000"/>
              </a:solidFill>
              <a:latin typeface="ＭＳ 明朝" panose="02020609040205080304" pitchFamily="17" charset="-128"/>
              <a:ea typeface="游ゴシック"/>
            </a:rPr>
            <a:pPr algn="r"/>
            <a:t> </a:t>
          </a:fld>
          <a:endParaRPr kumimoji="1" lang="ja-JP" altLang="en-US" sz="740">
            <a:solidFill>
              <a:srgbClr val="000000"/>
            </a:solidFill>
            <a:latin typeface="ＭＳ 明朝" panose="02020609040205080304" pitchFamily="17" charset="-128"/>
          </a:endParaRPr>
        </a:p>
      </xdr:txBody>
    </xdr:sp>
    <xdr:clientData/>
  </xdr:twoCellAnchor>
  <xdr:twoCellAnchor editAs="absolute">
    <xdr:from>
      <xdr:col>4</xdr:col>
      <xdr:colOff>412562</xdr:colOff>
      <xdr:row>1</xdr:row>
      <xdr:rowOff>24676</xdr:rowOff>
    </xdr:from>
    <xdr:to>
      <xdr:col>5</xdr:col>
      <xdr:colOff>585525</xdr:colOff>
      <xdr:row>1</xdr:row>
      <xdr:rowOff>425919</xdr:rowOff>
    </xdr:to>
    <xdr:sp macro="" textlink="印字値!$C$11">
      <xdr:nvSpPr>
        <xdr:cNvPr id="12" name="付表一07">
          <a:extLst>
            <a:ext uri="{FF2B5EF4-FFF2-40B4-BE49-F238E27FC236}">
              <a16:creationId xmlns:a16="http://schemas.microsoft.com/office/drawing/2014/main" id="{88D6B850-4A3A-7DD6-F166-FC4989A5897C}"/>
            </a:ext>
          </a:extLst>
        </xdr:cNvPr>
        <xdr:cNvSpPr txBox="1"/>
      </xdr:nvSpPr>
      <xdr:spPr>
        <a:xfrm>
          <a:off x="3064322" y="3773716"/>
          <a:ext cx="835903" cy="401243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0" tIns="0" rIns="0" bIns="0" rtlCol="0" anchor="ctr">
          <a:normAutofit/>
        </a:bodyPr>
        <a:lstStyle/>
        <a:p>
          <a:pPr algn="r"/>
          <a:fld id="{1E323EF9-D5DA-479F-A155-2BD4752B8391}" type="TxLink">
            <a:rPr kumimoji="1" lang="en-US" altLang="en-US" sz="740" b="0" i="0" u="none" strike="noStrike">
              <a:solidFill>
                <a:srgbClr val="000000"/>
              </a:solidFill>
              <a:latin typeface="ＭＳ 明朝" panose="02020609040205080304" pitchFamily="17" charset="-128"/>
              <a:ea typeface="游ゴシック"/>
            </a:rPr>
            <a:pPr algn="r"/>
            <a:t> </a:t>
          </a:fld>
          <a:endParaRPr kumimoji="1" lang="ja-JP" altLang="en-US" sz="740">
            <a:solidFill>
              <a:srgbClr val="000000"/>
            </a:solidFill>
            <a:latin typeface="ＭＳ 明朝" panose="02020609040205080304" pitchFamily="17" charset="-128"/>
          </a:endParaRPr>
        </a:p>
      </xdr:txBody>
    </xdr:sp>
    <xdr:clientData/>
  </xdr:twoCellAnchor>
  <xdr:twoCellAnchor editAs="absolute">
    <xdr:from>
      <xdr:col>4</xdr:col>
      <xdr:colOff>412562</xdr:colOff>
      <xdr:row>1</xdr:row>
      <xdr:rowOff>497026</xdr:rowOff>
    </xdr:from>
    <xdr:to>
      <xdr:col>5</xdr:col>
      <xdr:colOff>585525</xdr:colOff>
      <xdr:row>1</xdr:row>
      <xdr:rowOff>903348</xdr:rowOff>
    </xdr:to>
    <xdr:sp macro="" textlink="印字値!$C$12">
      <xdr:nvSpPr>
        <xdr:cNvPr id="13" name="付表一08">
          <a:extLst>
            <a:ext uri="{FF2B5EF4-FFF2-40B4-BE49-F238E27FC236}">
              <a16:creationId xmlns:a16="http://schemas.microsoft.com/office/drawing/2014/main" id="{CD401EF1-7251-E623-F583-1C5BC4843521}"/>
            </a:ext>
          </a:extLst>
        </xdr:cNvPr>
        <xdr:cNvSpPr txBox="1"/>
      </xdr:nvSpPr>
      <xdr:spPr>
        <a:xfrm>
          <a:off x="3064322" y="4246066"/>
          <a:ext cx="835903" cy="406322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0" tIns="0" rIns="0" bIns="0" rtlCol="0" anchor="ctr">
          <a:normAutofit/>
        </a:bodyPr>
        <a:lstStyle/>
        <a:p>
          <a:pPr algn="r"/>
          <a:fld id="{E1F9CC91-8FB8-48F7-8AA5-2AEFDF3146BD}" type="TxLink">
            <a:rPr kumimoji="1" lang="en-US" altLang="en-US" sz="740" b="0" i="0" u="none" strike="noStrike">
              <a:solidFill>
                <a:srgbClr val="000000"/>
              </a:solidFill>
              <a:latin typeface="ＭＳ 明朝" panose="02020609040205080304" pitchFamily="17" charset="-128"/>
              <a:ea typeface="游ゴシック"/>
            </a:rPr>
            <a:pPr algn="r"/>
            <a:t> </a:t>
          </a:fld>
          <a:endParaRPr kumimoji="1" lang="ja-JP" altLang="en-US" sz="740">
            <a:solidFill>
              <a:srgbClr val="000000"/>
            </a:solidFill>
            <a:latin typeface="ＭＳ 明朝" panose="02020609040205080304" pitchFamily="17" charset="-128"/>
          </a:endParaRPr>
        </a:p>
      </xdr:txBody>
    </xdr:sp>
    <xdr:clientData/>
  </xdr:twoCellAnchor>
  <xdr:twoCellAnchor editAs="absolute">
    <xdr:from>
      <xdr:col>4</xdr:col>
      <xdr:colOff>412562</xdr:colOff>
      <xdr:row>1</xdr:row>
      <xdr:rowOff>974454</xdr:rowOff>
    </xdr:from>
    <xdr:to>
      <xdr:col>5</xdr:col>
      <xdr:colOff>585525</xdr:colOff>
      <xdr:row>1</xdr:row>
      <xdr:rowOff>1375697</xdr:rowOff>
    </xdr:to>
    <xdr:sp macro="" textlink="印字値!$C$13">
      <xdr:nvSpPr>
        <xdr:cNvPr id="14" name="付表一09">
          <a:extLst>
            <a:ext uri="{FF2B5EF4-FFF2-40B4-BE49-F238E27FC236}">
              <a16:creationId xmlns:a16="http://schemas.microsoft.com/office/drawing/2014/main" id="{007F31EA-A378-913E-3E6C-32577959A6BC}"/>
            </a:ext>
          </a:extLst>
        </xdr:cNvPr>
        <xdr:cNvSpPr txBox="1"/>
      </xdr:nvSpPr>
      <xdr:spPr>
        <a:xfrm>
          <a:off x="3064322" y="4723494"/>
          <a:ext cx="835903" cy="401243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0" tIns="0" rIns="0" bIns="0" rtlCol="0" anchor="ctr">
          <a:normAutofit/>
        </a:bodyPr>
        <a:lstStyle/>
        <a:p>
          <a:pPr algn="r"/>
          <a:fld id="{20565681-A74F-4D43-9F7C-735E3D17877F}" type="TxLink">
            <a:rPr kumimoji="1" lang="en-US" altLang="en-US" sz="740" b="0" i="0" u="none" strike="noStrike">
              <a:solidFill>
                <a:srgbClr val="000000"/>
              </a:solidFill>
              <a:latin typeface="ＭＳ 明朝" panose="02020609040205080304" pitchFamily="17" charset="-128"/>
              <a:ea typeface="游ゴシック"/>
            </a:rPr>
            <a:pPr algn="r"/>
            <a:t> </a:t>
          </a:fld>
          <a:endParaRPr kumimoji="1" lang="ja-JP" altLang="en-US" sz="740">
            <a:solidFill>
              <a:srgbClr val="000000"/>
            </a:solidFill>
            <a:latin typeface="ＭＳ 明朝" panose="02020609040205080304" pitchFamily="17" charset="-128"/>
          </a:endParaRPr>
        </a:p>
      </xdr:txBody>
    </xdr:sp>
    <xdr:clientData/>
  </xdr:twoCellAnchor>
  <xdr:twoCellAnchor editAs="absolute">
    <xdr:from>
      <xdr:col>4</xdr:col>
      <xdr:colOff>412562</xdr:colOff>
      <xdr:row>1</xdr:row>
      <xdr:rowOff>1446803</xdr:rowOff>
    </xdr:from>
    <xdr:to>
      <xdr:col>5</xdr:col>
      <xdr:colOff>585525</xdr:colOff>
      <xdr:row>1</xdr:row>
      <xdr:rowOff>1853125</xdr:rowOff>
    </xdr:to>
    <xdr:sp macro="" textlink="印字値!$C$14">
      <xdr:nvSpPr>
        <xdr:cNvPr id="15" name="付表一10">
          <a:extLst>
            <a:ext uri="{FF2B5EF4-FFF2-40B4-BE49-F238E27FC236}">
              <a16:creationId xmlns:a16="http://schemas.microsoft.com/office/drawing/2014/main" id="{BB737C3D-42E8-46AF-9EE5-8A5D2B6D1D15}"/>
            </a:ext>
          </a:extLst>
        </xdr:cNvPr>
        <xdr:cNvSpPr txBox="1"/>
      </xdr:nvSpPr>
      <xdr:spPr>
        <a:xfrm>
          <a:off x="3064322" y="5195843"/>
          <a:ext cx="835903" cy="406322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0" tIns="0" rIns="0" bIns="0" rtlCol="0" anchor="ctr">
          <a:normAutofit/>
        </a:bodyPr>
        <a:lstStyle/>
        <a:p>
          <a:pPr algn="r"/>
          <a:fld id="{091D1C29-50C0-4937-9AE1-0513776A55B5}" type="TxLink">
            <a:rPr kumimoji="1" lang="en-US" altLang="en-US" sz="740" b="0" i="0" u="none" strike="noStrike">
              <a:solidFill>
                <a:srgbClr val="000000"/>
              </a:solidFill>
              <a:latin typeface="ＭＳ 明朝" panose="02020609040205080304" pitchFamily="17" charset="-128"/>
              <a:ea typeface="游ゴシック"/>
            </a:rPr>
            <a:pPr algn="r"/>
            <a:t> </a:t>
          </a:fld>
          <a:endParaRPr kumimoji="1" lang="ja-JP" altLang="en-US" sz="740">
            <a:solidFill>
              <a:srgbClr val="000000"/>
            </a:solidFill>
            <a:latin typeface="ＭＳ 明朝" panose="02020609040205080304" pitchFamily="17" charset="-128"/>
          </a:endParaRPr>
        </a:p>
      </xdr:txBody>
    </xdr:sp>
    <xdr:clientData/>
  </xdr:twoCellAnchor>
  <xdr:twoCellAnchor editAs="absolute">
    <xdr:from>
      <xdr:col>4</xdr:col>
      <xdr:colOff>412562</xdr:colOff>
      <xdr:row>1</xdr:row>
      <xdr:rowOff>1924232</xdr:rowOff>
    </xdr:from>
    <xdr:to>
      <xdr:col>5</xdr:col>
      <xdr:colOff>585525</xdr:colOff>
      <xdr:row>1</xdr:row>
      <xdr:rowOff>2325475</xdr:rowOff>
    </xdr:to>
    <xdr:sp macro="" textlink="印字値!$C$15">
      <xdr:nvSpPr>
        <xdr:cNvPr id="16" name="付表一11">
          <a:extLst>
            <a:ext uri="{FF2B5EF4-FFF2-40B4-BE49-F238E27FC236}">
              <a16:creationId xmlns:a16="http://schemas.microsoft.com/office/drawing/2014/main" id="{446A8C96-643C-5C96-2C7C-19D579408BF0}"/>
            </a:ext>
          </a:extLst>
        </xdr:cNvPr>
        <xdr:cNvSpPr txBox="1"/>
      </xdr:nvSpPr>
      <xdr:spPr>
        <a:xfrm>
          <a:off x="3064322" y="5673272"/>
          <a:ext cx="835903" cy="401243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0" tIns="0" rIns="0" bIns="0" rtlCol="0" anchor="ctr">
          <a:normAutofit/>
        </a:bodyPr>
        <a:lstStyle/>
        <a:p>
          <a:pPr algn="r"/>
          <a:fld id="{C15EE948-87AB-480E-9BD3-60C0B8C61B20}" type="TxLink">
            <a:rPr kumimoji="1" lang="en-US" altLang="en-US" sz="740" b="0" i="0" u="none" strike="noStrike">
              <a:solidFill>
                <a:srgbClr val="000000"/>
              </a:solidFill>
              <a:latin typeface="ＭＳ 明朝" panose="02020609040205080304" pitchFamily="17" charset="-128"/>
              <a:ea typeface="游ゴシック"/>
            </a:rPr>
            <a:pPr algn="r"/>
            <a:t> </a:t>
          </a:fld>
          <a:endParaRPr kumimoji="1" lang="ja-JP" altLang="en-US" sz="740">
            <a:solidFill>
              <a:srgbClr val="000000"/>
            </a:solidFill>
            <a:latin typeface="ＭＳ 明朝" panose="02020609040205080304" pitchFamily="17" charset="-128"/>
          </a:endParaRPr>
        </a:p>
      </xdr:txBody>
    </xdr:sp>
    <xdr:clientData/>
  </xdr:twoCellAnchor>
  <xdr:twoCellAnchor editAs="absolute">
    <xdr:from>
      <xdr:col>4</xdr:col>
      <xdr:colOff>412562</xdr:colOff>
      <xdr:row>1</xdr:row>
      <xdr:rowOff>2396581</xdr:rowOff>
    </xdr:from>
    <xdr:to>
      <xdr:col>5</xdr:col>
      <xdr:colOff>585525</xdr:colOff>
      <xdr:row>1</xdr:row>
      <xdr:rowOff>2802903</xdr:rowOff>
    </xdr:to>
    <xdr:sp macro="" textlink="印字値!$C$16">
      <xdr:nvSpPr>
        <xdr:cNvPr id="17" name="付表一12">
          <a:extLst>
            <a:ext uri="{FF2B5EF4-FFF2-40B4-BE49-F238E27FC236}">
              <a16:creationId xmlns:a16="http://schemas.microsoft.com/office/drawing/2014/main" id="{9310571F-0B43-8D13-0BAB-963ECA912CBE}"/>
            </a:ext>
          </a:extLst>
        </xdr:cNvPr>
        <xdr:cNvSpPr txBox="1"/>
      </xdr:nvSpPr>
      <xdr:spPr>
        <a:xfrm>
          <a:off x="3064322" y="6145621"/>
          <a:ext cx="835903" cy="406322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0" tIns="0" rIns="0" bIns="0" rtlCol="0" anchor="ctr">
          <a:normAutofit/>
        </a:bodyPr>
        <a:lstStyle/>
        <a:p>
          <a:pPr algn="r"/>
          <a:fld id="{585DDFDD-F4E6-4DB5-BBC6-7BCD6488897C}" type="TxLink">
            <a:rPr kumimoji="1" lang="en-US" altLang="en-US" sz="740" b="0" i="0" u="none" strike="noStrike">
              <a:solidFill>
                <a:srgbClr val="000000"/>
              </a:solidFill>
              <a:latin typeface="ＭＳ 明朝" panose="02020609040205080304" pitchFamily="17" charset="-128"/>
              <a:ea typeface="游ゴシック"/>
            </a:rPr>
            <a:pPr algn="r"/>
            <a:t> </a:t>
          </a:fld>
          <a:endParaRPr kumimoji="1" lang="ja-JP" altLang="en-US" sz="740">
            <a:solidFill>
              <a:srgbClr val="000000"/>
            </a:solidFill>
            <a:latin typeface="ＭＳ 明朝" panose="02020609040205080304" pitchFamily="17" charset="-128"/>
          </a:endParaRPr>
        </a:p>
      </xdr:txBody>
    </xdr:sp>
    <xdr:clientData/>
  </xdr:twoCellAnchor>
  <xdr:twoCellAnchor editAs="absolute">
    <xdr:from>
      <xdr:col>4</xdr:col>
      <xdr:colOff>412562</xdr:colOff>
      <xdr:row>1</xdr:row>
      <xdr:rowOff>2874009</xdr:rowOff>
    </xdr:from>
    <xdr:to>
      <xdr:col>5</xdr:col>
      <xdr:colOff>585525</xdr:colOff>
      <xdr:row>1</xdr:row>
      <xdr:rowOff>3275252</xdr:rowOff>
    </xdr:to>
    <xdr:sp macro="" textlink="印字値!$C$17">
      <xdr:nvSpPr>
        <xdr:cNvPr id="18" name="付表一13">
          <a:extLst>
            <a:ext uri="{FF2B5EF4-FFF2-40B4-BE49-F238E27FC236}">
              <a16:creationId xmlns:a16="http://schemas.microsoft.com/office/drawing/2014/main" id="{22628FFA-B207-5685-60AB-A45A43400B49}"/>
            </a:ext>
          </a:extLst>
        </xdr:cNvPr>
        <xdr:cNvSpPr txBox="1"/>
      </xdr:nvSpPr>
      <xdr:spPr>
        <a:xfrm>
          <a:off x="3064322" y="6623049"/>
          <a:ext cx="835903" cy="401243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0" tIns="0" rIns="0" bIns="0" rtlCol="0" anchor="ctr">
          <a:normAutofit/>
        </a:bodyPr>
        <a:lstStyle/>
        <a:p>
          <a:pPr algn="r"/>
          <a:fld id="{67927D6D-4744-41CA-9CA1-2DFDCA29CEC0}" type="TxLink">
            <a:rPr kumimoji="1" lang="en-US" altLang="en-US" sz="740" b="0" i="0" u="none" strike="noStrike">
              <a:solidFill>
                <a:srgbClr val="000000"/>
              </a:solidFill>
              <a:latin typeface="ＭＳ 明朝" panose="02020609040205080304" pitchFamily="17" charset="-128"/>
              <a:ea typeface="游ゴシック"/>
            </a:rPr>
            <a:pPr algn="r"/>
            <a:t> </a:t>
          </a:fld>
          <a:endParaRPr kumimoji="1" lang="ja-JP" altLang="en-US" sz="740">
            <a:solidFill>
              <a:srgbClr val="000000"/>
            </a:solidFill>
            <a:latin typeface="ＭＳ 明朝" panose="02020609040205080304" pitchFamily="17" charset="-128"/>
          </a:endParaRPr>
        </a:p>
      </xdr:txBody>
    </xdr:sp>
    <xdr:clientData/>
  </xdr:twoCellAnchor>
  <xdr:twoCellAnchor editAs="absolute">
    <xdr:from>
      <xdr:col>4</xdr:col>
      <xdr:colOff>412562</xdr:colOff>
      <xdr:row>1</xdr:row>
      <xdr:rowOff>3346359</xdr:rowOff>
    </xdr:from>
    <xdr:to>
      <xdr:col>5</xdr:col>
      <xdr:colOff>585525</xdr:colOff>
      <xdr:row>2</xdr:row>
      <xdr:rowOff>3641</xdr:rowOff>
    </xdr:to>
    <xdr:sp macro="" textlink="印字値!$C$18">
      <xdr:nvSpPr>
        <xdr:cNvPr id="19" name="付表一14">
          <a:extLst>
            <a:ext uri="{FF2B5EF4-FFF2-40B4-BE49-F238E27FC236}">
              <a16:creationId xmlns:a16="http://schemas.microsoft.com/office/drawing/2014/main" id="{9A85BA2E-E9AF-9539-3788-04A20B29EE6B}"/>
            </a:ext>
          </a:extLst>
        </xdr:cNvPr>
        <xdr:cNvSpPr txBox="1"/>
      </xdr:nvSpPr>
      <xdr:spPr>
        <a:xfrm>
          <a:off x="3064322" y="7095399"/>
          <a:ext cx="835903" cy="406322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0" tIns="0" rIns="0" bIns="0" rtlCol="0" anchor="ctr">
          <a:normAutofit/>
        </a:bodyPr>
        <a:lstStyle/>
        <a:p>
          <a:pPr algn="r"/>
          <a:fld id="{519406A0-3A6D-4ED0-9F36-733728D79E7B}" type="TxLink">
            <a:rPr kumimoji="1" lang="en-US" altLang="en-US" sz="740" b="0" i="0" u="none" strike="noStrike">
              <a:solidFill>
                <a:srgbClr val="000000"/>
              </a:solidFill>
              <a:latin typeface="ＭＳ 明朝" panose="02020609040205080304" pitchFamily="17" charset="-128"/>
              <a:ea typeface="游ゴシック"/>
            </a:rPr>
            <a:pPr algn="r"/>
            <a:t> </a:t>
          </a:fld>
          <a:endParaRPr kumimoji="1" lang="ja-JP" altLang="en-US" sz="740">
            <a:solidFill>
              <a:srgbClr val="000000"/>
            </a:solidFill>
            <a:latin typeface="ＭＳ 明朝" panose="02020609040205080304" pitchFamily="17" charset="-128"/>
          </a:endParaRPr>
        </a:p>
      </xdr:txBody>
    </xdr:sp>
    <xdr:clientData/>
  </xdr:twoCellAnchor>
  <xdr:twoCellAnchor editAs="absolute">
    <xdr:from>
      <xdr:col>4</xdr:col>
      <xdr:colOff>412562</xdr:colOff>
      <xdr:row>2</xdr:row>
      <xdr:rowOff>74748</xdr:rowOff>
    </xdr:from>
    <xdr:to>
      <xdr:col>5</xdr:col>
      <xdr:colOff>585525</xdr:colOff>
      <xdr:row>2</xdr:row>
      <xdr:rowOff>597888</xdr:rowOff>
    </xdr:to>
    <xdr:sp macro="" textlink="印字値!$C$19">
      <xdr:nvSpPr>
        <xdr:cNvPr id="20" name="付表一15">
          <a:extLst>
            <a:ext uri="{FF2B5EF4-FFF2-40B4-BE49-F238E27FC236}">
              <a16:creationId xmlns:a16="http://schemas.microsoft.com/office/drawing/2014/main" id="{8781FBA5-CCA5-7979-2C6E-2210AA13E119}"/>
            </a:ext>
          </a:extLst>
        </xdr:cNvPr>
        <xdr:cNvSpPr txBox="1"/>
      </xdr:nvSpPr>
      <xdr:spPr>
        <a:xfrm>
          <a:off x="3064322" y="7572828"/>
          <a:ext cx="835903" cy="52314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0" tIns="0" rIns="0" bIns="0" rtlCol="0" anchor="ctr">
          <a:normAutofit/>
        </a:bodyPr>
        <a:lstStyle/>
        <a:p>
          <a:pPr algn="r"/>
          <a:fld id="{CB537D8D-16AB-4ACF-B89A-8684562846BA}" type="TxLink">
            <a:rPr kumimoji="1" lang="en-US" altLang="en-US" sz="740" b="0" i="0" u="none" strike="noStrike">
              <a:solidFill>
                <a:srgbClr val="000000"/>
              </a:solidFill>
              <a:latin typeface="ＭＳ 明朝" panose="02020609040205080304" pitchFamily="17" charset="-128"/>
              <a:ea typeface="游ゴシック"/>
            </a:rPr>
            <a:pPr algn="r"/>
            <a:t> </a:t>
          </a:fld>
          <a:endParaRPr kumimoji="1" lang="ja-JP" altLang="en-US" sz="740">
            <a:solidFill>
              <a:srgbClr val="000000"/>
            </a:solidFill>
            <a:latin typeface="ＭＳ 明朝" panose="02020609040205080304" pitchFamily="17" charset="-128"/>
          </a:endParaRPr>
        </a:p>
      </xdr:txBody>
    </xdr:sp>
    <xdr:clientData/>
  </xdr:twoCellAnchor>
  <xdr:twoCellAnchor editAs="absolute">
    <xdr:from>
      <xdr:col>4</xdr:col>
      <xdr:colOff>412562</xdr:colOff>
      <xdr:row>2</xdr:row>
      <xdr:rowOff>668994</xdr:rowOff>
    </xdr:from>
    <xdr:to>
      <xdr:col>5</xdr:col>
      <xdr:colOff>585525</xdr:colOff>
      <xdr:row>2</xdr:row>
      <xdr:rowOff>1070237</xdr:rowOff>
    </xdr:to>
    <xdr:sp macro="" textlink="印字値!$C$20">
      <xdr:nvSpPr>
        <xdr:cNvPr id="21" name="付表一16">
          <a:extLst>
            <a:ext uri="{FF2B5EF4-FFF2-40B4-BE49-F238E27FC236}">
              <a16:creationId xmlns:a16="http://schemas.microsoft.com/office/drawing/2014/main" id="{34F9A6C7-1F97-356F-82B2-0CA6F87462AE}"/>
            </a:ext>
          </a:extLst>
        </xdr:cNvPr>
        <xdr:cNvSpPr txBox="1"/>
      </xdr:nvSpPr>
      <xdr:spPr>
        <a:xfrm>
          <a:off x="3064322" y="8167074"/>
          <a:ext cx="835903" cy="401243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0" tIns="0" rIns="0" bIns="0" rtlCol="0" anchor="ctr">
          <a:normAutofit/>
        </a:bodyPr>
        <a:lstStyle/>
        <a:p>
          <a:pPr algn="r"/>
          <a:fld id="{E009D625-AD25-41B4-85A4-5AC2210371CC}" type="TxLink">
            <a:rPr kumimoji="1" lang="en-US" altLang="en-US" sz="740" b="0" i="0" u="none" strike="noStrike">
              <a:solidFill>
                <a:srgbClr val="000000"/>
              </a:solidFill>
              <a:latin typeface="ＭＳ 明朝" panose="02020609040205080304" pitchFamily="17" charset="-128"/>
              <a:ea typeface="游ゴシック"/>
            </a:rPr>
            <a:pPr algn="r"/>
            <a:t> </a:t>
          </a:fld>
          <a:endParaRPr kumimoji="1" lang="ja-JP" altLang="en-US" sz="740">
            <a:solidFill>
              <a:srgbClr val="000000"/>
            </a:solidFill>
            <a:latin typeface="ＭＳ 明朝" panose="02020609040205080304" pitchFamily="17" charset="-128"/>
          </a:endParaRPr>
        </a:p>
      </xdr:txBody>
    </xdr:sp>
    <xdr:clientData/>
  </xdr:twoCellAnchor>
  <xdr:twoCellAnchor editAs="absolute">
    <xdr:from>
      <xdr:col>4</xdr:col>
      <xdr:colOff>412562</xdr:colOff>
      <xdr:row>2</xdr:row>
      <xdr:rowOff>1141343</xdr:rowOff>
    </xdr:from>
    <xdr:to>
      <xdr:col>5</xdr:col>
      <xdr:colOff>585525</xdr:colOff>
      <xdr:row>2</xdr:row>
      <xdr:rowOff>1547665</xdr:rowOff>
    </xdr:to>
    <xdr:sp macro="" textlink="印字値!$C$21">
      <xdr:nvSpPr>
        <xdr:cNvPr id="22" name="付表一17">
          <a:extLst>
            <a:ext uri="{FF2B5EF4-FFF2-40B4-BE49-F238E27FC236}">
              <a16:creationId xmlns:a16="http://schemas.microsoft.com/office/drawing/2014/main" id="{362DF27E-7872-F57C-153C-F5A73657AEDF}"/>
            </a:ext>
          </a:extLst>
        </xdr:cNvPr>
        <xdr:cNvSpPr txBox="1"/>
      </xdr:nvSpPr>
      <xdr:spPr>
        <a:xfrm>
          <a:off x="3064322" y="8639423"/>
          <a:ext cx="835903" cy="406322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0" tIns="0" rIns="0" bIns="0" rtlCol="0" anchor="ctr">
          <a:normAutofit/>
        </a:bodyPr>
        <a:lstStyle/>
        <a:p>
          <a:pPr algn="r"/>
          <a:fld id="{34F5CB78-BD5D-40B2-B593-518710A26092}" type="TxLink">
            <a:rPr kumimoji="1" lang="en-US" altLang="en-US" sz="740" b="0" i="0" u="none" strike="noStrike">
              <a:solidFill>
                <a:srgbClr val="000000"/>
              </a:solidFill>
              <a:latin typeface="ＭＳ 明朝" panose="02020609040205080304" pitchFamily="17" charset="-128"/>
              <a:ea typeface="游ゴシック"/>
            </a:rPr>
            <a:pPr algn="r"/>
            <a:t> </a:t>
          </a:fld>
          <a:endParaRPr kumimoji="1" lang="ja-JP" altLang="en-US" sz="740">
            <a:solidFill>
              <a:srgbClr val="000000"/>
            </a:solidFill>
            <a:latin typeface="ＭＳ 明朝" panose="02020609040205080304" pitchFamily="17" charset="-128"/>
          </a:endParaRPr>
        </a:p>
      </xdr:txBody>
    </xdr:sp>
    <xdr:clientData/>
  </xdr:twoCellAnchor>
  <xdr:twoCellAnchor editAs="absolute">
    <xdr:from>
      <xdr:col>9</xdr:col>
      <xdr:colOff>375211</xdr:colOff>
      <xdr:row>0</xdr:row>
      <xdr:rowOff>924383</xdr:rowOff>
    </xdr:from>
    <xdr:to>
      <xdr:col>10</xdr:col>
      <xdr:colOff>543077</xdr:colOff>
      <xdr:row>0</xdr:row>
      <xdr:rowOff>1325626</xdr:rowOff>
    </xdr:to>
    <xdr:sp macro="" textlink="印字値!$C$22">
      <xdr:nvSpPr>
        <xdr:cNvPr id="23" name="付表一18">
          <a:extLst>
            <a:ext uri="{FF2B5EF4-FFF2-40B4-BE49-F238E27FC236}">
              <a16:creationId xmlns:a16="http://schemas.microsoft.com/office/drawing/2014/main" id="{D46F8137-456D-B5D0-21D9-B52D5F06B08C}"/>
            </a:ext>
          </a:extLst>
        </xdr:cNvPr>
        <xdr:cNvSpPr txBox="1"/>
      </xdr:nvSpPr>
      <xdr:spPr>
        <a:xfrm>
          <a:off x="6341671" y="924383"/>
          <a:ext cx="830806" cy="401243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0" tIns="0" rIns="0" bIns="0" rtlCol="0" anchor="ctr">
          <a:normAutofit/>
        </a:bodyPr>
        <a:lstStyle/>
        <a:p>
          <a:pPr algn="r"/>
          <a:fld id="{1FD237EF-9E2B-4AF1-85CD-9C39C4C0ADCD}" type="TxLink">
            <a:rPr kumimoji="1" lang="en-US" altLang="en-US" sz="740" b="0" i="0" u="none" strike="noStrike">
              <a:solidFill>
                <a:srgbClr val="000000"/>
              </a:solidFill>
              <a:latin typeface="ＭＳ 明朝" panose="02020609040205080304" pitchFamily="17" charset="-128"/>
              <a:ea typeface="游ゴシック"/>
            </a:rPr>
            <a:pPr algn="r"/>
            <a:t> </a:t>
          </a:fld>
          <a:endParaRPr kumimoji="1" lang="ja-JP" altLang="en-US" sz="740">
            <a:solidFill>
              <a:srgbClr val="000000"/>
            </a:solidFill>
            <a:latin typeface="ＭＳ 明朝" panose="02020609040205080304" pitchFamily="17" charset="-128"/>
          </a:endParaRPr>
        </a:p>
      </xdr:txBody>
    </xdr:sp>
    <xdr:clientData/>
  </xdr:twoCellAnchor>
  <xdr:twoCellAnchor editAs="absolute">
    <xdr:from>
      <xdr:col>9</xdr:col>
      <xdr:colOff>375211</xdr:colOff>
      <xdr:row>0</xdr:row>
      <xdr:rowOff>1396732</xdr:rowOff>
    </xdr:from>
    <xdr:to>
      <xdr:col>10</xdr:col>
      <xdr:colOff>543077</xdr:colOff>
      <xdr:row>0</xdr:row>
      <xdr:rowOff>1803054</xdr:rowOff>
    </xdr:to>
    <xdr:sp macro="" textlink="印字値!$C$23">
      <xdr:nvSpPr>
        <xdr:cNvPr id="24" name="付表一19">
          <a:extLst>
            <a:ext uri="{FF2B5EF4-FFF2-40B4-BE49-F238E27FC236}">
              <a16:creationId xmlns:a16="http://schemas.microsoft.com/office/drawing/2014/main" id="{046308EE-0EF8-70DB-7309-42A024E5C5F1}"/>
            </a:ext>
          </a:extLst>
        </xdr:cNvPr>
        <xdr:cNvSpPr txBox="1"/>
      </xdr:nvSpPr>
      <xdr:spPr>
        <a:xfrm>
          <a:off x="6341671" y="1396732"/>
          <a:ext cx="830806" cy="406322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0" tIns="0" rIns="0" bIns="0" rtlCol="0" anchor="ctr">
          <a:normAutofit/>
        </a:bodyPr>
        <a:lstStyle/>
        <a:p>
          <a:pPr algn="r"/>
          <a:fld id="{62C5A5EB-53CD-43C9-9477-F937D00EE70D}" type="TxLink">
            <a:rPr kumimoji="1" lang="en-US" altLang="en-US" sz="740" b="0" i="0" u="none" strike="noStrike">
              <a:solidFill>
                <a:srgbClr val="000000"/>
              </a:solidFill>
              <a:latin typeface="ＭＳ 明朝" panose="02020609040205080304" pitchFamily="17" charset="-128"/>
              <a:ea typeface="游ゴシック"/>
            </a:rPr>
            <a:pPr algn="r"/>
            <a:t> </a:t>
          </a:fld>
          <a:endParaRPr kumimoji="1" lang="ja-JP" altLang="en-US" sz="740">
            <a:solidFill>
              <a:srgbClr val="000000"/>
            </a:solidFill>
            <a:latin typeface="ＭＳ 明朝" panose="02020609040205080304" pitchFamily="17" charset="-128"/>
          </a:endParaRPr>
        </a:p>
      </xdr:txBody>
    </xdr:sp>
    <xdr:clientData/>
  </xdr:twoCellAnchor>
  <xdr:twoCellAnchor editAs="absolute">
    <xdr:from>
      <xdr:col>9</xdr:col>
      <xdr:colOff>375211</xdr:colOff>
      <xdr:row>0</xdr:row>
      <xdr:rowOff>1874160</xdr:rowOff>
    </xdr:from>
    <xdr:to>
      <xdr:col>10</xdr:col>
      <xdr:colOff>543077</xdr:colOff>
      <xdr:row>0</xdr:row>
      <xdr:rowOff>2275403</xdr:rowOff>
    </xdr:to>
    <xdr:sp macro="" textlink="印字値!$C$24">
      <xdr:nvSpPr>
        <xdr:cNvPr id="25" name="付表一20">
          <a:extLst>
            <a:ext uri="{FF2B5EF4-FFF2-40B4-BE49-F238E27FC236}">
              <a16:creationId xmlns:a16="http://schemas.microsoft.com/office/drawing/2014/main" id="{ABD4C72B-9201-A0A3-74BD-650F52320E04}"/>
            </a:ext>
          </a:extLst>
        </xdr:cNvPr>
        <xdr:cNvSpPr txBox="1"/>
      </xdr:nvSpPr>
      <xdr:spPr>
        <a:xfrm>
          <a:off x="6341671" y="1874160"/>
          <a:ext cx="830806" cy="401243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0" tIns="0" rIns="0" bIns="0" rtlCol="0" anchor="ctr">
          <a:normAutofit/>
        </a:bodyPr>
        <a:lstStyle/>
        <a:p>
          <a:pPr algn="r"/>
          <a:fld id="{6B21091B-1BCB-483D-A67D-208EF8462B68}" type="TxLink">
            <a:rPr kumimoji="1" lang="en-US" altLang="en-US" sz="740" b="0" i="0" u="none" strike="noStrike">
              <a:solidFill>
                <a:srgbClr val="000000"/>
              </a:solidFill>
              <a:latin typeface="ＭＳ 明朝" panose="02020609040205080304" pitchFamily="17" charset="-128"/>
              <a:ea typeface="游ゴシック"/>
            </a:rPr>
            <a:pPr algn="r"/>
            <a:t> </a:t>
          </a:fld>
          <a:endParaRPr kumimoji="1" lang="ja-JP" altLang="en-US" sz="740">
            <a:solidFill>
              <a:srgbClr val="000000"/>
            </a:solidFill>
            <a:latin typeface="ＭＳ 明朝" panose="02020609040205080304" pitchFamily="17" charset="-128"/>
          </a:endParaRPr>
        </a:p>
      </xdr:txBody>
    </xdr:sp>
    <xdr:clientData/>
  </xdr:twoCellAnchor>
  <xdr:twoCellAnchor editAs="absolute">
    <xdr:from>
      <xdr:col>9</xdr:col>
      <xdr:colOff>375211</xdr:colOff>
      <xdr:row>0</xdr:row>
      <xdr:rowOff>2346510</xdr:rowOff>
    </xdr:from>
    <xdr:to>
      <xdr:col>10</xdr:col>
      <xdr:colOff>543077</xdr:colOff>
      <xdr:row>0</xdr:row>
      <xdr:rowOff>2752832</xdr:rowOff>
    </xdr:to>
    <xdr:sp macro="" textlink="印字値!$C$25">
      <xdr:nvSpPr>
        <xdr:cNvPr id="26" name="付表一21">
          <a:extLst>
            <a:ext uri="{FF2B5EF4-FFF2-40B4-BE49-F238E27FC236}">
              <a16:creationId xmlns:a16="http://schemas.microsoft.com/office/drawing/2014/main" id="{96FB0427-1F41-8841-51D3-C49BB3907529}"/>
            </a:ext>
          </a:extLst>
        </xdr:cNvPr>
        <xdr:cNvSpPr txBox="1"/>
      </xdr:nvSpPr>
      <xdr:spPr>
        <a:xfrm>
          <a:off x="6341671" y="2346510"/>
          <a:ext cx="830806" cy="406322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0" tIns="0" rIns="0" bIns="0" rtlCol="0" anchor="ctr">
          <a:normAutofit/>
        </a:bodyPr>
        <a:lstStyle/>
        <a:p>
          <a:pPr algn="r"/>
          <a:fld id="{89463D2F-A9B7-496D-B115-A4B55E4CC1B9}" type="TxLink">
            <a:rPr kumimoji="1" lang="en-US" altLang="en-US" sz="740" b="0" i="0" u="none" strike="noStrike">
              <a:solidFill>
                <a:srgbClr val="000000"/>
              </a:solidFill>
              <a:latin typeface="ＭＳ 明朝" panose="02020609040205080304" pitchFamily="17" charset="-128"/>
              <a:ea typeface="游ゴシック"/>
            </a:rPr>
            <a:pPr algn="r"/>
            <a:t> </a:t>
          </a:fld>
          <a:endParaRPr kumimoji="1" lang="ja-JP" altLang="en-US" sz="740">
            <a:solidFill>
              <a:srgbClr val="000000"/>
            </a:solidFill>
            <a:latin typeface="ＭＳ 明朝" panose="02020609040205080304" pitchFamily="17" charset="-128"/>
          </a:endParaRPr>
        </a:p>
      </xdr:txBody>
    </xdr:sp>
    <xdr:clientData/>
  </xdr:twoCellAnchor>
  <xdr:twoCellAnchor editAs="absolute">
    <xdr:from>
      <xdr:col>9</xdr:col>
      <xdr:colOff>375211</xdr:colOff>
      <xdr:row>0</xdr:row>
      <xdr:rowOff>2823938</xdr:rowOff>
    </xdr:from>
    <xdr:to>
      <xdr:col>10</xdr:col>
      <xdr:colOff>543077</xdr:colOff>
      <xdr:row>0</xdr:row>
      <xdr:rowOff>3225181</xdr:rowOff>
    </xdr:to>
    <xdr:sp macro="" textlink="印字値!$C$26">
      <xdr:nvSpPr>
        <xdr:cNvPr id="27" name="付表一22">
          <a:extLst>
            <a:ext uri="{FF2B5EF4-FFF2-40B4-BE49-F238E27FC236}">
              <a16:creationId xmlns:a16="http://schemas.microsoft.com/office/drawing/2014/main" id="{41D12DFE-4ECB-F707-80B8-97CF1D1DAA24}"/>
            </a:ext>
          </a:extLst>
        </xdr:cNvPr>
        <xdr:cNvSpPr txBox="1"/>
      </xdr:nvSpPr>
      <xdr:spPr>
        <a:xfrm>
          <a:off x="6341671" y="2823938"/>
          <a:ext cx="830806" cy="401243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0" tIns="0" rIns="0" bIns="0" rtlCol="0" anchor="ctr">
          <a:normAutofit/>
        </a:bodyPr>
        <a:lstStyle/>
        <a:p>
          <a:pPr algn="r"/>
          <a:fld id="{9092C8A2-E068-4907-A2B9-95CFE8CDC0C6}" type="TxLink">
            <a:rPr kumimoji="1" lang="en-US" altLang="en-US" sz="740" b="0" i="0" u="none" strike="noStrike">
              <a:solidFill>
                <a:srgbClr val="000000"/>
              </a:solidFill>
              <a:latin typeface="ＭＳ 明朝" panose="02020609040205080304" pitchFamily="17" charset="-128"/>
              <a:ea typeface="游ゴシック"/>
            </a:rPr>
            <a:pPr algn="r"/>
            <a:t> </a:t>
          </a:fld>
          <a:endParaRPr kumimoji="1" lang="ja-JP" altLang="en-US" sz="740">
            <a:solidFill>
              <a:srgbClr val="000000"/>
            </a:solidFill>
            <a:latin typeface="ＭＳ 明朝" panose="02020609040205080304" pitchFamily="17" charset="-128"/>
          </a:endParaRPr>
        </a:p>
      </xdr:txBody>
    </xdr:sp>
    <xdr:clientData/>
  </xdr:twoCellAnchor>
  <xdr:twoCellAnchor editAs="absolute">
    <xdr:from>
      <xdr:col>9</xdr:col>
      <xdr:colOff>375211</xdr:colOff>
      <xdr:row>0</xdr:row>
      <xdr:rowOff>3296288</xdr:rowOff>
    </xdr:from>
    <xdr:to>
      <xdr:col>10</xdr:col>
      <xdr:colOff>543077</xdr:colOff>
      <xdr:row>0</xdr:row>
      <xdr:rowOff>3702610</xdr:rowOff>
    </xdr:to>
    <xdr:sp macro="" textlink="印字値!$C$27">
      <xdr:nvSpPr>
        <xdr:cNvPr id="28" name="付表一23">
          <a:extLst>
            <a:ext uri="{FF2B5EF4-FFF2-40B4-BE49-F238E27FC236}">
              <a16:creationId xmlns:a16="http://schemas.microsoft.com/office/drawing/2014/main" id="{404E0876-DA2C-5BE7-9399-52D7A61661FA}"/>
            </a:ext>
          </a:extLst>
        </xdr:cNvPr>
        <xdr:cNvSpPr txBox="1"/>
      </xdr:nvSpPr>
      <xdr:spPr>
        <a:xfrm>
          <a:off x="6341671" y="3296288"/>
          <a:ext cx="830806" cy="406322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0" tIns="0" rIns="0" bIns="0" rtlCol="0" anchor="ctr">
          <a:normAutofit/>
        </a:bodyPr>
        <a:lstStyle/>
        <a:p>
          <a:pPr algn="r"/>
          <a:fld id="{A90509F2-2FF4-4138-8A04-96DCBEAB1F99}" type="TxLink">
            <a:rPr kumimoji="1" lang="en-US" altLang="en-US" sz="740" b="0" i="0" u="none" strike="noStrike">
              <a:solidFill>
                <a:srgbClr val="000000"/>
              </a:solidFill>
              <a:latin typeface="ＭＳ 明朝" panose="02020609040205080304" pitchFamily="17" charset="-128"/>
              <a:ea typeface="游ゴシック"/>
            </a:rPr>
            <a:pPr algn="r"/>
            <a:t> </a:t>
          </a:fld>
          <a:endParaRPr kumimoji="1" lang="ja-JP" altLang="en-US" sz="740">
            <a:solidFill>
              <a:srgbClr val="000000"/>
            </a:solidFill>
            <a:latin typeface="ＭＳ 明朝" panose="02020609040205080304" pitchFamily="17" charset="-128"/>
          </a:endParaRPr>
        </a:p>
      </xdr:txBody>
    </xdr:sp>
    <xdr:clientData/>
  </xdr:twoCellAnchor>
  <xdr:twoCellAnchor editAs="absolute">
    <xdr:from>
      <xdr:col>9</xdr:col>
      <xdr:colOff>375211</xdr:colOff>
      <xdr:row>1</xdr:row>
      <xdr:rowOff>24676</xdr:rowOff>
    </xdr:from>
    <xdr:to>
      <xdr:col>10</xdr:col>
      <xdr:colOff>543077</xdr:colOff>
      <xdr:row>1</xdr:row>
      <xdr:rowOff>425919</xdr:rowOff>
    </xdr:to>
    <xdr:sp macro="" textlink="印字値!$C$28">
      <xdr:nvSpPr>
        <xdr:cNvPr id="29" name="付表一24">
          <a:extLst>
            <a:ext uri="{FF2B5EF4-FFF2-40B4-BE49-F238E27FC236}">
              <a16:creationId xmlns:a16="http://schemas.microsoft.com/office/drawing/2014/main" id="{B45BA461-BF50-58CD-31AC-6D1B5966E5E1}"/>
            </a:ext>
          </a:extLst>
        </xdr:cNvPr>
        <xdr:cNvSpPr txBox="1"/>
      </xdr:nvSpPr>
      <xdr:spPr>
        <a:xfrm>
          <a:off x="6341671" y="3773716"/>
          <a:ext cx="830806" cy="401243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0" tIns="0" rIns="0" bIns="0" rtlCol="0" anchor="ctr">
          <a:normAutofit/>
        </a:bodyPr>
        <a:lstStyle/>
        <a:p>
          <a:pPr algn="r"/>
          <a:fld id="{552D1A03-D438-444C-ACA9-38E67F8157FD}" type="TxLink">
            <a:rPr kumimoji="1" lang="en-US" altLang="en-US" sz="740" b="0" i="0" u="none" strike="noStrike">
              <a:solidFill>
                <a:srgbClr val="000000"/>
              </a:solidFill>
              <a:latin typeface="ＭＳ 明朝" panose="02020609040205080304" pitchFamily="17" charset="-128"/>
              <a:ea typeface="游ゴシック"/>
            </a:rPr>
            <a:pPr algn="r"/>
            <a:t> </a:t>
          </a:fld>
          <a:endParaRPr kumimoji="1" lang="ja-JP" altLang="en-US" sz="740">
            <a:solidFill>
              <a:srgbClr val="000000"/>
            </a:solidFill>
            <a:latin typeface="ＭＳ 明朝" panose="02020609040205080304" pitchFamily="17" charset="-128"/>
          </a:endParaRPr>
        </a:p>
      </xdr:txBody>
    </xdr:sp>
    <xdr:clientData/>
  </xdr:twoCellAnchor>
  <xdr:twoCellAnchor editAs="absolute">
    <xdr:from>
      <xdr:col>9</xdr:col>
      <xdr:colOff>375211</xdr:colOff>
      <xdr:row>1</xdr:row>
      <xdr:rowOff>497026</xdr:rowOff>
    </xdr:from>
    <xdr:to>
      <xdr:col>10</xdr:col>
      <xdr:colOff>543077</xdr:colOff>
      <xdr:row>1</xdr:row>
      <xdr:rowOff>903348</xdr:rowOff>
    </xdr:to>
    <xdr:sp macro="" textlink="印字値!$C$29">
      <xdr:nvSpPr>
        <xdr:cNvPr id="30" name="付表一25">
          <a:extLst>
            <a:ext uri="{FF2B5EF4-FFF2-40B4-BE49-F238E27FC236}">
              <a16:creationId xmlns:a16="http://schemas.microsoft.com/office/drawing/2014/main" id="{B6894B34-C94B-C69B-38CD-D0BCEC774AFE}"/>
            </a:ext>
          </a:extLst>
        </xdr:cNvPr>
        <xdr:cNvSpPr txBox="1"/>
      </xdr:nvSpPr>
      <xdr:spPr>
        <a:xfrm>
          <a:off x="6341671" y="4246066"/>
          <a:ext cx="830806" cy="406322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0" tIns="0" rIns="0" bIns="0" rtlCol="0" anchor="ctr">
          <a:normAutofit/>
        </a:bodyPr>
        <a:lstStyle/>
        <a:p>
          <a:pPr algn="r"/>
          <a:fld id="{52D151B7-6826-4D4D-8C75-A56EA10BFDAF}" type="TxLink">
            <a:rPr kumimoji="1" lang="en-US" altLang="en-US" sz="740" b="0" i="0" u="none" strike="noStrike">
              <a:solidFill>
                <a:srgbClr val="000000"/>
              </a:solidFill>
              <a:latin typeface="ＭＳ 明朝" panose="02020609040205080304" pitchFamily="17" charset="-128"/>
              <a:ea typeface="游ゴシック"/>
            </a:rPr>
            <a:pPr algn="r"/>
            <a:t> </a:t>
          </a:fld>
          <a:endParaRPr kumimoji="1" lang="ja-JP" altLang="en-US" sz="740">
            <a:solidFill>
              <a:srgbClr val="000000"/>
            </a:solidFill>
            <a:latin typeface="ＭＳ 明朝" panose="02020609040205080304" pitchFamily="17" charset="-128"/>
          </a:endParaRPr>
        </a:p>
      </xdr:txBody>
    </xdr:sp>
    <xdr:clientData/>
  </xdr:twoCellAnchor>
  <xdr:twoCellAnchor editAs="absolute">
    <xdr:from>
      <xdr:col>9</xdr:col>
      <xdr:colOff>375211</xdr:colOff>
      <xdr:row>1</xdr:row>
      <xdr:rowOff>974454</xdr:rowOff>
    </xdr:from>
    <xdr:to>
      <xdr:col>10</xdr:col>
      <xdr:colOff>543077</xdr:colOff>
      <xdr:row>1</xdr:row>
      <xdr:rowOff>1375697</xdr:rowOff>
    </xdr:to>
    <xdr:sp macro="" textlink="印字値!$C$30">
      <xdr:nvSpPr>
        <xdr:cNvPr id="31" name="付表一26">
          <a:extLst>
            <a:ext uri="{FF2B5EF4-FFF2-40B4-BE49-F238E27FC236}">
              <a16:creationId xmlns:a16="http://schemas.microsoft.com/office/drawing/2014/main" id="{420851F5-E7B0-BA70-D781-38999C02BF64}"/>
            </a:ext>
          </a:extLst>
        </xdr:cNvPr>
        <xdr:cNvSpPr txBox="1"/>
      </xdr:nvSpPr>
      <xdr:spPr>
        <a:xfrm>
          <a:off x="6341671" y="4723494"/>
          <a:ext cx="830806" cy="401243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0" tIns="0" rIns="0" bIns="0" rtlCol="0" anchor="ctr">
          <a:normAutofit/>
        </a:bodyPr>
        <a:lstStyle/>
        <a:p>
          <a:pPr algn="r"/>
          <a:fld id="{350933E2-224B-472F-ACBE-A3412658D944}" type="TxLink">
            <a:rPr kumimoji="1" lang="en-US" altLang="en-US" sz="740" b="0" i="0" u="none" strike="noStrike">
              <a:solidFill>
                <a:srgbClr val="000000"/>
              </a:solidFill>
              <a:latin typeface="ＭＳ 明朝" panose="02020609040205080304" pitchFamily="17" charset="-128"/>
              <a:ea typeface="游ゴシック"/>
            </a:rPr>
            <a:pPr algn="r"/>
            <a:t> </a:t>
          </a:fld>
          <a:endParaRPr kumimoji="1" lang="ja-JP" altLang="en-US" sz="740">
            <a:solidFill>
              <a:srgbClr val="000000"/>
            </a:solidFill>
            <a:latin typeface="ＭＳ 明朝" panose="02020609040205080304" pitchFamily="17" charset="-128"/>
          </a:endParaRPr>
        </a:p>
      </xdr:txBody>
    </xdr:sp>
    <xdr:clientData/>
  </xdr:twoCellAnchor>
  <xdr:twoCellAnchor editAs="absolute">
    <xdr:from>
      <xdr:col>9</xdr:col>
      <xdr:colOff>375211</xdr:colOff>
      <xdr:row>1</xdr:row>
      <xdr:rowOff>1446803</xdr:rowOff>
    </xdr:from>
    <xdr:to>
      <xdr:col>10</xdr:col>
      <xdr:colOff>543077</xdr:colOff>
      <xdr:row>1</xdr:row>
      <xdr:rowOff>1853125</xdr:rowOff>
    </xdr:to>
    <xdr:sp macro="" textlink="印字値!$C$31">
      <xdr:nvSpPr>
        <xdr:cNvPr id="32" name="付表一27">
          <a:extLst>
            <a:ext uri="{FF2B5EF4-FFF2-40B4-BE49-F238E27FC236}">
              <a16:creationId xmlns:a16="http://schemas.microsoft.com/office/drawing/2014/main" id="{BFAB94BD-0976-8345-C2E0-ABA20051A5CB}"/>
            </a:ext>
          </a:extLst>
        </xdr:cNvPr>
        <xdr:cNvSpPr txBox="1"/>
      </xdr:nvSpPr>
      <xdr:spPr>
        <a:xfrm>
          <a:off x="6341671" y="5195843"/>
          <a:ext cx="830806" cy="406322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0" tIns="0" rIns="0" bIns="0" rtlCol="0" anchor="ctr">
          <a:normAutofit/>
        </a:bodyPr>
        <a:lstStyle/>
        <a:p>
          <a:pPr algn="r"/>
          <a:fld id="{04CD1FC5-EC18-47CE-8F09-EB8573A20D12}" type="TxLink">
            <a:rPr kumimoji="1" lang="en-US" altLang="en-US" sz="740" b="0" i="0" u="none" strike="noStrike">
              <a:solidFill>
                <a:srgbClr val="000000"/>
              </a:solidFill>
              <a:latin typeface="ＭＳ 明朝" panose="02020609040205080304" pitchFamily="17" charset="-128"/>
              <a:ea typeface="游ゴシック"/>
            </a:rPr>
            <a:pPr algn="r"/>
            <a:t> </a:t>
          </a:fld>
          <a:endParaRPr kumimoji="1" lang="ja-JP" altLang="en-US" sz="740">
            <a:solidFill>
              <a:srgbClr val="000000"/>
            </a:solidFill>
            <a:latin typeface="ＭＳ 明朝" panose="02020609040205080304" pitchFamily="17" charset="-128"/>
          </a:endParaRPr>
        </a:p>
      </xdr:txBody>
    </xdr:sp>
    <xdr:clientData/>
  </xdr:twoCellAnchor>
  <xdr:twoCellAnchor editAs="absolute">
    <xdr:from>
      <xdr:col>9</xdr:col>
      <xdr:colOff>375211</xdr:colOff>
      <xdr:row>1</xdr:row>
      <xdr:rowOff>1924232</xdr:rowOff>
    </xdr:from>
    <xdr:to>
      <xdr:col>10</xdr:col>
      <xdr:colOff>543077</xdr:colOff>
      <xdr:row>1</xdr:row>
      <xdr:rowOff>2325475</xdr:rowOff>
    </xdr:to>
    <xdr:sp macro="" textlink="印字値!$C$32">
      <xdr:nvSpPr>
        <xdr:cNvPr id="33" name="付表一28">
          <a:extLst>
            <a:ext uri="{FF2B5EF4-FFF2-40B4-BE49-F238E27FC236}">
              <a16:creationId xmlns:a16="http://schemas.microsoft.com/office/drawing/2014/main" id="{6EA8DFAF-40CE-EF5C-3CF0-E8ED8693C924}"/>
            </a:ext>
          </a:extLst>
        </xdr:cNvPr>
        <xdr:cNvSpPr txBox="1"/>
      </xdr:nvSpPr>
      <xdr:spPr>
        <a:xfrm>
          <a:off x="6341671" y="5673272"/>
          <a:ext cx="830806" cy="401243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0" tIns="0" rIns="0" bIns="0" rtlCol="0" anchor="ctr">
          <a:normAutofit/>
        </a:bodyPr>
        <a:lstStyle/>
        <a:p>
          <a:pPr algn="r"/>
          <a:fld id="{EF977E12-813F-44C8-B899-0A173D49239A}" type="TxLink">
            <a:rPr kumimoji="1" lang="en-US" altLang="en-US" sz="740" b="0" i="0" u="none" strike="noStrike">
              <a:solidFill>
                <a:srgbClr val="000000"/>
              </a:solidFill>
              <a:latin typeface="ＭＳ 明朝" panose="02020609040205080304" pitchFamily="17" charset="-128"/>
              <a:ea typeface="游ゴシック"/>
            </a:rPr>
            <a:pPr algn="r"/>
            <a:t> </a:t>
          </a:fld>
          <a:endParaRPr kumimoji="1" lang="ja-JP" altLang="en-US" sz="740">
            <a:solidFill>
              <a:srgbClr val="000000"/>
            </a:solidFill>
            <a:latin typeface="ＭＳ 明朝" panose="02020609040205080304" pitchFamily="17" charset="-128"/>
          </a:endParaRPr>
        </a:p>
      </xdr:txBody>
    </xdr:sp>
    <xdr:clientData/>
  </xdr:twoCellAnchor>
  <xdr:twoCellAnchor editAs="absolute">
    <xdr:from>
      <xdr:col>9</xdr:col>
      <xdr:colOff>375211</xdr:colOff>
      <xdr:row>1</xdr:row>
      <xdr:rowOff>2396581</xdr:rowOff>
    </xdr:from>
    <xdr:to>
      <xdr:col>10</xdr:col>
      <xdr:colOff>543077</xdr:colOff>
      <xdr:row>1</xdr:row>
      <xdr:rowOff>2802903</xdr:rowOff>
    </xdr:to>
    <xdr:sp macro="" textlink="印字値!$C$33">
      <xdr:nvSpPr>
        <xdr:cNvPr id="34" name="付表一29">
          <a:extLst>
            <a:ext uri="{FF2B5EF4-FFF2-40B4-BE49-F238E27FC236}">
              <a16:creationId xmlns:a16="http://schemas.microsoft.com/office/drawing/2014/main" id="{B83E788B-4742-C4CC-723D-71A58935888E}"/>
            </a:ext>
          </a:extLst>
        </xdr:cNvPr>
        <xdr:cNvSpPr txBox="1"/>
      </xdr:nvSpPr>
      <xdr:spPr>
        <a:xfrm>
          <a:off x="6341671" y="6145621"/>
          <a:ext cx="830806" cy="406322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0" tIns="0" rIns="0" bIns="0" rtlCol="0" anchor="ctr">
          <a:normAutofit/>
        </a:bodyPr>
        <a:lstStyle/>
        <a:p>
          <a:pPr algn="r"/>
          <a:fld id="{84BB6FB8-5BAC-4F05-BD00-58AF680832EC}" type="TxLink">
            <a:rPr kumimoji="1" lang="en-US" altLang="en-US" sz="740" b="0" i="0" u="none" strike="noStrike">
              <a:solidFill>
                <a:srgbClr val="000000"/>
              </a:solidFill>
              <a:latin typeface="ＭＳ 明朝" panose="02020609040205080304" pitchFamily="17" charset="-128"/>
              <a:ea typeface="游ゴシック"/>
            </a:rPr>
            <a:pPr algn="r"/>
            <a:t> </a:t>
          </a:fld>
          <a:endParaRPr kumimoji="1" lang="ja-JP" altLang="en-US" sz="740">
            <a:solidFill>
              <a:srgbClr val="000000"/>
            </a:solidFill>
            <a:latin typeface="ＭＳ 明朝" panose="02020609040205080304" pitchFamily="17" charset="-128"/>
          </a:endParaRPr>
        </a:p>
      </xdr:txBody>
    </xdr:sp>
    <xdr:clientData/>
  </xdr:twoCellAnchor>
  <xdr:twoCellAnchor editAs="absolute">
    <xdr:from>
      <xdr:col>9</xdr:col>
      <xdr:colOff>375211</xdr:colOff>
      <xdr:row>1</xdr:row>
      <xdr:rowOff>2874009</xdr:rowOff>
    </xdr:from>
    <xdr:to>
      <xdr:col>10</xdr:col>
      <xdr:colOff>543077</xdr:colOff>
      <xdr:row>1</xdr:row>
      <xdr:rowOff>3275252</xdr:rowOff>
    </xdr:to>
    <xdr:sp macro="" textlink="印字値!$C$34">
      <xdr:nvSpPr>
        <xdr:cNvPr id="35" name="付表一30">
          <a:extLst>
            <a:ext uri="{FF2B5EF4-FFF2-40B4-BE49-F238E27FC236}">
              <a16:creationId xmlns:a16="http://schemas.microsoft.com/office/drawing/2014/main" id="{895878C3-94CC-7C5D-84DF-60F896DCCA9C}"/>
            </a:ext>
          </a:extLst>
        </xdr:cNvPr>
        <xdr:cNvSpPr txBox="1"/>
      </xdr:nvSpPr>
      <xdr:spPr>
        <a:xfrm>
          <a:off x="6341671" y="6623049"/>
          <a:ext cx="830806" cy="401243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0" tIns="0" rIns="0" bIns="0" rtlCol="0" anchor="ctr">
          <a:normAutofit/>
        </a:bodyPr>
        <a:lstStyle/>
        <a:p>
          <a:pPr algn="r"/>
          <a:fld id="{C24F7546-5612-4A32-AB4D-35CCA760E36A}" type="TxLink">
            <a:rPr kumimoji="1" lang="en-US" altLang="en-US" sz="740" b="0" i="0" u="none" strike="noStrike">
              <a:solidFill>
                <a:srgbClr val="000000"/>
              </a:solidFill>
              <a:latin typeface="ＭＳ 明朝" panose="02020609040205080304" pitchFamily="17" charset="-128"/>
              <a:ea typeface="游ゴシック"/>
            </a:rPr>
            <a:pPr algn="r"/>
            <a:t> </a:t>
          </a:fld>
          <a:endParaRPr kumimoji="1" lang="ja-JP" altLang="en-US" sz="740">
            <a:solidFill>
              <a:srgbClr val="000000"/>
            </a:solidFill>
            <a:latin typeface="ＭＳ 明朝" panose="02020609040205080304" pitchFamily="17" charset="-128"/>
          </a:endParaRPr>
        </a:p>
      </xdr:txBody>
    </xdr:sp>
    <xdr:clientData/>
  </xdr:twoCellAnchor>
  <xdr:twoCellAnchor editAs="absolute">
    <xdr:from>
      <xdr:col>9</xdr:col>
      <xdr:colOff>375211</xdr:colOff>
      <xdr:row>1</xdr:row>
      <xdr:rowOff>3346359</xdr:rowOff>
    </xdr:from>
    <xdr:to>
      <xdr:col>10</xdr:col>
      <xdr:colOff>543077</xdr:colOff>
      <xdr:row>2</xdr:row>
      <xdr:rowOff>3641</xdr:rowOff>
    </xdr:to>
    <xdr:sp macro="" textlink="印字値!$C$35">
      <xdr:nvSpPr>
        <xdr:cNvPr id="36" name="付表一31">
          <a:extLst>
            <a:ext uri="{FF2B5EF4-FFF2-40B4-BE49-F238E27FC236}">
              <a16:creationId xmlns:a16="http://schemas.microsoft.com/office/drawing/2014/main" id="{A99DB38E-4C82-5881-0EBE-8461E0EA93C8}"/>
            </a:ext>
          </a:extLst>
        </xdr:cNvPr>
        <xdr:cNvSpPr txBox="1"/>
      </xdr:nvSpPr>
      <xdr:spPr>
        <a:xfrm>
          <a:off x="6341671" y="7095399"/>
          <a:ext cx="830806" cy="406322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0" tIns="0" rIns="0" bIns="0" rtlCol="0" anchor="ctr">
          <a:normAutofit/>
        </a:bodyPr>
        <a:lstStyle/>
        <a:p>
          <a:pPr algn="r"/>
          <a:fld id="{228EB457-E678-468D-B9F8-B138E398C0FB}" type="TxLink">
            <a:rPr kumimoji="1" lang="en-US" altLang="en-US" sz="740" b="0" i="0" u="none" strike="noStrike">
              <a:solidFill>
                <a:srgbClr val="000000"/>
              </a:solidFill>
              <a:latin typeface="ＭＳ 明朝" panose="02020609040205080304" pitchFamily="17" charset="-128"/>
              <a:ea typeface="游ゴシック"/>
            </a:rPr>
            <a:pPr algn="r"/>
            <a:t> </a:t>
          </a:fld>
          <a:endParaRPr kumimoji="1" lang="ja-JP" altLang="en-US" sz="740">
            <a:solidFill>
              <a:srgbClr val="000000"/>
            </a:solidFill>
            <a:latin typeface="ＭＳ 明朝" panose="02020609040205080304" pitchFamily="17" charset="-128"/>
          </a:endParaRPr>
        </a:p>
      </xdr:txBody>
    </xdr:sp>
    <xdr:clientData/>
  </xdr:twoCellAnchor>
  <xdr:twoCellAnchor editAs="absolute">
    <xdr:from>
      <xdr:col>9</xdr:col>
      <xdr:colOff>375211</xdr:colOff>
      <xdr:row>2</xdr:row>
      <xdr:rowOff>74748</xdr:rowOff>
    </xdr:from>
    <xdr:to>
      <xdr:col>10</xdr:col>
      <xdr:colOff>543077</xdr:colOff>
      <xdr:row>2</xdr:row>
      <xdr:rowOff>597888</xdr:rowOff>
    </xdr:to>
    <xdr:sp macro="" textlink="印字値!$C$36">
      <xdr:nvSpPr>
        <xdr:cNvPr id="37" name="付表一32">
          <a:extLst>
            <a:ext uri="{FF2B5EF4-FFF2-40B4-BE49-F238E27FC236}">
              <a16:creationId xmlns:a16="http://schemas.microsoft.com/office/drawing/2014/main" id="{E49790EA-1F79-5C64-C1A7-186E34DE1496}"/>
            </a:ext>
          </a:extLst>
        </xdr:cNvPr>
        <xdr:cNvSpPr txBox="1"/>
      </xdr:nvSpPr>
      <xdr:spPr>
        <a:xfrm>
          <a:off x="6341671" y="7572828"/>
          <a:ext cx="830806" cy="52314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0" tIns="0" rIns="0" bIns="0" rtlCol="0" anchor="ctr">
          <a:normAutofit/>
        </a:bodyPr>
        <a:lstStyle/>
        <a:p>
          <a:pPr algn="r"/>
          <a:fld id="{D4E8B586-364D-44C5-9C69-C2F8D92C1B64}" type="TxLink">
            <a:rPr kumimoji="1" lang="en-US" altLang="en-US" sz="740" b="0" i="0" u="none" strike="noStrike">
              <a:solidFill>
                <a:srgbClr val="000000"/>
              </a:solidFill>
              <a:latin typeface="ＭＳ 明朝" panose="02020609040205080304" pitchFamily="17" charset="-128"/>
              <a:ea typeface="游ゴシック"/>
            </a:rPr>
            <a:pPr algn="r"/>
            <a:t> </a:t>
          </a:fld>
          <a:endParaRPr kumimoji="1" lang="ja-JP" altLang="en-US" sz="740">
            <a:solidFill>
              <a:srgbClr val="000000"/>
            </a:solidFill>
            <a:latin typeface="ＭＳ 明朝" panose="02020609040205080304" pitchFamily="17" charset="-128"/>
          </a:endParaRPr>
        </a:p>
      </xdr:txBody>
    </xdr:sp>
    <xdr:clientData/>
  </xdr:twoCellAnchor>
  <xdr:twoCellAnchor editAs="absolute">
    <xdr:from>
      <xdr:col>9</xdr:col>
      <xdr:colOff>375211</xdr:colOff>
      <xdr:row>2</xdr:row>
      <xdr:rowOff>668994</xdr:rowOff>
    </xdr:from>
    <xdr:to>
      <xdr:col>10</xdr:col>
      <xdr:colOff>543077</xdr:colOff>
      <xdr:row>2</xdr:row>
      <xdr:rowOff>1070237</xdr:rowOff>
    </xdr:to>
    <xdr:sp macro="" textlink="印字値!$C$37">
      <xdr:nvSpPr>
        <xdr:cNvPr id="38" name="付表一33">
          <a:extLst>
            <a:ext uri="{FF2B5EF4-FFF2-40B4-BE49-F238E27FC236}">
              <a16:creationId xmlns:a16="http://schemas.microsoft.com/office/drawing/2014/main" id="{420CA07F-8C9F-B65C-C1B5-8A2080205D99}"/>
            </a:ext>
          </a:extLst>
        </xdr:cNvPr>
        <xdr:cNvSpPr txBox="1"/>
      </xdr:nvSpPr>
      <xdr:spPr>
        <a:xfrm>
          <a:off x="6341671" y="8167074"/>
          <a:ext cx="830806" cy="401243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0" tIns="0" rIns="0" bIns="0" rtlCol="0" anchor="ctr">
          <a:normAutofit/>
        </a:bodyPr>
        <a:lstStyle/>
        <a:p>
          <a:pPr algn="r"/>
          <a:fld id="{EBF08680-E348-4AAD-A58B-4BA12652784C}" type="TxLink">
            <a:rPr kumimoji="1" lang="en-US" altLang="en-US" sz="740" b="0" i="0" u="none" strike="noStrike">
              <a:solidFill>
                <a:srgbClr val="000000"/>
              </a:solidFill>
              <a:latin typeface="ＭＳ 明朝" panose="02020609040205080304" pitchFamily="17" charset="-128"/>
              <a:ea typeface="游ゴシック"/>
            </a:rPr>
            <a:pPr algn="r"/>
            <a:t> </a:t>
          </a:fld>
          <a:endParaRPr kumimoji="1" lang="ja-JP" altLang="en-US" sz="740">
            <a:solidFill>
              <a:srgbClr val="000000"/>
            </a:solidFill>
            <a:latin typeface="ＭＳ 明朝" panose="02020609040205080304" pitchFamily="17" charset="-128"/>
          </a:endParaRPr>
        </a:p>
      </xdr:txBody>
    </xdr:sp>
    <xdr:clientData/>
  </xdr:twoCellAnchor>
  <xdr:twoCellAnchor editAs="absolute">
    <xdr:from>
      <xdr:col>9</xdr:col>
      <xdr:colOff>375211</xdr:colOff>
      <xdr:row>2</xdr:row>
      <xdr:rowOff>1141343</xdr:rowOff>
    </xdr:from>
    <xdr:to>
      <xdr:col>10</xdr:col>
      <xdr:colOff>543077</xdr:colOff>
      <xdr:row>2</xdr:row>
      <xdr:rowOff>1547665</xdr:rowOff>
    </xdr:to>
    <xdr:sp macro="" textlink="印字値!$C$38">
      <xdr:nvSpPr>
        <xdr:cNvPr id="39" name="付表一34">
          <a:extLst>
            <a:ext uri="{FF2B5EF4-FFF2-40B4-BE49-F238E27FC236}">
              <a16:creationId xmlns:a16="http://schemas.microsoft.com/office/drawing/2014/main" id="{5A72B77A-F9C5-7C1A-5431-A673BB9A8131}"/>
            </a:ext>
          </a:extLst>
        </xdr:cNvPr>
        <xdr:cNvSpPr txBox="1"/>
      </xdr:nvSpPr>
      <xdr:spPr>
        <a:xfrm>
          <a:off x="6341671" y="8639423"/>
          <a:ext cx="830806" cy="406322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0" tIns="0" rIns="0" bIns="0" rtlCol="0" anchor="ctr">
          <a:normAutofit/>
        </a:bodyPr>
        <a:lstStyle/>
        <a:p>
          <a:pPr algn="r"/>
          <a:fld id="{5930CA28-63F1-43F7-941A-E1ADC0A17044}" type="TxLink">
            <a:rPr kumimoji="1" lang="en-US" altLang="en-US" sz="740" b="0" i="0" u="none" strike="noStrike">
              <a:solidFill>
                <a:srgbClr val="000000"/>
              </a:solidFill>
              <a:latin typeface="ＭＳ 明朝" panose="02020609040205080304" pitchFamily="17" charset="-128"/>
              <a:ea typeface="游ゴシック"/>
            </a:rPr>
            <a:pPr algn="r"/>
            <a:t> </a:t>
          </a:fld>
          <a:endParaRPr kumimoji="1" lang="ja-JP" altLang="en-US" sz="740">
            <a:solidFill>
              <a:srgbClr val="000000"/>
            </a:solidFill>
            <a:latin typeface="ＭＳ 明朝" panose="02020609040205080304" pitchFamily="17" charset="-128"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0</xdr:colOff>
      <xdr:row>0</xdr:row>
      <xdr:rowOff>0</xdr:rowOff>
    </xdr:from>
    <xdr:to>
      <xdr:col>12</xdr:col>
      <xdr:colOff>33655</xdr:colOff>
      <xdr:row>3</xdr:row>
      <xdr:rowOff>2921</xdr:rowOff>
    </xdr:to>
    <xdr:pic>
      <xdr:nvPicPr>
        <xdr:cNvPr id="3" name="国税庁公式様式_背景">
          <a:extLst>
            <a:ext uri="{FF2B5EF4-FFF2-40B4-BE49-F238E27FC236}">
              <a16:creationId xmlns:a16="http://schemas.microsoft.com/office/drawing/2014/main" id="{6A486192-E3A3-A6EB-EF41-FBFE30844E5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0" y="0"/>
          <a:ext cx="7958455" cy="11255121"/>
        </a:xfrm>
        <a:prstGeom prst="rect">
          <a:avLst/>
        </a:prstGeom>
      </xdr:spPr>
    </xdr:pic>
    <xdr:clientData/>
  </xdr:twoCellAnchor>
  <xdr:twoCellAnchor editAs="absolute">
    <xdr:from>
      <xdr:col>6</xdr:col>
      <xdr:colOff>401811</xdr:colOff>
      <xdr:row>0</xdr:row>
      <xdr:rowOff>477428</xdr:rowOff>
    </xdr:from>
    <xdr:to>
      <xdr:col>8</xdr:col>
      <xdr:colOff>14034</xdr:colOff>
      <xdr:row>0</xdr:row>
      <xdr:rowOff>858355</xdr:rowOff>
    </xdr:to>
    <xdr:sp macro="" textlink="印字値!$A$2">
      <xdr:nvSpPr>
        <xdr:cNvPr id="4" name="事業年度">
          <a:extLst>
            <a:ext uri="{FF2B5EF4-FFF2-40B4-BE49-F238E27FC236}">
              <a16:creationId xmlns:a16="http://schemas.microsoft.com/office/drawing/2014/main" id="{3FD24C1D-96D2-66D4-EE7E-2773B36AB8FE}"/>
            </a:ext>
          </a:extLst>
        </xdr:cNvPr>
        <xdr:cNvSpPr txBox="1"/>
      </xdr:nvSpPr>
      <xdr:spPr>
        <a:xfrm>
          <a:off x="4379451" y="477428"/>
          <a:ext cx="938103" cy="380927"/>
        </a:xfrm>
        <a:prstGeom prst="rect">
          <a:avLst/>
        </a:prstGeom>
        <a:solidFill>
          <a:srgbClr val="FFFFFF"/>
        </a:solidFill>
        <a:ln w="9525" cmpd="sng">
          <a:noFill/>
        </a:ln>
        <a:effectLst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0" tIns="0" rIns="0" bIns="0" rtlCol="0" anchor="ctr">
          <a:normAutofit/>
        </a:bodyPr>
        <a:lstStyle/>
        <a:p>
          <a:pPr algn="ctr"/>
          <a:fld id="{B9BFEEA8-5334-4EB9-9B48-677CFEDB8C6B}" type="TxLink">
            <a:rPr kumimoji="1" lang="en-US" altLang="en-US" sz="720" b="0" i="0" u="none" strike="noStrike">
              <a:solidFill>
                <a:srgbClr val="000000"/>
              </a:solidFill>
              <a:latin typeface="ＭＳ 明朝" panose="02020609040205080304" pitchFamily="17" charset="-128"/>
              <a:ea typeface="游ゴシック"/>
            </a:rPr>
            <a:pPr algn="ctr"/>
            <a:t> </a:t>
          </a:fld>
          <a:endParaRPr kumimoji="1" lang="ja-JP" altLang="en-US" sz="720">
            <a:solidFill>
              <a:srgbClr val="000000"/>
            </a:solidFill>
            <a:latin typeface="ＭＳ 明朝" panose="02020609040205080304" pitchFamily="17" charset="-128"/>
          </a:endParaRPr>
        </a:p>
      </xdr:txBody>
    </xdr:sp>
    <xdr:clientData/>
  </xdr:twoCellAnchor>
  <xdr:twoCellAnchor editAs="absolute">
    <xdr:from>
      <xdr:col>8</xdr:col>
      <xdr:colOff>411708</xdr:colOff>
      <xdr:row>0</xdr:row>
      <xdr:rowOff>482507</xdr:rowOff>
    </xdr:from>
    <xdr:to>
      <xdr:col>10</xdr:col>
      <xdr:colOff>543967</xdr:colOff>
      <xdr:row>0</xdr:row>
      <xdr:rowOff>858355</xdr:rowOff>
    </xdr:to>
    <xdr:sp macro="" textlink="印字値!$A$1">
      <xdr:nvSpPr>
        <xdr:cNvPr id="5" name="法人名">
          <a:extLst>
            <a:ext uri="{FF2B5EF4-FFF2-40B4-BE49-F238E27FC236}">
              <a16:creationId xmlns:a16="http://schemas.microsoft.com/office/drawing/2014/main" id="{C72C8F2F-D8A4-9E10-2B66-C24CE9A3122F}"/>
            </a:ext>
          </a:extLst>
        </xdr:cNvPr>
        <xdr:cNvSpPr txBox="1"/>
      </xdr:nvSpPr>
      <xdr:spPr>
        <a:xfrm>
          <a:off x="5715228" y="482507"/>
          <a:ext cx="1458139" cy="375848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square" lIns="0" tIns="0" rIns="0" bIns="0" rtlCol="0" anchor="ctr">
          <a:normAutofit/>
        </a:bodyPr>
        <a:lstStyle/>
        <a:p>
          <a:pPr algn="l"/>
          <a:fld id="{A760C1E0-C7FB-4967-AB35-F759A5B705C6}" type="TxLink">
            <a:rPr kumimoji="1" lang="en-US" altLang="en-US" sz="480" b="0" i="0" u="none" strike="noStrike">
              <a:solidFill>
                <a:srgbClr val="000000"/>
              </a:solidFill>
              <a:latin typeface="ＭＳ 明朝" panose="02020609040205080304" pitchFamily="17" charset="-128"/>
              <a:ea typeface="游ゴシック"/>
            </a:rPr>
            <a:pPr algn="l"/>
            <a:t> </a:t>
          </a:fld>
          <a:endParaRPr kumimoji="1" lang="ja-JP" altLang="en-US" sz="480">
            <a:solidFill>
              <a:srgbClr val="000000"/>
            </a:solidFill>
            <a:latin typeface="ＭＳ 明朝" panose="02020609040205080304" pitchFamily="17" charset="-128"/>
          </a:endParaRPr>
        </a:p>
      </xdr:txBody>
    </xdr:sp>
    <xdr:clientData/>
  </xdr:twoCellAnchor>
  <xdr:twoCellAnchor editAs="absolute">
    <xdr:from>
      <xdr:col>4</xdr:col>
      <xdr:colOff>498979</xdr:colOff>
      <xdr:row>0</xdr:row>
      <xdr:rowOff>1112307</xdr:rowOff>
    </xdr:from>
    <xdr:to>
      <xdr:col>5</xdr:col>
      <xdr:colOff>585502</xdr:colOff>
      <xdr:row>0</xdr:row>
      <xdr:rowOff>1538945</xdr:rowOff>
    </xdr:to>
    <xdr:sp macro="" textlink="印字値!$E$5">
      <xdr:nvSpPr>
        <xdr:cNvPr id="6" name="付表二01">
          <a:extLst>
            <a:ext uri="{FF2B5EF4-FFF2-40B4-BE49-F238E27FC236}">
              <a16:creationId xmlns:a16="http://schemas.microsoft.com/office/drawing/2014/main" id="{0804C4DF-65D5-E35E-BC27-68F1A8D059A0}"/>
            </a:ext>
          </a:extLst>
        </xdr:cNvPr>
        <xdr:cNvSpPr txBox="1"/>
      </xdr:nvSpPr>
      <xdr:spPr>
        <a:xfrm>
          <a:off x="3150739" y="1112307"/>
          <a:ext cx="749463" cy="426638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0" tIns="0" rIns="0" bIns="0" rtlCol="0" anchor="ctr">
          <a:normAutofit/>
        </a:bodyPr>
        <a:lstStyle/>
        <a:p>
          <a:pPr algn="r"/>
          <a:fld id="{1C0D045D-489D-44C7-94E6-F0F19831B9A4}" type="TxLink">
            <a:rPr kumimoji="1" lang="en-US" altLang="en-US" sz="740" b="0" i="0" u="none" strike="noStrike">
              <a:solidFill>
                <a:srgbClr val="000000"/>
              </a:solidFill>
              <a:latin typeface="ＭＳ 明朝" panose="02020609040205080304" pitchFamily="17" charset="-128"/>
              <a:ea typeface="游ゴシック"/>
            </a:rPr>
            <a:pPr algn="r"/>
            <a:t> </a:t>
          </a:fld>
          <a:endParaRPr kumimoji="1" lang="ja-JP" altLang="en-US" sz="740">
            <a:solidFill>
              <a:srgbClr val="000000"/>
            </a:solidFill>
            <a:latin typeface="ＭＳ 明朝" panose="02020609040205080304" pitchFamily="17" charset="-128"/>
          </a:endParaRPr>
        </a:p>
      </xdr:txBody>
    </xdr:sp>
    <xdr:clientData/>
  </xdr:twoCellAnchor>
  <xdr:twoCellAnchor editAs="absolute">
    <xdr:from>
      <xdr:col>4</xdr:col>
      <xdr:colOff>498979</xdr:colOff>
      <xdr:row>0</xdr:row>
      <xdr:rowOff>1610051</xdr:rowOff>
    </xdr:from>
    <xdr:to>
      <xdr:col>5</xdr:col>
      <xdr:colOff>585502</xdr:colOff>
      <xdr:row>0</xdr:row>
      <xdr:rowOff>2041768</xdr:rowOff>
    </xdr:to>
    <xdr:sp macro="" textlink="印字値!$E$6">
      <xdr:nvSpPr>
        <xdr:cNvPr id="7" name="付表二02">
          <a:extLst>
            <a:ext uri="{FF2B5EF4-FFF2-40B4-BE49-F238E27FC236}">
              <a16:creationId xmlns:a16="http://schemas.microsoft.com/office/drawing/2014/main" id="{BB4013D1-B224-4CF7-6DCF-EF1FCED212F3}"/>
            </a:ext>
          </a:extLst>
        </xdr:cNvPr>
        <xdr:cNvSpPr txBox="1"/>
      </xdr:nvSpPr>
      <xdr:spPr>
        <a:xfrm>
          <a:off x="3150739" y="1610051"/>
          <a:ext cx="749463" cy="431717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0" tIns="0" rIns="0" bIns="0" rtlCol="0" anchor="ctr">
          <a:normAutofit/>
        </a:bodyPr>
        <a:lstStyle/>
        <a:p>
          <a:pPr algn="r"/>
          <a:fld id="{A1F07081-B8B7-4591-8D57-BCA4649763A2}" type="TxLink">
            <a:rPr kumimoji="1" lang="en-US" altLang="en-US" sz="740" b="0" i="0" u="none" strike="noStrike">
              <a:solidFill>
                <a:srgbClr val="000000"/>
              </a:solidFill>
              <a:latin typeface="ＭＳ 明朝" panose="02020609040205080304" pitchFamily="17" charset="-128"/>
              <a:ea typeface="游ゴシック"/>
            </a:rPr>
            <a:pPr algn="r"/>
            <a:t> </a:t>
          </a:fld>
          <a:endParaRPr kumimoji="1" lang="ja-JP" altLang="en-US" sz="740">
            <a:solidFill>
              <a:srgbClr val="000000"/>
            </a:solidFill>
            <a:latin typeface="ＭＳ 明朝" panose="02020609040205080304" pitchFamily="17" charset="-128"/>
          </a:endParaRPr>
        </a:p>
      </xdr:txBody>
    </xdr:sp>
    <xdr:clientData/>
  </xdr:twoCellAnchor>
  <xdr:twoCellAnchor editAs="absolute">
    <xdr:from>
      <xdr:col>4</xdr:col>
      <xdr:colOff>498979</xdr:colOff>
      <xdr:row>0</xdr:row>
      <xdr:rowOff>2112875</xdr:rowOff>
    </xdr:from>
    <xdr:to>
      <xdr:col>5</xdr:col>
      <xdr:colOff>585502</xdr:colOff>
      <xdr:row>0</xdr:row>
      <xdr:rowOff>2539513</xdr:rowOff>
    </xdr:to>
    <xdr:sp macro="" textlink="印字値!$E$7">
      <xdr:nvSpPr>
        <xdr:cNvPr id="8" name="付表二03">
          <a:extLst>
            <a:ext uri="{FF2B5EF4-FFF2-40B4-BE49-F238E27FC236}">
              <a16:creationId xmlns:a16="http://schemas.microsoft.com/office/drawing/2014/main" id="{4EB3747C-11F3-95BE-A064-64565349F3C6}"/>
            </a:ext>
          </a:extLst>
        </xdr:cNvPr>
        <xdr:cNvSpPr txBox="1"/>
      </xdr:nvSpPr>
      <xdr:spPr>
        <a:xfrm>
          <a:off x="3150739" y="2112875"/>
          <a:ext cx="749463" cy="426638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0" tIns="0" rIns="0" bIns="0" rtlCol="0" anchor="ctr">
          <a:normAutofit/>
        </a:bodyPr>
        <a:lstStyle/>
        <a:p>
          <a:pPr algn="r"/>
          <a:fld id="{237E0147-4F43-4913-9031-59B512D250B8}" type="TxLink">
            <a:rPr kumimoji="1" lang="en-US" altLang="en-US" sz="740" b="0" i="0" u="none" strike="noStrike">
              <a:solidFill>
                <a:srgbClr val="000000"/>
              </a:solidFill>
              <a:latin typeface="ＭＳ 明朝" panose="02020609040205080304" pitchFamily="17" charset="-128"/>
              <a:ea typeface="游ゴシック"/>
            </a:rPr>
            <a:pPr algn="r"/>
            <a:t> </a:t>
          </a:fld>
          <a:endParaRPr kumimoji="1" lang="ja-JP" altLang="en-US" sz="740">
            <a:solidFill>
              <a:srgbClr val="000000"/>
            </a:solidFill>
            <a:latin typeface="ＭＳ 明朝" panose="02020609040205080304" pitchFamily="17" charset="-128"/>
          </a:endParaRPr>
        </a:p>
      </xdr:txBody>
    </xdr:sp>
    <xdr:clientData/>
  </xdr:twoCellAnchor>
  <xdr:twoCellAnchor editAs="absolute">
    <xdr:from>
      <xdr:col>4</xdr:col>
      <xdr:colOff>498979</xdr:colOff>
      <xdr:row>0</xdr:row>
      <xdr:rowOff>2610619</xdr:rowOff>
    </xdr:from>
    <xdr:to>
      <xdr:col>5</xdr:col>
      <xdr:colOff>585502</xdr:colOff>
      <xdr:row>0</xdr:row>
      <xdr:rowOff>3042336</xdr:rowOff>
    </xdr:to>
    <xdr:sp macro="" textlink="印字値!$E$8">
      <xdr:nvSpPr>
        <xdr:cNvPr id="9" name="付表二04">
          <a:extLst>
            <a:ext uri="{FF2B5EF4-FFF2-40B4-BE49-F238E27FC236}">
              <a16:creationId xmlns:a16="http://schemas.microsoft.com/office/drawing/2014/main" id="{4214EDC9-EBCF-143B-B89F-22536E033125}"/>
            </a:ext>
          </a:extLst>
        </xdr:cNvPr>
        <xdr:cNvSpPr txBox="1"/>
      </xdr:nvSpPr>
      <xdr:spPr>
        <a:xfrm>
          <a:off x="3150739" y="2610619"/>
          <a:ext cx="749463" cy="431717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0" tIns="0" rIns="0" bIns="0" rtlCol="0" anchor="ctr">
          <a:normAutofit/>
        </a:bodyPr>
        <a:lstStyle/>
        <a:p>
          <a:pPr algn="r"/>
          <a:fld id="{3DF7489E-DD8E-49BA-9767-65D1E84E8DCD}" type="TxLink">
            <a:rPr kumimoji="1" lang="en-US" altLang="en-US" sz="740" b="0" i="0" u="none" strike="noStrike">
              <a:solidFill>
                <a:srgbClr val="000000"/>
              </a:solidFill>
              <a:latin typeface="ＭＳ 明朝" panose="02020609040205080304" pitchFamily="17" charset="-128"/>
              <a:ea typeface="游ゴシック"/>
            </a:rPr>
            <a:pPr algn="r"/>
            <a:t> </a:t>
          </a:fld>
          <a:endParaRPr kumimoji="1" lang="ja-JP" altLang="en-US" sz="740">
            <a:solidFill>
              <a:srgbClr val="000000"/>
            </a:solidFill>
            <a:latin typeface="ＭＳ 明朝" panose="02020609040205080304" pitchFamily="17" charset="-128"/>
          </a:endParaRPr>
        </a:p>
      </xdr:txBody>
    </xdr:sp>
    <xdr:clientData/>
  </xdr:twoCellAnchor>
  <xdr:twoCellAnchor editAs="absolute">
    <xdr:from>
      <xdr:col>4</xdr:col>
      <xdr:colOff>498979</xdr:colOff>
      <xdr:row>0</xdr:row>
      <xdr:rowOff>3113443</xdr:rowOff>
    </xdr:from>
    <xdr:to>
      <xdr:col>5</xdr:col>
      <xdr:colOff>585502</xdr:colOff>
      <xdr:row>0</xdr:row>
      <xdr:rowOff>3540081</xdr:rowOff>
    </xdr:to>
    <xdr:sp macro="" textlink="印字値!$E$9">
      <xdr:nvSpPr>
        <xdr:cNvPr id="10" name="付表二05">
          <a:extLst>
            <a:ext uri="{FF2B5EF4-FFF2-40B4-BE49-F238E27FC236}">
              <a16:creationId xmlns:a16="http://schemas.microsoft.com/office/drawing/2014/main" id="{ED18983A-7FE2-9692-7417-50B05A73D0EB}"/>
            </a:ext>
          </a:extLst>
        </xdr:cNvPr>
        <xdr:cNvSpPr txBox="1"/>
      </xdr:nvSpPr>
      <xdr:spPr>
        <a:xfrm>
          <a:off x="3150739" y="3113443"/>
          <a:ext cx="749463" cy="426638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0" tIns="0" rIns="0" bIns="0" rtlCol="0" anchor="ctr">
          <a:normAutofit/>
        </a:bodyPr>
        <a:lstStyle/>
        <a:p>
          <a:pPr algn="r"/>
          <a:fld id="{AF226895-576C-4482-AB0C-090FB8BB5661}" type="TxLink">
            <a:rPr kumimoji="1" lang="en-US" altLang="en-US" sz="740" b="0" i="0" u="none" strike="noStrike">
              <a:solidFill>
                <a:srgbClr val="000000"/>
              </a:solidFill>
              <a:latin typeface="ＭＳ 明朝" panose="02020609040205080304" pitchFamily="17" charset="-128"/>
              <a:ea typeface="游ゴシック"/>
            </a:rPr>
            <a:pPr algn="r"/>
            <a:t> </a:t>
          </a:fld>
          <a:endParaRPr kumimoji="1" lang="ja-JP" altLang="en-US" sz="740">
            <a:solidFill>
              <a:srgbClr val="000000"/>
            </a:solidFill>
            <a:latin typeface="ＭＳ 明朝" panose="02020609040205080304" pitchFamily="17" charset="-128"/>
          </a:endParaRPr>
        </a:p>
      </xdr:txBody>
    </xdr:sp>
    <xdr:clientData/>
  </xdr:twoCellAnchor>
  <xdr:twoCellAnchor editAs="absolute">
    <xdr:from>
      <xdr:col>9</xdr:col>
      <xdr:colOff>462543</xdr:colOff>
      <xdr:row>0</xdr:row>
      <xdr:rowOff>1112307</xdr:rowOff>
    </xdr:from>
    <xdr:to>
      <xdr:col>10</xdr:col>
      <xdr:colOff>543968</xdr:colOff>
      <xdr:row>0</xdr:row>
      <xdr:rowOff>1538945</xdr:rowOff>
    </xdr:to>
    <xdr:sp macro="" textlink="印字値!$E$10">
      <xdr:nvSpPr>
        <xdr:cNvPr id="11" name="付表二06">
          <a:extLst>
            <a:ext uri="{FF2B5EF4-FFF2-40B4-BE49-F238E27FC236}">
              <a16:creationId xmlns:a16="http://schemas.microsoft.com/office/drawing/2014/main" id="{1073A634-E282-AB8C-2E68-610B526FE0D0}"/>
            </a:ext>
          </a:extLst>
        </xdr:cNvPr>
        <xdr:cNvSpPr txBox="1"/>
      </xdr:nvSpPr>
      <xdr:spPr>
        <a:xfrm>
          <a:off x="6429003" y="1112307"/>
          <a:ext cx="744365" cy="426638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0" tIns="0" rIns="0" bIns="0" rtlCol="0" anchor="ctr">
          <a:normAutofit/>
        </a:bodyPr>
        <a:lstStyle/>
        <a:p>
          <a:pPr algn="r"/>
          <a:fld id="{375F7A72-C916-49B3-BA55-7954125CC262}" type="TxLink">
            <a:rPr kumimoji="1" lang="en-US" altLang="en-US" sz="740" b="0" i="0" u="none" strike="noStrike">
              <a:solidFill>
                <a:srgbClr val="000000"/>
              </a:solidFill>
              <a:latin typeface="ＭＳ 明朝" panose="02020609040205080304" pitchFamily="17" charset="-128"/>
              <a:ea typeface="游ゴシック"/>
            </a:rPr>
            <a:pPr algn="r"/>
            <a:t> </a:t>
          </a:fld>
          <a:endParaRPr kumimoji="1" lang="ja-JP" altLang="en-US" sz="740">
            <a:solidFill>
              <a:srgbClr val="000000"/>
            </a:solidFill>
            <a:latin typeface="ＭＳ 明朝" panose="02020609040205080304" pitchFamily="17" charset="-128"/>
          </a:endParaRPr>
        </a:p>
      </xdr:txBody>
    </xdr:sp>
    <xdr:clientData/>
  </xdr:twoCellAnchor>
  <xdr:twoCellAnchor editAs="absolute">
    <xdr:from>
      <xdr:col>9</xdr:col>
      <xdr:colOff>462543</xdr:colOff>
      <xdr:row>0</xdr:row>
      <xdr:rowOff>1610051</xdr:rowOff>
    </xdr:from>
    <xdr:to>
      <xdr:col>10</xdr:col>
      <xdr:colOff>543968</xdr:colOff>
      <xdr:row>0</xdr:row>
      <xdr:rowOff>2041768</xdr:rowOff>
    </xdr:to>
    <xdr:sp macro="" textlink="印字値!$E$11">
      <xdr:nvSpPr>
        <xdr:cNvPr id="12" name="付表二07">
          <a:extLst>
            <a:ext uri="{FF2B5EF4-FFF2-40B4-BE49-F238E27FC236}">
              <a16:creationId xmlns:a16="http://schemas.microsoft.com/office/drawing/2014/main" id="{D432E377-856C-C1C9-F7E9-F96BEE1A8966}"/>
            </a:ext>
          </a:extLst>
        </xdr:cNvPr>
        <xdr:cNvSpPr txBox="1"/>
      </xdr:nvSpPr>
      <xdr:spPr>
        <a:xfrm>
          <a:off x="6429003" y="1610051"/>
          <a:ext cx="744365" cy="431717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0" tIns="0" rIns="0" bIns="0" rtlCol="0" anchor="ctr">
          <a:normAutofit/>
        </a:bodyPr>
        <a:lstStyle/>
        <a:p>
          <a:pPr algn="r"/>
          <a:fld id="{1D564EAA-9534-40CB-859E-0BD9443D84B7}" type="TxLink">
            <a:rPr kumimoji="1" lang="en-US" altLang="en-US" sz="740" b="0" i="0" u="none" strike="noStrike">
              <a:solidFill>
                <a:srgbClr val="000000"/>
              </a:solidFill>
              <a:latin typeface="ＭＳ 明朝" panose="02020609040205080304" pitchFamily="17" charset="-128"/>
              <a:ea typeface="游ゴシック"/>
            </a:rPr>
            <a:pPr algn="r"/>
            <a:t> </a:t>
          </a:fld>
          <a:endParaRPr kumimoji="1" lang="ja-JP" altLang="en-US" sz="740">
            <a:solidFill>
              <a:srgbClr val="000000"/>
            </a:solidFill>
            <a:latin typeface="ＭＳ 明朝" panose="02020609040205080304" pitchFamily="17" charset="-128"/>
          </a:endParaRPr>
        </a:p>
      </xdr:txBody>
    </xdr:sp>
    <xdr:clientData/>
  </xdr:twoCellAnchor>
  <xdr:twoCellAnchor editAs="absolute">
    <xdr:from>
      <xdr:col>9</xdr:col>
      <xdr:colOff>462543</xdr:colOff>
      <xdr:row>0</xdr:row>
      <xdr:rowOff>2112875</xdr:rowOff>
    </xdr:from>
    <xdr:to>
      <xdr:col>10</xdr:col>
      <xdr:colOff>543968</xdr:colOff>
      <xdr:row>0</xdr:row>
      <xdr:rowOff>2539513</xdr:rowOff>
    </xdr:to>
    <xdr:sp macro="" textlink="印字値!$E$12">
      <xdr:nvSpPr>
        <xdr:cNvPr id="13" name="付表二08">
          <a:extLst>
            <a:ext uri="{FF2B5EF4-FFF2-40B4-BE49-F238E27FC236}">
              <a16:creationId xmlns:a16="http://schemas.microsoft.com/office/drawing/2014/main" id="{658BA00E-12D8-BD73-2DAC-AC3BCF2B96CC}"/>
            </a:ext>
          </a:extLst>
        </xdr:cNvPr>
        <xdr:cNvSpPr txBox="1"/>
      </xdr:nvSpPr>
      <xdr:spPr>
        <a:xfrm>
          <a:off x="6429003" y="2112875"/>
          <a:ext cx="744365" cy="426638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0" tIns="0" rIns="0" bIns="0" rtlCol="0" anchor="ctr">
          <a:normAutofit/>
        </a:bodyPr>
        <a:lstStyle/>
        <a:p>
          <a:pPr algn="r"/>
          <a:fld id="{484DC41A-0877-4DA3-9757-9B8B564EE477}" type="TxLink">
            <a:rPr kumimoji="1" lang="en-US" altLang="en-US" sz="740" b="0" i="0" u="none" strike="noStrike">
              <a:solidFill>
                <a:srgbClr val="000000"/>
              </a:solidFill>
              <a:latin typeface="ＭＳ 明朝" panose="02020609040205080304" pitchFamily="17" charset="-128"/>
              <a:ea typeface="游ゴシック"/>
            </a:rPr>
            <a:pPr algn="r"/>
            <a:t> </a:t>
          </a:fld>
          <a:endParaRPr kumimoji="1" lang="ja-JP" altLang="en-US" sz="740">
            <a:solidFill>
              <a:srgbClr val="000000"/>
            </a:solidFill>
            <a:latin typeface="ＭＳ 明朝" panose="02020609040205080304" pitchFamily="17" charset="-128"/>
          </a:endParaRPr>
        </a:p>
      </xdr:txBody>
    </xdr:sp>
    <xdr:clientData/>
  </xdr:twoCellAnchor>
  <xdr:twoCellAnchor editAs="absolute">
    <xdr:from>
      <xdr:col>9</xdr:col>
      <xdr:colOff>462543</xdr:colOff>
      <xdr:row>0</xdr:row>
      <xdr:rowOff>2610619</xdr:rowOff>
    </xdr:from>
    <xdr:to>
      <xdr:col>10</xdr:col>
      <xdr:colOff>543968</xdr:colOff>
      <xdr:row>0</xdr:row>
      <xdr:rowOff>3042336</xdr:rowOff>
    </xdr:to>
    <xdr:sp macro="" textlink="印字値!$E$13">
      <xdr:nvSpPr>
        <xdr:cNvPr id="14" name="付表二09">
          <a:extLst>
            <a:ext uri="{FF2B5EF4-FFF2-40B4-BE49-F238E27FC236}">
              <a16:creationId xmlns:a16="http://schemas.microsoft.com/office/drawing/2014/main" id="{9A5D911A-76E0-6DED-A3C8-FF3959379FA2}"/>
            </a:ext>
          </a:extLst>
        </xdr:cNvPr>
        <xdr:cNvSpPr txBox="1"/>
      </xdr:nvSpPr>
      <xdr:spPr>
        <a:xfrm>
          <a:off x="6429003" y="2610619"/>
          <a:ext cx="744365" cy="431717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0" tIns="0" rIns="0" bIns="0" rtlCol="0" anchor="ctr">
          <a:normAutofit/>
        </a:bodyPr>
        <a:lstStyle/>
        <a:p>
          <a:pPr algn="r"/>
          <a:fld id="{F5D53A62-7EBF-4A03-84CF-4BE74B61B8F2}" type="TxLink">
            <a:rPr kumimoji="1" lang="en-US" altLang="en-US" sz="740" b="0" i="0" u="none" strike="noStrike">
              <a:solidFill>
                <a:srgbClr val="000000"/>
              </a:solidFill>
              <a:latin typeface="ＭＳ 明朝" panose="02020609040205080304" pitchFamily="17" charset="-128"/>
              <a:ea typeface="游ゴシック"/>
            </a:rPr>
            <a:pPr algn="r"/>
            <a:t> </a:t>
          </a:fld>
          <a:endParaRPr kumimoji="1" lang="ja-JP" altLang="en-US" sz="740">
            <a:solidFill>
              <a:srgbClr val="000000"/>
            </a:solidFill>
            <a:latin typeface="ＭＳ 明朝" panose="02020609040205080304" pitchFamily="17" charset="-128"/>
          </a:endParaRPr>
        </a:p>
      </xdr:txBody>
    </xdr:sp>
    <xdr:clientData/>
  </xdr:twoCellAnchor>
  <xdr:twoCellAnchor editAs="absolute">
    <xdr:from>
      <xdr:col>9</xdr:col>
      <xdr:colOff>462543</xdr:colOff>
      <xdr:row>0</xdr:row>
      <xdr:rowOff>3113443</xdr:rowOff>
    </xdr:from>
    <xdr:to>
      <xdr:col>10</xdr:col>
      <xdr:colOff>543968</xdr:colOff>
      <xdr:row>0</xdr:row>
      <xdr:rowOff>3540081</xdr:rowOff>
    </xdr:to>
    <xdr:sp macro="" textlink="印字値!$E$14">
      <xdr:nvSpPr>
        <xdr:cNvPr id="15" name="付表二10">
          <a:extLst>
            <a:ext uri="{FF2B5EF4-FFF2-40B4-BE49-F238E27FC236}">
              <a16:creationId xmlns:a16="http://schemas.microsoft.com/office/drawing/2014/main" id="{F9A3581B-3B60-8494-2A81-B98B85BED639}"/>
            </a:ext>
          </a:extLst>
        </xdr:cNvPr>
        <xdr:cNvSpPr txBox="1"/>
      </xdr:nvSpPr>
      <xdr:spPr>
        <a:xfrm>
          <a:off x="6429003" y="3113443"/>
          <a:ext cx="744365" cy="426638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0" tIns="0" rIns="0" bIns="0" rtlCol="0" anchor="ctr">
          <a:normAutofit/>
        </a:bodyPr>
        <a:lstStyle/>
        <a:p>
          <a:pPr algn="r"/>
          <a:fld id="{9C35C4EA-6453-4BCC-908F-39452BE687B7}" type="TxLink">
            <a:rPr kumimoji="1" lang="en-US" altLang="en-US" sz="740" b="0" i="0" u="none" strike="noStrike">
              <a:solidFill>
                <a:srgbClr val="000000"/>
              </a:solidFill>
              <a:latin typeface="ＭＳ 明朝" panose="02020609040205080304" pitchFamily="17" charset="-128"/>
              <a:ea typeface="游ゴシック"/>
            </a:rPr>
            <a:pPr algn="r"/>
            <a:t> </a:t>
          </a:fld>
          <a:endParaRPr kumimoji="1" lang="ja-JP" altLang="en-US" sz="740">
            <a:solidFill>
              <a:srgbClr val="000000"/>
            </a:solidFill>
            <a:latin typeface="ＭＳ 明朝" panose="02020609040205080304" pitchFamily="17" charset="-128"/>
          </a:endParaRPr>
        </a:p>
      </xdr:txBody>
    </xdr:sp>
    <xdr:clientData/>
  </xdr:twoCellAnchor>
  <xdr:twoCellAnchor editAs="absolute">
    <xdr:from>
      <xdr:col>4</xdr:col>
      <xdr:colOff>498979</xdr:colOff>
      <xdr:row>1</xdr:row>
      <xdr:rowOff>50071</xdr:rowOff>
    </xdr:from>
    <xdr:to>
      <xdr:col>5</xdr:col>
      <xdr:colOff>585502</xdr:colOff>
      <xdr:row>1</xdr:row>
      <xdr:rowOff>690028</xdr:rowOff>
    </xdr:to>
    <xdr:sp macro="" textlink="印字値!$E$15">
      <xdr:nvSpPr>
        <xdr:cNvPr id="16" name="付表二11">
          <a:extLst>
            <a:ext uri="{FF2B5EF4-FFF2-40B4-BE49-F238E27FC236}">
              <a16:creationId xmlns:a16="http://schemas.microsoft.com/office/drawing/2014/main" id="{A471CFA4-04B1-7572-6D51-015370DC2700}"/>
            </a:ext>
          </a:extLst>
        </xdr:cNvPr>
        <xdr:cNvSpPr txBox="1"/>
      </xdr:nvSpPr>
      <xdr:spPr>
        <a:xfrm>
          <a:off x="3150739" y="3799111"/>
          <a:ext cx="749463" cy="639957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0" tIns="0" rIns="0" bIns="0" rtlCol="0" anchor="ctr">
          <a:normAutofit/>
        </a:bodyPr>
        <a:lstStyle/>
        <a:p>
          <a:pPr algn="r"/>
          <a:fld id="{F347E7A3-86F6-46C2-AEEE-A2793855819E}" type="TxLink">
            <a:rPr kumimoji="1" lang="en-US" altLang="en-US" sz="740" b="0" i="0" u="none" strike="noStrike">
              <a:solidFill>
                <a:srgbClr val="000000"/>
              </a:solidFill>
              <a:latin typeface="ＭＳ 明朝" panose="02020609040205080304" pitchFamily="17" charset="-128"/>
              <a:ea typeface="游ゴシック"/>
            </a:rPr>
            <a:pPr algn="r"/>
            <a:t> </a:t>
          </a:fld>
          <a:endParaRPr kumimoji="1" lang="ja-JP" altLang="en-US" sz="740">
            <a:solidFill>
              <a:srgbClr val="000000"/>
            </a:solidFill>
            <a:latin typeface="ＭＳ 明朝" panose="02020609040205080304" pitchFamily="17" charset="-128"/>
          </a:endParaRPr>
        </a:p>
      </xdr:txBody>
    </xdr:sp>
    <xdr:clientData/>
  </xdr:twoCellAnchor>
  <xdr:twoCellAnchor editAs="absolute">
    <xdr:from>
      <xdr:col>4</xdr:col>
      <xdr:colOff>498979</xdr:colOff>
      <xdr:row>1</xdr:row>
      <xdr:rowOff>761135</xdr:rowOff>
    </xdr:from>
    <xdr:to>
      <xdr:col>5</xdr:col>
      <xdr:colOff>585502</xdr:colOff>
      <xdr:row>1</xdr:row>
      <xdr:rowOff>1401092</xdr:rowOff>
    </xdr:to>
    <xdr:sp macro="" textlink="印字値!$E$16">
      <xdr:nvSpPr>
        <xdr:cNvPr id="17" name="付表二12">
          <a:extLst>
            <a:ext uri="{FF2B5EF4-FFF2-40B4-BE49-F238E27FC236}">
              <a16:creationId xmlns:a16="http://schemas.microsoft.com/office/drawing/2014/main" id="{7E005FFA-55B0-6CCF-E32C-C1CD60900FC7}"/>
            </a:ext>
          </a:extLst>
        </xdr:cNvPr>
        <xdr:cNvSpPr txBox="1"/>
      </xdr:nvSpPr>
      <xdr:spPr>
        <a:xfrm>
          <a:off x="3150739" y="4510175"/>
          <a:ext cx="749463" cy="639957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0" tIns="0" rIns="0" bIns="0" rtlCol="0" anchor="ctr">
          <a:normAutofit/>
        </a:bodyPr>
        <a:lstStyle/>
        <a:p>
          <a:pPr algn="r"/>
          <a:fld id="{CAE79859-72D0-4D07-AF22-BF5B6D607149}" type="TxLink">
            <a:rPr kumimoji="1" lang="en-US" altLang="en-US" sz="740" b="0" i="0" u="none" strike="noStrike">
              <a:solidFill>
                <a:srgbClr val="000000"/>
              </a:solidFill>
              <a:latin typeface="ＭＳ 明朝" panose="02020609040205080304" pitchFamily="17" charset="-128"/>
              <a:ea typeface="游ゴシック"/>
            </a:rPr>
            <a:pPr algn="r"/>
            <a:t> </a:t>
          </a:fld>
          <a:endParaRPr kumimoji="1" lang="ja-JP" altLang="en-US" sz="740">
            <a:solidFill>
              <a:srgbClr val="000000"/>
            </a:solidFill>
            <a:latin typeface="ＭＳ 明朝" panose="02020609040205080304" pitchFamily="17" charset="-128"/>
          </a:endParaRPr>
        </a:p>
      </xdr:txBody>
    </xdr:sp>
    <xdr:clientData/>
  </xdr:twoCellAnchor>
  <xdr:twoCellAnchor editAs="absolute">
    <xdr:from>
      <xdr:col>4</xdr:col>
      <xdr:colOff>498979</xdr:colOff>
      <xdr:row>1</xdr:row>
      <xdr:rowOff>1472198</xdr:rowOff>
    </xdr:from>
    <xdr:to>
      <xdr:col>5</xdr:col>
      <xdr:colOff>585502</xdr:colOff>
      <xdr:row>1</xdr:row>
      <xdr:rowOff>2117234</xdr:rowOff>
    </xdr:to>
    <xdr:sp macro="" textlink="印字値!$E$17">
      <xdr:nvSpPr>
        <xdr:cNvPr id="18" name="付表二13">
          <a:extLst>
            <a:ext uri="{FF2B5EF4-FFF2-40B4-BE49-F238E27FC236}">
              <a16:creationId xmlns:a16="http://schemas.microsoft.com/office/drawing/2014/main" id="{18C50587-A7B7-FFD8-D444-561A752352D9}"/>
            </a:ext>
          </a:extLst>
        </xdr:cNvPr>
        <xdr:cNvSpPr txBox="1"/>
      </xdr:nvSpPr>
      <xdr:spPr>
        <a:xfrm>
          <a:off x="3150739" y="5221238"/>
          <a:ext cx="749463" cy="645036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0" tIns="0" rIns="0" bIns="0" rtlCol="0" anchor="ctr">
          <a:normAutofit/>
        </a:bodyPr>
        <a:lstStyle/>
        <a:p>
          <a:pPr algn="r"/>
          <a:fld id="{1D78062E-54B7-4053-BFC0-5AA3D5A6B859}" type="TxLink">
            <a:rPr kumimoji="1" lang="en-US" altLang="en-US" sz="740" b="0" i="0" u="none" strike="noStrike">
              <a:solidFill>
                <a:srgbClr val="000000"/>
              </a:solidFill>
              <a:latin typeface="ＭＳ 明朝" panose="02020609040205080304" pitchFamily="17" charset="-128"/>
              <a:ea typeface="游ゴシック"/>
            </a:rPr>
            <a:pPr algn="r"/>
            <a:t> </a:t>
          </a:fld>
          <a:endParaRPr kumimoji="1" lang="ja-JP" altLang="en-US" sz="740">
            <a:solidFill>
              <a:srgbClr val="000000"/>
            </a:solidFill>
            <a:latin typeface="ＭＳ 明朝" panose="02020609040205080304" pitchFamily="17" charset="-128"/>
          </a:endParaRPr>
        </a:p>
      </xdr:txBody>
    </xdr:sp>
    <xdr:clientData/>
  </xdr:twoCellAnchor>
  <xdr:twoCellAnchor editAs="absolute">
    <xdr:from>
      <xdr:col>9</xdr:col>
      <xdr:colOff>462543</xdr:colOff>
      <xdr:row>1</xdr:row>
      <xdr:rowOff>50071</xdr:rowOff>
    </xdr:from>
    <xdr:to>
      <xdr:col>10</xdr:col>
      <xdr:colOff>543968</xdr:colOff>
      <xdr:row>1</xdr:row>
      <xdr:rowOff>451314</xdr:rowOff>
    </xdr:to>
    <xdr:sp macro="" textlink="印字値!$E$18">
      <xdr:nvSpPr>
        <xdr:cNvPr id="19" name="付表二14">
          <a:extLst>
            <a:ext uri="{FF2B5EF4-FFF2-40B4-BE49-F238E27FC236}">
              <a16:creationId xmlns:a16="http://schemas.microsoft.com/office/drawing/2014/main" id="{446D3C85-8734-83B6-CA11-FB6C609820D0}"/>
            </a:ext>
          </a:extLst>
        </xdr:cNvPr>
        <xdr:cNvSpPr txBox="1"/>
      </xdr:nvSpPr>
      <xdr:spPr>
        <a:xfrm>
          <a:off x="6429003" y="3799111"/>
          <a:ext cx="744365" cy="401243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0" tIns="0" rIns="0" bIns="0" rtlCol="0" anchor="ctr">
          <a:normAutofit/>
        </a:bodyPr>
        <a:lstStyle/>
        <a:p>
          <a:pPr algn="r"/>
          <a:fld id="{28F99D72-C9DD-4228-B732-9F0C7AFE2167}" type="TxLink">
            <a:rPr kumimoji="1" lang="en-US" altLang="en-US" sz="740" b="0" i="0" u="none" strike="noStrike">
              <a:solidFill>
                <a:srgbClr val="000000"/>
              </a:solidFill>
              <a:latin typeface="ＭＳ 明朝" panose="02020609040205080304" pitchFamily="17" charset="-128"/>
              <a:ea typeface="游ゴシック"/>
            </a:rPr>
            <a:pPr algn="r"/>
            <a:t> </a:t>
          </a:fld>
          <a:endParaRPr kumimoji="1" lang="ja-JP" altLang="en-US" sz="740">
            <a:solidFill>
              <a:srgbClr val="000000"/>
            </a:solidFill>
            <a:latin typeface="ＭＳ 明朝" panose="02020609040205080304" pitchFamily="17" charset="-128"/>
          </a:endParaRPr>
        </a:p>
      </xdr:txBody>
    </xdr:sp>
    <xdr:clientData/>
  </xdr:twoCellAnchor>
  <xdr:twoCellAnchor editAs="absolute">
    <xdr:from>
      <xdr:col>9</xdr:col>
      <xdr:colOff>462543</xdr:colOff>
      <xdr:row>1</xdr:row>
      <xdr:rowOff>522421</xdr:rowOff>
    </xdr:from>
    <xdr:to>
      <xdr:col>10</xdr:col>
      <xdr:colOff>543968</xdr:colOff>
      <xdr:row>1</xdr:row>
      <xdr:rowOff>928743</xdr:rowOff>
    </xdr:to>
    <xdr:sp macro="" textlink="印字値!$E$19">
      <xdr:nvSpPr>
        <xdr:cNvPr id="20" name="付表二15">
          <a:extLst>
            <a:ext uri="{FF2B5EF4-FFF2-40B4-BE49-F238E27FC236}">
              <a16:creationId xmlns:a16="http://schemas.microsoft.com/office/drawing/2014/main" id="{C94F5AB9-6571-17A0-4362-A1205F5A0C96}"/>
            </a:ext>
          </a:extLst>
        </xdr:cNvPr>
        <xdr:cNvSpPr txBox="1"/>
      </xdr:nvSpPr>
      <xdr:spPr>
        <a:xfrm>
          <a:off x="6429003" y="4271461"/>
          <a:ext cx="744365" cy="406322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0" tIns="0" rIns="0" bIns="0" rtlCol="0" anchor="ctr">
          <a:normAutofit/>
        </a:bodyPr>
        <a:lstStyle/>
        <a:p>
          <a:pPr algn="r"/>
          <a:fld id="{36D9280D-C583-4DF3-90CF-DB0AAA6864E8}" type="TxLink">
            <a:rPr kumimoji="1" lang="en-US" altLang="en-US" sz="740" b="0" i="0" u="none" strike="noStrike">
              <a:solidFill>
                <a:srgbClr val="000000"/>
              </a:solidFill>
              <a:latin typeface="ＭＳ 明朝" panose="02020609040205080304" pitchFamily="17" charset="-128"/>
              <a:ea typeface="游ゴシック"/>
            </a:rPr>
            <a:pPr algn="r"/>
            <a:t> </a:t>
          </a:fld>
          <a:endParaRPr kumimoji="1" lang="ja-JP" altLang="en-US" sz="740">
            <a:solidFill>
              <a:srgbClr val="000000"/>
            </a:solidFill>
            <a:latin typeface="ＭＳ 明朝" panose="02020609040205080304" pitchFamily="17" charset="-128"/>
          </a:endParaRPr>
        </a:p>
      </xdr:txBody>
    </xdr:sp>
    <xdr:clientData/>
  </xdr:twoCellAnchor>
  <xdr:twoCellAnchor editAs="absolute">
    <xdr:from>
      <xdr:col>9</xdr:col>
      <xdr:colOff>462543</xdr:colOff>
      <xdr:row>1</xdr:row>
      <xdr:rowOff>999849</xdr:rowOff>
    </xdr:from>
    <xdr:to>
      <xdr:col>10</xdr:col>
      <xdr:colOff>543968</xdr:colOff>
      <xdr:row>1</xdr:row>
      <xdr:rowOff>1401092</xdr:rowOff>
    </xdr:to>
    <xdr:sp macro="" textlink="印字値!$E$20">
      <xdr:nvSpPr>
        <xdr:cNvPr id="21" name="付表二16">
          <a:extLst>
            <a:ext uri="{FF2B5EF4-FFF2-40B4-BE49-F238E27FC236}">
              <a16:creationId xmlns:a16="http://schemas.microsoft.com/office/drawing/2014/main" id="{8D129454-506C-D1EE-9AF0-CF41D9E62489}"/>
            </a:ext>
          </a:extLst>
        </xdr:cNvPr>
        <xdr:cNvSpPr txBox="1"/>
      </xdr:nvSpPr>
      <xdr:spPr>
        <a:xfrm>
          <a:off x="6429003" y="4748889"/>
          <a:ext cx="744365" cy="401243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0" tIns="0" rIns="0" bIns="0" rtlCol="0" anchor="ctr">
          <a:normAutofit/>
        </a:bodyPr>
        <a:lstStyle/>
        <a:p>
          <a:pPr algn="r"/>
          <a:fld id="{DB0E397F-2485-47FF-99F6-437F059DDFAE}" type="TxLink">
            <a:rPr kumimoji="1" lang="en-US" altLang="en-US" sz="740" b="0" i="0" u="none" strike="noStrike">
              <a:solidFill>
                <a:srgbClr val="000000"/>
              </a:solidFill>
              <a:latin typeface="ＭＳ 明朝" panose="02020609040205080304" pitchFamily="17" charset="-128"/>
              <a:ea typeface="游ゴシック"/>
            </a:rPr>
            <a:pPr algn="r"/>
            <a:t> </a:t>
          </a:fld>
          <a:endParaRPr kumimoji="1" lang="ja-JP" altLang="en-US" sz="740">
            <a:solidFill>
              <a:srgbClr val="000000"/>
            </a:solidFill>
            <a:latin typeface="ＭＳ 明朝" panose="02020609040205080304" pitchFamily="17" charset="-128"/>
          </a:endParaRPr>
        </a:p>
      </xdr:txBody>
    </xdr:sp>
    <xdr:clientData/>
  </xdr:twoCellAnchor>
  <xdr:twoCellAnchor editAs="absolute">
    <xdr:from>
      <xdr:col>9</xdr:col>
      <xdr:colOff>462543</xdr:colOff>
      <xdr:row>1</xdr:row>
      <xdr:rowOff>1472198</xdr:rowOff>
    </xdr:from>
    <xdr:to>
      <xdr:col>10</xdr:col>
      <xdr:colOff>543968</xdr:colOff>
      <xdr:row>1</xdr:row>
      <xdr:rowOff>2117234</xdr:rowOff>
    </xdr:to>
    <xdr:sp macro="" textlink="印字値!$E$21">
      <xdr:nvSpPr>
        <xdr:cNvPr id="22" name="付表二17">
          <a:extLst>
            <a:ext uri="{FF2B5EF4-FFF2-40B4-BE49-F238E27FC236}">
              <a16:creationId xmlns:a16="http://schemas.microsoft.com/office/drawing/2014/main" id="{84FBC12E-0C41-CB50-E3B2-EB2E03AB2C8F}"/>
            </a:ext>
          </a:extLst>
        </xdr:cNvPr>
        <xdr:cNvSpPr txBox="1"/>
      </xdr:nvSpPr>
      <xdr:spPr>
        <a:xfrm>
          <a:off x="6429003" y="5221238"/>
          <a:ext cx="744365" cy="645036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0" tIns="0" rIns="0" bIns="0" rtlCol="0" anchor="ctr">
          <a:normAutofit/>
        </a:bodyPr>
        <a:lstStyle/>
        <a:p>
          <a:pPr algn="r"/>
          <a:fld id="{84FBF895-334D-47FE-9762-8EC249E112CC}" type="TxLink">
            <a:rPr kumimoji="1" lang="en-US" altLang="en-US" sz="740" b="0" i="0" u="none" strike="noStrike">
              <a:solidFill>
                <a:srgbClr val="000000"/>
              </a:solidFill>
              <a:latin typeface="ＭＳ 明朝" panose="02020609040205080304" pitchFamily="17" charset="-128"/>
              <a:ea typeface="游ゴシック"/>
            </a:rPr>
            <a:pPr algn="r"/>
            <a:t> </a:t>
          </a:fld>
          <a:endParaRPr kumimoji="1" lang="ja-JP" altLang="en-US" sz="740">
            <a:solidFill>
              <a:srgbClr val="000000"/>
            </a:solidFill>
            <a:latin typeface="ＭＳ 明朝" panose="02020609040205080304" pitchFamily="17" charset="-128"/>
          </a:endParaRPr>
        </a:p>
      </xdr:txBody>
    </xdr:sp>
    <xdr:clientData/>
  </xdr:twoCellAnchor>
  <xdr:twoCellAnchor editAs="absolute">
    <xdr:from>
      <xdr:col>4</xdr:col>
      <xdr:colOff>498979</xdr:colOff>
      <xdr:row>1</xdr:row>
      <xdr:rowOff>2371186</xdr:rowOff>
    </xdr:from>
    <xdr:to>
      <xdr:col>5</xdr:col>
      <xdr:colOff>585502</xdr:colOff>
      <xdr:row>1</xdr:row>
      <xdr:rowOff>2802903</xdr:rowOff>
    </xdr:to>
    <xdr:sp macro="" textlink="印字値!$E$22">
      <xdr:nvSpPr>
        <xdr:cNvPr id="23" name="付表二18">
          <a:extLst>
            <a:ext uri="{FF2B5EF4-FFF2-40B4-BE49-F238E27FC236}">
              <a16:creationId xmlns:a16="http://schemas.microsoft.com/office/drawing/2014/main" id="{68221E61-B44D-AB0F-EDF1-C3A746C3B011}"/>
            </a:ext>
          </a:extLst>
        </xdr:cNvPr>
        <xdr:cNvSpPr txBox="1"/>
      </xdr:nvSpPr>
      <xdr:spPr>
        <a:xfrm>
          <a:off x="3150739" y="6120226"/>
          <a:ext cx="749463" cy="431717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0" tIns="0" rIns="0" bIns="0" rtlCol="0" anchor="ctr">
          <a:normAutofit/>
        </a:bodyPr>
        <a:lstStyle/>
        <a:p>
          <a:pPr algn="r"/>
          <a:fld id="{4AEF33D1-1724-46D5-8776-0A2C642E08A2}" type="TxLink">
            <a:rPr kumimoji="1" lang="en-US" altLang="en-US" sz="740" b="0" i="0" u="none" strike="noStrike">
              <a:solidFill>
                <a:srgbClr val="000000"/>
              </a:solidFill>
              <a:latin typeface="ＭＳ 明朝" panose="02020609040205080304" pitchFamily="17" charset="-128"/>
              <a:ea typeface="游ゴシック"/>
            </a:rPr>
            <a:pPr algn="r"/>
            <a:t> </a:t>
          </a:fld>
          <a:endParaRPr kumimoji="1" lang="ja-JP" altLang="en-US" sz="740">
            <a:solidFill>
              <a:srgbClr val="000000"/>
            </a:solidFill>
            <a:latin typeface="ＭＳ 明朝" panose="02020609040205080304" pitchFamily="17" charset="-128"/>
          </a:endParaRPr>
        </a:p>
      </xdr:txBody>
    </xdr:sp>
    <xdr:clientData/>
  </xdr:twoCellAnchor>
  <xdr:twoCellAnchor editAs="absolute">
    <xdr:from>
      <xdr:col>4</xdr:col>
      <xdr:colOff>498979</xdr:colOff>
      <xdr:row>1</xdr:row>
      <xdr:rowOff>2874009</xdr:rowOff>
    </xdr:from>
    <xdr:to>
      <xdr:col>5</xdr:col>
      <xdr:colOff>585502</xdr:colOff>
      <xdr:row>1</xdr:row>
      <xdr:rowOff>3300647</xdr:rowOff>
    </xdr:to>
    <xdr:sp macro="" textlink="印字値!$E$23">
      <xdr:nvSpPr>
        <xdr:cNvPr id="24" name="付表二19">
          <a:extLst>
            <a:ext uri="{FF2B5EF4-FFF2-40B4-BE49-F238E27FC236}">
              <a16:creationId xmlns:a16="http://schemas.microsoft.com/office/drawing/2014/main" id="{2F6F5B7B-D886-B2F3-6F58-269AC1173C05}"/>
            </a:ext>
          </a:extLst>
        </xdr:cNvPr>
        <xdr:cNvSpPr txBox="1"/>
      </xdr:nvSpPr>
      <xdr:spPr>
        <a:xfrm>
          <a:off x="3150739" y="6623049"/>
          <a:ext cx="749463" cy="426638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0" tIns="0" rIns="0" bIns="0" rtlCol="0" anchor="ctr">
          <a:normAutofit/>
        </a:bodyPr>
        <a:lstStyle/>
        <a:p>
          <a:pPr algn="r"/>
          <a:fld id="{85D1069F-7E64-448A-A617-74C1BB4FD2E4}" type="TxLink">
            <a:rPr kumimoji="1" lang="en-US" altLang="en-US" sz="740" b="0" i="0" u="none" strike="noStrike">
              <a:solidFill>
                <a:srgbClr val="000000"/>
              </a:solidFill>
              <a:latin typeface="ＭＳ 明朝" panose="02020609040205080304" pitchFamily="17" charset="-128"/>
              <a:ea typeface="游ゴシック"/>
            </a:rPr>
            <a:pPr algn="r"/>
            <a:t> </a:t>
          </a:fld>
          <a:endParaRPr kumimoji="1" lang="ja-JP" altLang="en-US" sz="740">
            <a:solidFill>
              <a:srgbClr val="000000"/>
            </a:solidFill>
            <a:latin typeface="ＭＳ 明朝" panose="02020609040205080304" pitchFamily="17" charset="-128"/>
          </a:endParaRPr>
        </a:p>
      </xdr:txBody>
    </xdr:sp>
    <xdr:clientData/>
  </xdr:twoCellAnchor>
  <xdr:twoCellAnchor editAs="absolute">
    <xdr:from>
      <xdr:col>4</xdr:col>
      <xdr:colOff>498979</xdr:colOff>
      <xdr:row>1</xdr:row>
      <xdr:rowOff>3371754</xdr:rowOff>
    </xdr:from>
    <xdr:to>
      <xdr:col>5</xdr:col>
      <xdr:colOff>585502</xdr:colOff>
      <xdr:row>2</xdr:row>
      <xdr:rowOff>54431</xdr:rowOff>
    </xdr:to>
    <xdr:sp macro="" textlink="印字値!$E$24">
      <xdr:nvSpPr>
        <xdr:cNvPr id="25" name="付表二20">
          <a:extLst>
            <a:ext uri="{FF2B5EF4-FFF2-40B4-BE49-F238E27FC236}">
              <a16:creationId xmlns:a16="http://schemas.microsoft.com/office/drawing/2014/main" id="{2C82CED9-1B25-8E8C-CA8A-7A3EC6F508F9}"/>
            </a:ext>
          </a:extLst>
        </xdr:cNvPr>
        <xdr:cNvSpPr txBox="1"/>
      </xdr:nvSpPr>
      <xdr:spPr>
        <a:xfrm>
          <a:off x="3150739" y="7120794"/>
          <a:ext cx="749463" cy="431717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0" tIns="0" rIns="0" bIns="0" rtlCol="0" anchor="ctr">
          <a:normAutofit/>
        </a:bodyPr>
        <a:lstStyle/>
        <a:p>
          <a:pPr algn="r"/>
          <a:fld id="{97C71DD3-BD20-499A-A927-369DBD63167B}" type="TxLink">
            <a:rPr kumimoji="1" lang="en-US" altLang="en-US" sz="740" b="0" i="0" u="none" strike="noStrike">
              <a:solidFill>
                <a:srgbClr val="000000"/>
              </a:solidFill>
              <a:latin typeface="ＭＳ 明朝" panose="02020609040205080304" pitchFamily="17" charset="-128"/>
              <a:ea typeface="游ゴシック"/>
            </a:rPr>
            <a:pPr algn="r"/>
            <a:t> </a:t>
          </a:fld>
          <a:endParaRPr kumimoji="1" lang="ja-JP" altLang="en-US" sz="740">
            <a:solidFill>
              <a:srgbClr val="000000"/>
            </a:solidFill>
            <a:latin typeface="ＭＳ 明朝" panose="02020609040205080304" pitchFamily="17" charset="-128"/>
          </a:endParaRPr>
        </a:p>
      </xdr:txBody>
    </xdr:sp>
    <xdr:clientData/>
  </xdr:twoCellAnchor>
  <xdr:twoCellAnchor editAs="absolute">
    <xdr:from>
      <xdr:col>4</xdr:col>
      <xdr:colOff>498979</xdr:colOff>
      <xdr:row>2</xdr:row>
      <xdr:rowOff>125538</xdr:rowOff>
    </xdr:from>
    <xdr:to>
      <xdr:col>5</xdr:col>
      <xdr:colOff>585502</xdr:colOff>
      <xdr:row>2</xdr:row>
      <xdr:rowOff>552176</xdr:rowOff>
    </xdr:to>
    <xdr:sp macro="" textlink="印字値!$E$25">
      <xdr:nvSpPr>
        <xdr:cNvPr id="26" name="付表二21">
          <a:extLst>
            <a:ext uri="{FF2B5EF4-FFF2-40B4-BE49-F238E27FC236}">
              <a16:creationId xmlns:a16="http://schemas.microsoft.com/office/drawing/2014/main" id="{E325D147-92A8-96E2-ED51-944BB991B7FD}"/>
            </a:ext>
          </a:extLst>
        </xdr:cNvPr>
        <xdr:cNvSpPr txBox="1"/>
      </xdr:nvSpPr>
      <xdr:spPr>
        <a:xfrm>
          <a:off x="3150739" y="7623618"/>
          <a:ext cx="749463" cy="426638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0" tIns="0" rIns="0" bIns="0" rtlCol="0" anchor="ctr">
          <a:normAutofit/>
        </a:bodyPr>
        <a:lstStyle/>
        <a:p>
          <a:pPr algn="r"/>
          <a:fld id="{71E996A7-009F-4DE6-835C-DF096B5D9548}" type="TxLink">
            <a:rPr kumimoji="1" lang="en-US" altLang="en-US" sz="740" b="0" i="0" u="none" strike="noStrike">
              <a:solidFill>
                <a:srgbClr val="000000"/>
              </a:solidFill>
              <a:latin typeface="ＭＳ 明朝" panose="02020609040205080304" pitchFamily="17" charset="-128"/>
              <a:ea typeface="游ゴシック"/>
            </a:rPr>
            <a:pPr algn="r"/>
            <a:t> </a:t>
          </a:fld>
          <a:endParaRPr kumimoji="1" lang="ja-JP" altLang="en-US" sz="740">
            <a:solidFill>
              <a:srgbClr val="000000"/>
            </a:solidFill>
            <a:latin typeface="ＭＳ 明朝" panose="02020609040205080304" pitchFamily="17" charset="-128"/>
          </a:endParaRPr>
        </a:p>
      </xdr:txBody>
    </xdr:sp>
    <xdr:clientData/>
  </xdr:twoCellAnchor>
  <xdr:twoCellAnchor editAs="absolute">
    <xdr:from>
      <xdr:col>4</xdr:col>
      <xdr:colOff>498979</xdr:colOff>
      <xdr:row>2</xdr:row>
      <xdr:rowOff>623282</xdr:rowOff>
    </xdr:from>
    <xdr:to>
      <xdr:col>5</xdr:col>
      <xdr:colOff>585502</xdr:colOff>
      <xdr:row>2</xdr:row>
      <xdr:rowOff>1054999</xdr:rowOff>
    </xdr:to>
    <xdr:sp macro="" textlink="印字値!$E$26">
      <xdr:nvSpPr>
        <xdr:cNvPr id="27" name="付表二22">
          <a:extLst>
            <a:ext uri="{FF2B5EF4-FFF2-40B4-BE49-F238E27FC236}">
              <a16:creationId xmlns:a16="http://schemas.microsoft.com/office/drawing/2014/main" id="{6F3D13F1-E32E-C05F-7859-B281CC9C44C6}"/>
            </a:ext>
          </a:extLst>
        </xdr:cNvPr>
        <xdr:cNvSpPr txBox="1"/>
      </xdr:nvSpPr>
      <xdr:spPr>
        <a:xfrm>
          <a:off x="3150739" y="8121362"/>
          <a:ext cx="749463" cy="431717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0" tIns="0" rIns="0" bIns="0" rtlCol="0" anchor="ctr">
          <a:normAutofit/>
        </a:bodyPr>
        <a:lstStyle/>
        <a:p>
          <a:pPr algn="r"/>
          <a:fld id="{D67D4461-CD2B-4338-8A07-86BB07390A6A}" type="TxLink">
            <a:rPr kumimoji="1" lang="en-US" altLang="en-US" sz="740" b="0" i="0" u="none" strike="noStrike">
              <a:solidFill>
                <a:srgbClr val="000000"/>
              </a:solidFill>
              <a:latin typeface="ＭＳ 明朝" panose="02020609040205080304" pitchFamily="17" charset="-128"/>
              <a:ea typeface="游ゴシック"/>
            </a:rPr>
            <a:pPr algn="r"/>
            <a:t> </a:t>
          </a:fld>
          <a:endParaRPr kumimoji="1" lang="ja-JP" altLang="en-US" sz="740">
            <a:solidFill>
              <a:srgbClr val="000000"/>
            </a:solidFill>
            <a:latin typeface="ＭＳ 明朝" panose="02020609040205080304" pitchFamily="17" charset="-128"/>
          </a:endParaRPr>
        </a:p>
      </xdr:txBody>
    </xdr:sp>
    <xdr:clientData/>
  </xdr:twoCellAnchor>
  <xdr:twoCellAnchor editAs="absolute">
    <xdr:from>
      <xdr:col>9</xdr:col>
      <xdr:colOff>462543</xdr:colOff>
      <xdr:row>1</xdr:row>
      <xdr:rowOff>2371186</xdr:rowOff>
    </xdr:from>
    <xdr:to>
      <xdr:col>10</xdr:col>
      <xdr:colOff>543968</xdr:colOff>
      <xdr:row>1</xdr:row>
      <xdr:rowOff>2924800</xdr:rowOff>
    </xdr:to>
    <xdr:sp macro="" textlink="印字値!$E$27">
      <xdr:nvSpPr>
        <xdr:cNvPr id="28" name="付表二23">
          <a:extLst>
            <a:ext uri="{FF2B5EF4-FFF2-40B4-BE49-F238E27FC236}">
              <a16:creationId xmlns:a16="http://schemas.microsoft.com/office/drawing/2014/main" id="{7FCDF576-7047-C45C-CEE2-FE4C71401E82}"/>
            </a:ext>
          </a:extLst>
        </xdr:cNvPr>
        <xdr:cNvSpPr txBox="1"/>
      </xdr:nvSpPr>
      <xdr:spPr>
        <a:xfrm>
          <a:off x="6429003" y="6120226"/>
          <a:ext cx="744365" cy="553614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0" tIns="0" rIns="0" bIns="0" rtlCol="0" anchor="ctr">
          <a:normAutofit/>
        </a:bodyPr>
        <a:lstStyle/>
        <a:p>
          <a:pPr algn="r"/>
          <a:fld id="{5AF473E6-D7FF-4296-8059-6FA87FE5EBC9}" type="TxLink">
            <a:rPr kumimoji="1" lang="en-US" altLang="en-US" sz="740" b="0" i="0" u="none" strike="noStrike">
              <a:solidFill>
                <a:srgbClr val="000000"/>
              </a:solidFill>
              <a:latin typeface="ＭＳ 明朝" panose="02020609040205080304" pitchFamily="17" charset="-128"/>
              <a:ea typeface="游ゴシック"/>
            </a:rPr>
            <a:pPr algn="r"/>
            <a:t> </a:t>
          </a:fld>
          <a:endParaRPr kumimoji="1" lang="ja-JP" altLang="en-US" sz="740">
            <a:solidFill>
              <a:srgbClr val="000000"/>
            </a:solidFill>
            <a:latin typeface="ＭＳ 明朝" panose="02020609040205080304" pitchFamily="17" charset="-128"/>
          </a:endParaRPr>
        </a:p>
      </xdr:txBody>
    </xdr:sp>
    <xdr:clientData/>
  </xdr:twoCellAnchor>
  <xdr:twoCellAnchor editAs="absolute">
    <xdr:from>
      <xdr:col>9</xdr:col>
      <xdr:colOff>462543</xdr:colOff>
      <xdr:row>1</xdr:row>
      <xdr:rowOff>2995906</xdr:rowOff>
    </xdr:from>
    <xdr:to>
      <xdr:col>10</xdr:col>
      <xdr:colOff>543968</xdr:colOff>
      <xdr:row>1</xdr:row>
      <xdr:rowOff>3554599</xdr:rowOff>
    </xdr:to>
    <xdr:sp macro="" textlink="印字値!$E$28">
      <xdr:nvSpPr>
        <xdr:cNvPr id="29" name="付表二24">
          <a:extLst>
            <a:ext uri="{FF2B5EF4-FFF2-40B4-BE49-F238E27FC236}">
              <a16:creationId xmlns:a16="http://schemas.microsoft.com/office/drawing/2014/main" id="{4D50BB27-4153-D626-AFE4-FDAF8A829C7E}"/>
            </a:ext>
          </a:extLst>
        </xdr:cNvPr>
        <xdr:cNvSpPr txBox="1"/>
      </xdr:nvSpPr>
      <xdr:spPr>
        <a:xfrm>
          <a:off x="6429003" y="6744946"/>
          <a:ext cx="744365" cy="558693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0" tIns="0" rIns="0" bIns="0" rtlCol="0" anchor="ctr">
          <a:normAutofit/>
        </a:bodyPr>
        <a:lstStyle/>
        <a:p>
          <a:pPr algn="r"/>
          <a:fld id="{25BF7256-9118-4C15-B703-9EBCFD791135}" type="TxLink">
            <a:rPr kumimoji="1" lang="en-US" altLang="en-US" sz="660" b="0" i="0" u="none" strike="noStrike">
              <a:solidFill>
                <a:srgbClr val="000000"/>
              </a:solidFill>
              <a:latin typeface="ＭＳ 明朝" panose="02020609040205080304" pitchFamily="17" charset="-128"/>
              <a:ea typeface="游ゴシック"/>
            </a:rPr>
            <a:pPr algn="r"/>
            <a:t> </a:t>
          </a:fld>
          <a:endParaRPr kumimoji="1" lang="ja-JP" altLang="en-US" sz="660">
            <a:solidFill>
              <a:srgbClr val="000000"/>
            </a:solidFill>
            <a:latin typeface="ＭＳ 明朝" panose="02020609040205080304" pitchFamily="17" charset="-128"/>
          </a:endParaRPr>
        </a:p>
      </xdr:txBody>
    </xdr:sp>
    <xdr:clientData/>
  </xdr:twoCellAnchor>
  <xdr:twoCellAnchor editAs="absolute">
    <xdr:from>
      <xdr:col>9</xdr:col>
      <xdr:colOff>462543</xdr:colOff>
      <xdr:row>1</xdr:row>
      <xdr:rowOff>3625705</xdr:rowOff>
    </xdr:from>
    <xdr:to>
      <xdr:col>10</xdr:col>
      <xdr:colOff>543968</xdr:colOff>
      <xdr:row>2</xdr:row>
      <xdr:rowOff>430279</xdr:rowOff>
    </xdr:to>
    <xdr:sp macro="" textlink="印字値!$E$29">
      <xdr:nvSpPr>
        <xdr:cNvPr id="30" name="付表二25">
          <a:extLst>
            <a:ext uri="{FF2B5EF4-FFF2-40B4-BE49-F238E27FC236}">
              <a16:creationId xmlns:a16="http://schemas.microsoft.com/office/drawing/2014/main" id="{B3DF4E3F-F863-7139-6BDC-725ADC6B6A15}"/>
            </a:ext>
          </a:extLst>
        </xdr:cNvPr>
        <xdr:cNvSpPr txBox="1"/>
      </xdr:nvSpPr>
      <xdr:spPr>
        <a:xfrm>
          <a:off x="6429003" y="7374745"/>
          <a:ext cx="744365" cy="553614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0" tIns="0" rIns="0" bIns="0" rtlCol="0" anchor="ctr">
          <a:normAutofit/>
        </a:bodyPr>
        <a:lstStyle/>
        <a:p>
          <a:pPr algn="r"/>
          <a:fld id="{127E3BA7-2678-4DC8-BB02-0029DDD7E6B4}" type="TxLink">
            <a:rPr kumimoji="1" lang="en-US" altLang="en-US" sz="740" b="0" i="0" u="none" strike="noStrike">
              <a:solidFill>
                <a:srgbClr val="000000"/>
              </a:solidFill>
              <a:latin typeface="ＭＳ 明朝" panose="02020609040205080304" pitchFamily="17" charset="-128"/>
              <a:ea typeface="游ゴシック"/>
            </a:rPr>
            <a:pPr algn="r"/>
            <a:t> </a:t>
          </a:fld>
          <a:endParaRPr kumimoji="1" lang="ja-JP" altLang="en-US" sz="740">
            <a:solidFill>
              <a:srgbClr val="000000"/>
            </a:solidFill>
            <a:latin typeface="ＭＳ 明朝" panose="02020609040205080304" pitchFamily="17" charset="-128"/>
          </a:endParaRPr>
        </a:p>
      </xdr:txBody>
    </xdr:sp>
    <xdr:clientData/>
  </xdr:twoCellAnchor>
  <xdr:twoCellAnchor editAs="absolute">
    <xdr:from>
      <xdr:col>9</xdr:col>
      <xdr:colOff>462543</xdr:colOff>
      <xdr:row>2</xdr:row>
      <xdr:rowOff>501385</xdr:rowOff>
    </xdr:from>
    <xdr:to>
      <xdr:col>10</xdr:col>
      <xdr:colOff>543968</xdr:colOff>
      <xdr:row>2</xdr:row>
      <xdr:rowOff>1054999</xdr:rowOff>
    </xdr:to>
    <xdr:sp macro="" textlink="印字値!$E$30">
      <xdr:nvSpPr>
        <xdr:cNvPr id="31" name="付表二26">
          <a:extLst>
            <a:ext uri="{FF2B5EF4-FFF2-40B4-BE49-F238E27FC236}">
              <a16:creationId xmlns:a16="http://schemas.microsoft.com/office/drawing/2014/main" id="{643E7561-F0F8-C2FA-9838-EC4576619390}"/>
            </a:ext>
          </a:extLst>
        </xdr:cNvPr>
        <xdr:cNvSpPr txBox="1"/>
      </xdr:nvSpPr>
      <xdr:spPr>
        <a:xfrm>
          <a:off x="6429003" y="7999465"/>
          <a:ext cx="744365" cy="553614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0" tIns="0" rIns="0" bIns="0" rtlCol="0" anchor="ctr">
          <a:normAutofit/>
        </a:bodyPr>
        <a:lstStyle/>
        <a:p>
          <a:pPr algn="r"/>
          <a:fld id="{9DBB7003-1651-4182-A117-365839B45DDA}" type="TxLink">
            <a:rPr kumimoji="1" lang="en-US" altLang="en-US" sz="740" b="0" i="0" u="none" strike="noStrike">
              <a:solidFill>
                <a:srgbClr val="000000"/>
              </a:solidFill>
              <a:latin typeface="ＭＳ 明朝" panose="02020609040205080304" pitchFamily="17" charset="-128"/>
              <a:ea typeface="游ゴシック"/>
            </a:rPr>
            <a:pPr algn="r"/>
            <a:t> </a:t>
          </a:fld>
          <a:endParaRPr kumimoji="1" lang="ja-JP" altLang="en-US" sz="740">
            <a:solidFill>
              <a:srgbClr val="000000"/>
            </a:solidFill>
            <a:latin typeface="ＭＳ 明朝" panose="02020609040205080304" pitchFamily="17" charset="-128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nta.go.jp/law/tsutatsu/kihon/hojin/16/16_01_02.htm" TargetMode="External"/><Relationship Id="rId3" Type="http://schemas.openxmlformats.org/officeDocument/2006/relationships/hyperlink" Target="https://www.nta.go.jp/taxes/tetsuzuki/shinsei/annai/hojin/shinkoku/itiran2026/pdf/03%2801%29-ki.pdf" TargetMode="External"/><Relationship Id="rId7" Type="http://schemas.openxmlformats.org/officeDocument/2006/relationships/hyperlink" Target="https://www.nta.go.jp/taxes/tetsuzuki/shinsei/annai/hojin/shinkoku/itiran2026/pdf/03%2801%29-f2-ki.pdf" TargetMode="External"/><Relationship Id="rId2" Type="http://schemas.openxmlformats.org/officeDocument/2006/relationships/hyperlink" Target="https://www.nta.go.jp/taxes/tetsuzuki/shinsei/annai/hojin/shinkoku/itiran2026/pdf/03%2801%29.pdf" TargetMode="External"/><Relationship Id="rId1" Type="http://schemas.openxmlformats.org/officeDocument/2006/relationships/hyperlink" Target="https://www.nta.go.jp/taxes/tetsuzuki/shinsei/annai/hojin/shinkoku/itiran2026/01.htm" TargetMode="External"/><Relationship Id="rId6" Type="http://schemas.openxmlformats.org/officeDocument/2006/relationships/hyperlink" Target="https://www.nta.go.jp/taxes/tetsuzuki/shinsei/annai/hojin/shinkoku/itiran2026/pdf/03%2801%29-f2.pdf" TargetMode="External"/><Relationship Id="rId11" Type="http://schemas.openxmlformats.org/officeDocument/2006/relationships/printerSettings" Target="../printerSettings/printerSettings10.bin"/><Relationship Id="rId5" Type="http://schemas.openxmlformats.org/officeDocument/2006/relationships/hyperlink" Target="https://www.nta.go.jp/taxes/tetsuzuki/shinsei/annai/hojin/shinkoku/itiran2026/pdf/03%2801%29-f1-ki.pdf" TargetMode="External"/><Relationship Id="rId10" Type="http://schemas.openxmlformats.org/officeDocument/2006/relationships/hyperlink" Target="https://laws.e-gov.go.jp/law/337AC0000000066" TargetMode="External"/><Relationship Id="rId4" Type="http://schemas.openxmlformats.org/officeDocument/2006/relationships/hyperlink" Target="https://www.nta.go.jp/taxes/tetsuzuki/shinsei/annai/hojin/shinkoku/itiran2026/pdf/03%2801%29-f1.pdf" TargetMode="External"/><Relationship Id="rId9" Type="http://schemas.openxmlformats.org/officeDocument/2006/relationships/hyperlink" Target="https://laws.e-gov.go.jp/law/340AC000000003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13D505-F7FB-4B5B-B9C8-FF32EA550783}">
  <sheetPr>
    <tabColor rgb="FF17365D"/>
    <pageSetUpPr fitToPage="1"/>
  </sheetPr>
  <dimension ref="A1:H28"/>
  <sheetViews>
    <sheetView showGridLines="0" tabSelected="1" zoomScale="90" zoomScaleNormal="90" workbookViewId="0">
      <selection sqref="A1:H1"/>
    </sheetView>
  </sheetViews>
  <sheetFormatPr defaultRowHeight="18"/>
  <cols>
    <col min="1" max="8" width="17.69921875" customWidth="1"/>
  </cols>
  <sheetData>
    <row r="1" spans="1:8" ht="28.8">
      <c r="A1" s="34" t="s">
        <v>636</v>
      </c>
      <c r="B1" s="8"/>
      <c r="C1" s="8"/>
      <c r="D1" s="8"/>
      <c r="E1" s="8"/>
      <c r="F1" s="8"/>
      <c r="G1" s="8"/>
      <c r="H1" s="8"/>
    </row>
    <row r="2" spans="1:8">
      <c r="A2" s="35" t="s">
        <v>637</v>
      </c>
      <c r="B2" s="8"/>
      <c r="C2" s="8"/>
      <c r="D2" s="8"/>
      <c r="E2" s="8"/>
      <c r="F2" s="8"/>
      <c r="G2" s="8"/>
      <c r="H2" s="8"/>
    </row>
    <row r="3" spans="1:8">
      <c r="A3" s="10"/>
      <c r="B3" s="10"/>
      <c r="C3" s="10"/>
      <c r="D3" s="10"/>
      <c r="E3" s="10"/>
      <c r="F3" s="10"/>
      <c r="G3" s="10"/>
      <c r="H3" s="10"/>
    </row>
    <row r="4" spans="1:8" ht="22.95" customHeight="1">
      <c r="A4" s="11" t="s">
        <v>638</v>
      </c>
      <c r="B4" s="11"/>
      <c r="C4" s="11"/>
      <c r="D4" s="11"/>
      <c r="E4" s="11"/>
      <c r="F4" s="11"/>
      <c r="G4" s="11"/>
      <c r="H4" s="11"/>
    </row>
    <row r="5" spans="1:8" ht="21.6">
      <c r="A5" s="12" t="s">
        <v>639</v>
      </c>
      <c r="B5" s="12"/>
      <c r="C5" s="12"/>
      <c r="D5" s="12"/>
      <c r="E5" s="12"/>
      <c r="F5" s="36" t="str">
        <f>IFERROR(IF(cfg_calculation_ready,m_08,""),"")</f>
        <v/>
      </c>
      <c r="G5" s="37"/>
      <c r="H5" s="37"/>
    </row>
    <row r="6" spans="1:8" ht="21.6">
      <c r="A6" s="12" t="s">
        <v>640</v>
      </c>
      <c r="B6" s="12"/>
      <c r="C6" s="12"/>
      <c r="D6" s="12"/>
      <c r="E6" s="12"/>
      <c r="F6" s="36" t="str">
        <f>IFERROR(IF(cfg_calculation_ready,m_21,""),"")</f>
        <v/>
      </c>
      <c r="G6" s="37"/>
      <c r="H6" s="37"/>
    </row>
    <row r="7" spans="1:8" ht="21.6">
      <c r="A7" s="12" t="s">
        <v>641</v>
      </c>
      <c r="B7" s="12"/>
      <c r="C7" s="12"/>
      <c r="D7" s="12"/>
      <c r="E7" s="12"/>
      <c r="F7" s="36" t="str">
        <f>IFERROR(IF(cfg_calculation_ready,f1_34,""),"")</f>
        <v/>
      </c>
      <c r="G7" s="37"/>
      <c r="H7" s="37"/>
    </row>
    <row r="8" spans="1:8" ht="21.6">
      <c r="A8" s="12" t="s">
        <v>642</v>
      </c>
      <c r="B8" s="12"/>
      <c r="C8" s="12"/>
      <c r="D8" s="12"/>
      <c r="E8" s="12"/>
      <c r="F8" s="36" t="str">
        <f>IFERROR(IF(cfg_calculation_ready,m_28,""),"")</f>
        <v/>
      </c>
      <c r="G8" s="37"/>
      <c r="H8" s="37"/>
    </row>
    <row r="9" spans="1:8">
      <c r="A9" s="10"/>
      <c r="B9" s="10"/>
      <c r="C9" s="10"/>
      <c r="D9" s="10"/>
      <c r="E9" s="10"/>
      <c r="F9" s="10"/>
      <c r="G9" s="10"/>
      <c r="H9" s="10"/>
    </row>
    <row r="10" spans="1:8" ht="22.95" customHeight="1">
      <c r="A10" s="11" t="s">
        <v>643</v>
      </c>
      <c r="B10" s="11"/>
      <c r="C10" s="11"/>
      <c r="D10" s="11"/>
      <c r="E10" s="11"/>
      <c r="F10" s="11"/>
      <c r="G10" s="11"/>
      <c r="H10" s="11"/>
    </row>
    <row r="11" spans="1:8">
      <c r="A11" s="12" t="s">
        <v>644</v>
      </c>
      <c r="B11" s="12"/>
      <c r="C11" s="12"/>
      <c r="D11" s="12"/>
      <c r="E11" s="12"/>
      <c r="F11" s="38" t="str">
        <f>IFERROR(IF(cfg_applicable,"OK：令和8年様式の対象","要確認：事業年度終了日が令和8年4月1日前"),"")</f>
        <v>OK：令和8年様式の対象</v>
      </c>
      <c r="G11" s="38"/>
      <c r="H11" s="38"/>
    </row>
    <row r="12" spans="1:8">
      <c r="A12" s="12" t="s">
        <v>645</v>
      </c>
      <c r="B12" s="12"/>
      <c r="C12" s="12"/>
      <c r="D12" s="12"/>
      <c r="E12" s="12"/>
      <c r="F12" s="38" t="str">
        <f>IFERROR(IF(inp_special="未確認","要確認：別表二の判定結果18を確認",IF(inp_special="はい","OK：別表二で特定同族会社","対象外：別表三(一)は使用しません")),"")</f>
        <v>要確認：別表二の判定結果18を確認</v>
      </c>
      <c r="G12" s="38"/>
      <c r="H12" s="38"/>
    </row>
    <row r="13" spans="1:8">
      <c r="A13" s="12" t="s">
        <v>646</v>
      </c>
      <c r="B13" s="12"/>
      <c r="C13" s="12"/>
      <c r="D13" s="12"/>
      <c r="E13" s="12"/>
      <c r="F13" s="38" t="str">
        <f>IFERROR(IF(NOT(cfg_class_selected),"要確認：中小企業者等区分を選択",IF(NOT(cfg_group_selected),"要確認：通算法人区分を選択",IF(inp_group="はい","付表二を使用","非通算法人：付表二の数値は0"))),"")</f>
        <v>要確認：中小企業者等区分を選択</v>
      </c>
      <c r="G13" s="38"/>
      <c r="H13" s="38"/>
    </row>
    <row r="14" spans="1:8">
      <c r="A14" s="12" t="s">
        <v>647</v>
      </c>
      <c r="B14" s="12"/>
      <c r="C14" s="12"/>
      <c r="D14" s="12"/>
      <c r="E14" s="12"/>
      <c r="F14" s="38" t="str">
        <f>IFERROR(IF(inp_months="","要確認",inp_months&amp;"か月"),"")</f>
        <v>12か月</v>
      </c>
      <c r="G14" s="38"/>
      <c r="H14" s="38"/>
    </row>
    <row r="15" spans="1:8">
      <c r="A15" s="12" t="s">
        <v>648</v>
      </c>
      <c r="B15" s="12"/>
      <c r="C15" s="12"/>
      <c r="D15" s="12"/>
      <c r="E15" s="12"/>
      <c r="F15" s="38" t="str">
        <f>IFERROR(IF(AND(cfg_exact_domain_ok,cfg_exact_math_valid,cfg_f2_input_valid),"OK","要確認：入力の絶対値合計1,000兆円以下・整数・付表二整合を確認"),"")</f>
        <v>OK</v>
      </c>
      <c r="G15" s="38"/>
      <c r="H15" s="38"/>
    </row>
    <row r="16" spans="1:8" ht="22.95" customHeight="1">
      <c r="A16" s="39" t="s">
        <v>649</v>
      </c>
      <c r="B16" s="39"/>
      <c r="C16" s="39"/>
      <c r="D16" s="39"/>
      <c r="E16" s="39"/>
      <c r="F16" s="39"/>
      <c r="G16" s="39"/>
      <c r="H16" s="39"/>
    </row>
    <row r="17" spans="1:8" ht="24" customHeight="1">
      <c r="A17" s="40" t="s">
        <v>650</v>
      </c>
      <c r="B17" s="40"/>
      <c r="C17" s="40"/>
      <c r="D17" s="40"/>
      <c r="E17" s="40"/>
      <c r="F17" s="40"/>
      <c r="G17" s="40"/>
      <c r="H17" s="40"/>
    </row>
    <row r="18" spans="1:8" ht="24" customHeight="1">
      <c r="A18" s="40" t="s">
        <v>651</v>
      </c>
      <c r="B18" s="40"/>
      <c r="C18" s="40"/>
      <c r="D18" s="40"/>
      <c r="E18" s="40"/>
      <c r="F18" s="40"/>
      <c r="G18" s="40"/>
      <c r="H18" s="40"/>
    </row>
    <row r="19" spans="1:8" ht="24" customHeight="1">
      <c r="A19" s="40" t="s">
        <v>652</v>
      </c>
      <c r="B19" s="40"/>
      <c r="C19" s="40"/>
      <c r="D19" s="40"/>
      <c r="E19" s="40"/>
      <c r="F19" s="40"/>
      <c r="G19" s="40"/>
      <c r="H19" s="40"/>
    </row>
    <row r="20" spans="1:8" ht="24" customHeight="1">
      <c r="A20" s="40" t="s">
        <v>653</v>
      </c>
      <c r="B20" s="40"/>
      <c r="C20" s="40"/>
      <c r="D20" s="40"/>
      <c r="E20" s="40"/>
      <c r="F20" s="40"/>
      <c r="G20" s="40"/>
      <c r="H20" s="40"/>
    </row>
    <row r="21" spans="1:8" ht="24" customHeight="1">
      <c r="A21" s="40" t="s">
        <v>654</v>
      </c>
      <c r="B21" s="40"/>
      <c r="C21" s="40"/>
      <c r="D21" s="40"/>
      <c r="E21" s="40"/>
      <c r="F21" s="40"/>
      <c r="G21" s="40"/>
      <c r="H21" s="40"/>
    </row>
    <row r="22" spans="1:8">
      <c r="A22" s="10"/>
      <c r="B22" s="10"/>
      <c r="C22" s="10"/>
      <c r="D22" s="10"/>
      <c r="E22" s="10"/>
      <c r="F22" s="10"/>
      <c r="G22" s="10"/>
      <c r="H22" s="10"/>
    </row>
    <row r="23" spans="1:8" ht="22.95" customHeight="1">
      <c r="A23" s="11" t="s">
        <v>655</v>
      </c>
      <c r="B23" s="11"/>
      <c r="C23" s="11"/>
      <c r="D23" s="11"/>
      <c r="E23" s="11"/>
      <c r="F23" s="11"/>
      <c r="G23" s="11"/>
      <c r="H23" s="11"/>
    </row>
    <row r="24" spans="1:8">
      <c r="A24" s="41" t="s">
        <v>656</v>
      </c>
      <c r="B24" s="41" t="s">
        <v>657</v>
      </c>
      <c r="C24" s="41" t="s">
        <v>658</v>
      </c>
      <c r="D24" s="41" t="s">
        <v>659</v>
      </c>
      <c r="E24" s="41" t="s">
        <v>660</v>
      </c>
      <c r="F24" s="41" t="s">
        <v>661</v>
      </c>
      <c r="G24" s="41" t="s">
        <v>662</v>
      </c>
      <c r="H24" s="41" t="s">
        <v>663</v>
      </c>
    </row>
    <row r="25" spans="1:8">
      <c r="A25" s="10"/>
      <c r="B25" s="10"/>
      <c r="C25" s="10"/>
      <c r="D25" s="10"/>
      <c r="E25" s="10"/>
      <c r="F25" s="10"/>
      <c r="G25" s="10"/>
      <c r="H25" s="10"/>
    </row>
    <row r="26" spans="1:8">
      <c r="A26" s="42" t="s">
        <v>664</v>
      </c>
      <c r="B26" s="43"/>
      <c r="C26" s="43"/>
      <c r="D26" s="43"/>
      <c r="E26" s="43"/>
      <c r="F26" s="43"/>
      <c r="G26" s="43"/>
      <c r="H26" s="43"/>
    </row>
    <row r="27" spans="1:8">
      <c r="A27" s="43"/>
      <c r="B27" s="43"/>
      <c r="C27" s="43"/>
      <c r="D27" s="43"/>
      <c r="E27" s="43"/>
      <c r="F27" s="43"/>
      <c r="G27" s="43"/>
      <c r="H27" s="43"/>
    </row>
    <row r="28" spans="1:8">
      <c r="A28" s="43"/>
      <c r="B28" s="43"/>
      <c r="C28" s="43"/>
      <c r="D28" s="43"/>
      <c r="E28" s="43"/>
      <c r="F28" s="43"/>
      <c r="G28" s="43"/>
      <c r="H28" s="43"/>
    </row>
  </sheetData>
  <sheetProtection sheet="1" objects="1" scenarios="1"/>
  <mergeCells count="30">
    <mergeCell ref="A20:H20"/>
    <mergeCell ref="A21:H21"/>
    <mergeCell ref="A23:H23"/>
    <mergeCell ref="A26:H28"/>
    <mergeCell ref="A15:E15"/>
    <mergeCell ref="F15:H15"/>
    <mergeCell ref="A16:H16"/>
    <mergeCell ref="A17:H17"/>
    <mergeCell ref="A18:H18"/>
    <mergeCell ref="A19:H19"/>
    <mergeCell ref="A12:E12"/>
    <mergeCell ref="F12:H12"/>
    <mergeCell ref="A13:E13"/>
    <mergeCell ref="F13:H13"/>
    <mergeCell ref="A14:E14"/>
    <mergeCell ref="F14:H14"/>
    <mergeCell ref="A7:E7"/>
    <mergeCell ref="F7:H7"/>
    <mergeCell ref="A8:E8"/>
    <mergeCell ref="F8:H8"/>
    <mergeCell ref="A10:H10"/>
    <mergeCell ref="A11:E11"/>
    <mergeCell ref="F11:H11"/>
    <mergeCell ref="A1:H1"/>
    <mergeCell ref="A2:H2"/>
    <mergeCell ref="A4:H4"/>
    <mergeCell ref="A5:E5"/>
    <mergeCell ref="F5:H5"/>
    <mergeCell ref="A6:E6"/>
    <mergeCell ref="F6:H6"/>
  </mergeCells>
  <phoneticPr fontId="4"/>
  <hyperlinks>
    <hyperlink ref="A24" location="'入力'!A1" display="入力" xr:uid="{9D94F98E-B2ED-42F8-86E2-E50E1BF4241E}"/>
    <hyperlink ref="B24" location="'別表三一_計算'!A1" display="主表計算" xr:uid="{04C55182-17C5-4BE9-974C-2C4EAD209890}"/>
    <hyperlink ref="C24" location="'付表一_計算'!A1" display="付表一計算" xr:uid="{0CB2533F-855B-4FC6-8E0F-B0D7CA93002C}"/>
    <hyperlink ref="D24" location="'付表二_計算'!A1" display="付表二計算" xr:uid="{5A7183C1-5A7A-4B5F-94E7-CD3CBDA8C020}"/>
    <hyperlink ref="E24" location="'別表三(一)'!A1" display="別表三(一)" xr:uid="{552744FC-8072-4352-9E3E-2F1F9A1D8881}"/>
    <hyperlink ref="F24" location="'別表三(一)付表一'!A1" display="付表一" xr:uid="{2D23AABA-FD62-410D-A69E-7468CECE426E}"/>
    <hyperlink ref="G24" location="'別表三(一)付表二'!A1" display="付表二" xr:uid="{605C84D0-D1E4-48A8-AB1B-8A847E4B578D}"/>
    <hyperlink ref="H24" location="'検算'!A1" display="検算" xr:uid="{126217D4-6584-4A1F-A77C-685D5C6FAC2B}"/>
  </hyperlinks>
  <printOptions horizontalCentered="1"/>
  <pageMargins left="0.25" right="0.25" top="0.35" bottom="0.35" header="0.3" footer="0.3"/>
  <pageSetup paperSize="9" scale="92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57EDE3-55A9-4EFC-9874-46A3E8307E04}">
  <sheetPr>
    <tabColor rgb="FFFFF2CC"/>
    <pageSetUpPr fitToPage="1"/>
  </sheetPr>
  <dimension ref="A1:E99"/>
  <sheetViews>
    <sheetView showGridLines="0" zoomScale="90" zoomScaleNormal="90" workbookViewId="0">
      <pane ySplit="13" topLeftCell="A14" activePane="bottomLeft" state="frozenSplit"/>
      <selection pane="bottomLeft" sqref="A1:E1"/>
    </sheetView>
  </sheetViews>
  <sheetFormatPr defaultRowHeight="18"/>
  <cols>
    <col min="1" max="1" width="29.69921875" customWidth="1"/>
    <col min="2" max="2" width="32.69921875" customWidth="1"/>
    <col min="3" max="3" width="48.69921875" customWidth="1"/>
    <col min="4" max="4" width="19.69921875" customWidth="1"/>
    <col min="5" max="5" width="29.69921875" customWidth="1"/>
  </cols>
  <sheetData>
    <row r="1" spans="1:5" ht="26.4">
      <c r="A1" s="21" t="s">
        <v>9</v>
      </c>
      <c r="B1" s="22"/>
      <c r="C1" s="22"/>
      <c r="D1" s="22"/>
      <c r="E1" s="22"/>
    </row>
    <row r="2" spans="1:5">
      <c r="A2" s="23" t="s">
        <v>10</v>
      </c>
      <c r="B2" s="22"/>
      <c r="C2" s="22"/>
      <c r="D2" s="22"/>
      <c r="E2" s="22"/>
    </row>
    <row r="3" spans="1:5">
      <c r="A3" s="24"/>
      <c r="B3" s="24"/>
      <c r="C3" s="24"/>
      <c r="D3" s="24"/>
      <c r="E3" s="24"/>
    </row>
    <row r="4" spans="1:5" ht="22.95" customHeight="1">
      <c r="A4" s="11" t="s">
        <v>11</v>
      </c>
      <c r="B4" s="11"/>
      <c r="C4" s="11"/>
      <c r="D4" s="11"/>
      <c r="E4" s="11"/>
    </row>
    <row r="5" spans="1:5">
      <c r="A5" s="12" t="s">
        <v>12</v>
      </c>
      <c r="B5" s="12"/>
      <c r="C5" s="12"/>
      <c r="D5" s="53"/>
      <c r="E5" s="13"/>
    </row>
    <row r="6" spans="1:5">
      <c r="A6" s="12" t="s">
        <v>13</v>
      </c>
      <c r="B6" s="12"/>
      <c r="C6" s="12"/>
      <c r="D6" s="54">
        <f>DATE(2026,4,1)</f>
        <v>46113</v>
      </c>
      <c r="E6" s="13"/>
    </row>
    <row r="7" spans="1:5">
      <c r="A7" s="12" t="s">
        <v>14</v>
      </c>
      <c r="B7" s="12"/>
      <c r="C7" s="12"/>
      <c r="D7" s="54">
        <f>DATE(2027,3,31)</f>
        <v>46477</v>
      </c>
      <c r="E7" s="13"/>
    </row>
    <row r="8" spans="1:5">
      <c r="A8" s="12" t="s">
        <v>15</v>
      </c>
      <c r="B8" s="12"/>
      <c r="C8" s="12"/>
      <c r="D8" s="16">
        <f>IFERROR(IF(OR(D6="",D7="",D7&lt;D6),"",MAX(1,MIN(12,1+--(D7&gt;IF(DAY(EDATE(D6,1))&lt;DAY(D6),EDATE(D6,1),EDATE(D6,1)-1))+--(D7&gt;IF(DAY(EDATE(D6,2))&lt;DAY(D6),EDATE(D6,2),EDATE(D6,2)-1))+--(D7&gt;IF(DAY(EDATE(D6,3))&lt;DAY(D6),EDATE(D6,3),EDATE(D6,3)-1))+--(D7&gt;IF(DAY(EDATE(D6,4))&lt;DAY(D6),EDATE(D6,4),EDATE(D6,4)-1))+--(D7&gt;IF(DAY(EDATE(D6,5))&lt;DAY(D6),EDATE(D6,5),EDATE(D6,5)-1))+--(D7&gt;IF(DAY(EDATE(D6,6))&lt;DAY(D6),EDATE(D6,6),EDATE(D6,6)-1))+--(D7&gt;IF(DAY(EDATE(D6,7))&lt;DAY(D6),EDATE(D6,7),EDATE(D6,7)-1))+--(D7&gt;IF(DAY(EDATE(D6,8))&lt;DAY(D6),EDATE(D6,8),EDATE(D6,8)-1))+--(D7&gt;IF(DAY(EDATE(D6,9))&lt;DAY(D6),EDATE(D6,9),EDATE(D6,9)-1))+--(D7&gt;IF(DAY(EDATE(D6,10))&lt;DAY(D6),EDATE(D6,10),EDATE(D6,10)-1))+--(D7&gt;IF(DAY(EDATE(D6,11))&lt;DAY(D6),EDATE(D6,11),EDATE(D6,11)-1))))),"")</f>
        <v>12</v>
      </c>
      <c r="E8" s="13"/>
    </row>
    <row r="9" spans="1:5">
      <c r="A9" s="12" t="s">
        <v>16</v>
      </c>
      <c r="B9" s="12"/>
      <c r="C9" s="12"/>
      <c r="D9" s="52" t="s">
        <v>757</v>
      </c>
      <c r="E9" s="13"/>
    </row>
    <row r="10" spans="1:5">
      <c r="A10" s="12" t="s">
        <v>17</v>
      </c>
      <c r="B10" s="12"/>
      <c r="C10" s="12"/>
      <c r="D10" s="52" t="s">
        <v>757</v>
      </c>
      <c r="E10" s="13"/>
    </row>
    <row r="11" spans="1:5">
      <c r="A11" s="12" t="s">
        <v>18</v>
      </c>
      <c r="B11" s="12"/>
      <c r="C11" s="12"/>
      <c r="D11" s="52" t="s">
        <v>756</v>
      </c>
      <c r="E11" s="13"/>
    </row>
    <row r="12" spans="1:5">
      <c r="A12" s="24"/>
      <c r="B12" s="24"/>
      <c r="C12" s="24"/>
      <c r="D12" s="17"/>
      <c r="E12" s="24"/>
    </row>
    <row r="13" spans="1:5" ht="22.95" customHeight="1">
      <c r="A13" s="11" t="s">
        <v>19</v>
      </c>
      <c r="B13" s="11"/>
      <c r="C13" s="11"/>
      <c r="D13" s="18"/>
      <c r="E13" s="11"/>
    </row>
    <row r="14" spans="1:5">
      <c r="A14" s="14" t="s">
        <v>20</v>
      </c>
      <c r="B14" s="14" t="s">
        <v>21</v>
      </c>
      <c r="C14" s="14" t="s">
        <v>22</v>
      </c>
      <c r="D14" s="19" t="s">
        <v>23</v>
      </c>
      <c r="E14" s="14" t="s">
        <v>24</v>
      </c>
    </row>
    <row r="15" spans="1:5" ht="31.95" customHeight="1">
      <c r="A15" s="13" t="s">
        <v>25</v>
      </c>
      <c r="B15" s="15" t="s">
        <v>26</v>
      </c>
      <c r="C15" s="15" t="s">
        <v>27</v>
      </c>
      <c r="D15" s="51">
        <v>0</v>
      </c>
      <c r="E15" s="15" t="s">
        <v>28</v>
      </c>
    </row>
    <row r="16" spans="1:5" ht="31.95" customHeight="1">
      <c r="A16" s="13" t="s">
        <v>29</v>
      </c>
      <c r="B16" s="15" t="s">
        <v>30</v>
      </c>
      <c r="C16" s="15" t="s">
        <v>31</v>
      </c>
      <c r="D16" s="51">
        <v>0</v>
      </c>
      <c r="E16" s="15" t="s">
        <v>32</v>
      </c>
    </row>
    <row r="17" spans="1:5" ht="31.95" customHeight="1">
      <c r="A17" s="13" t="s">
        <v>33</v>
      </c>
      <c r="B17" s="15" t="s">
        <v>34</v>
      </c>
      <c r="C17" s="15" t="s">
        <v>35</v>
      </c>
      <c r="D17" s="51">
        <v>0</v>
      </c>
      <c r="E17" s="15" t="s">
        <v>36</v>
      </c>
    </row>
    <row r="18" spans="1:5" ht="31.95" customHeight="1">
      <c r="A18" s="13" t="s">
        <v>37</v>
      </c>
      <c r="B18" s="15" t="s">
        <v>38</v>
      </c>
      <c r="C18" s="15" t="s">
        <v>39</v>
      </c>
      <c r="D18" s="51">
        <v>0</v>
      </c>
      <c r="E18" s="15" t="s">
        <v>40</v>
      </c>
    </row>
    <row r="19" spans="1:5" ht="31.95" customHeight="1">
      <c r="A19" s="13" t="s">
        <v>41</v>
      </c>
      <c r="B19" s="15" t="s">
        <v>42</v>
      </c>
      <c r="C19" s="15" t="s">
        <v>43</v>
      </c>
      <c r="D19" s="51">
        <v>0</v>
      </c>
      <c r="E19" s="15" t="s">
        <v>40</v>
      </c>
    </row>
    <row r="20" spans="1:5" ht="31.95" customHeight="1">
      <c r="A20" s="13" t="s">
        <v>44</v>
      </c>
      <c r="B20" s="15" t="s">
        <v>45</v>
      </c>
      <c r="C20" s="15" t="s">
        <v>45</v>
      </c>
      <c r="D20" s="51">
        <v>0</v>
      </c>
      <c r="E20" s="15" t="s">
        <v>46</v>
      </c>
    </row>
    <row r="21" spans="1:5" ht="31.95" customHeight="1">
      <c r="A21" s="13" t="s">
        <v>47</v>
      </c>
      <c r="B21" s="15" t="s">
        <v>48</v>
      </c>
      <c r="C21" s="15" t="s">
        <v>48</v>
      </c>
      <c r="D21" s="51">
        <v>0</v>
      </c>
      <c r="E21" s="15" t="s">
        <v>49</v>
      </c>
    </row>
    <row r="22" spans="1:5" ht="31.95" customHeight="1">
      <c r="A22" s="13" t="s">
        <v>50</v>
      </c>
      <c r="B22" s="15" t="s">
        <v>51</v>
      </c>
      <c r="C22" s="15" t="s">
        <v>51</v>
      </c>
      <c r="D22" s="51">
        <v>0</v>
      </c>
      <c r="E22" s="15" t="s">
        <v>52</v>
      </c>
    </row>
    <row r="23" spans="1:5" ht="31.95" customHeight="1">
      <c r="A23" s="13" t="s">
        <v>53</v>
      </c>
      <c r="B23" s="15" t="s">
        <v>54</v>
      </c>
      <c r="C23" s="15" t="s">
        <v>54</v>
      </c>
      <c r="D23" s="51">
        <v>0</v>
      </c>
      <c r="E23" s="15"/>
    </row>
    <row r="24" spans="1:5" ht="31.95" customHeight="1">
      <c r="A24" s="13" t="s">
        <v>55</v>
      </c>
      <c r="B24" s="15" t="s">
        <v>56</v>
      </c>
      <c r="C24" s="15" t="s">
        <v>56</v>
      </c>
      <c r="D24" s="51">
        <v>0</v>
      </c>
      <c r="E24" s="15"/>
    </row>
    <row r="25" spans="1:5" ht="31.95" customHeight="1">
      <c r="A25" s="13" t="s">
        <v>57</v>
      </c>
      <c r="B25" s="15" t="s">
        <v>58</v>
      </c>
      <c r="C25" s="15" t="s">
        <v>58</v>
      </c>
      <c r="D25" s="51">
        <v>0</v>
      </c>
      <c r="E25" s="15"/>
    </row>
    <row r="26" spans="1:5" ht="31.95" customHeight="1">
      <c r="A26" s="13" t="s">
        <v>59</v>
      </c>
      <c r="B26" s="15" t="s">
        <v>60</v>
      </c>
      <c r="C26" s="15" t="s">
        <v>60</v>
      </c>
      <c r="D26" s="51">
        <v>0</v>
      </c>
      <c r="E26" s="15"/>
    </row>
    <row r="27" spans="1:5" ht="31.95" customHeight="1">
      <c r="A27" s="13" t="s">
        <v>61</v>
      </c>
      <c r="B27" s="15" t="s">
        <v>62</v>
      </c>
      <c r="C27" s="15" t="s">
        <v>62</v>
      </c>
      <c r="D27" s="51">
        <v>0</v>
      </c>
      <c r="E27" s="15"/>
    </row>
    <row r="28" spans="1:5" ht="31.95" customHeight="1">
      <c r="A28" s="13" t="s">
        <v>63</v>
      </c>
      <c r="B28" s="15" t="s">
        <v>64</v>
      </c>
      <c r="C28" s="15" t="s">
        <v>64</v>
      </c>
      <c r="D28" s="51">
        <v>0</v>
      </c>
      <c r="E28" s="15" t="s">
        <v>65</v>
      </c>
    </row>
    <row r="29" spans="1:5" ht="31.95" customHeight="1">
      <c r="A29" s="13" t="s">
        <v>66</v>
      </c>
      <c r="B29" s="15" t="s">
        <v>67</v>
      </c>
      <c r="C29" s="15" t="s">
        <v>67</v>
      </c>
      <c r="D29" s="51">
        <v>0</v>
      </c>
      <c r="E29" s="15" t="s">
        <v>65</v>
      </c>
    </row>
    <row r="30" spans="1:5" ht="31.95" customHeight="1">
      <c r="A30" s="13" t="s">
        <v>68</v>
      </c>
      <c r="B30" s="15" t="s">
        <v>69</v>
      </c>
      <c r="C30" s="15" t="s">
        <v>69</v>
      </c>
      <c r="D30" s="51">
        <v>0</v>
      </c>
      <c r="E30" s="15" t="s">
        <v>65</v>
      </c>
    </row>
    <row r="31" spans="1:5" ht="31.95" customHeight="1">
      <c r="A31" s="13" t="s">
        <v>70</v>
      </c>
      <c r="B31" s="15" t="s">
        <v>71</v>
      </c>
      <c r="C31" s="15" t="s">
        <v>71</v>
      </c>
      <c r="D31" s="51">
        <v>0</v>
      </c>
      <c r="E31" s="15" t="s">
        <v>72</v>
      </c>
    </row>
    <row r="32" spans="1:5" ht="31.95" customHeight="1">
      <c r="A32" s="13" t="s">
        <v>73</v>
      </c>
      <c r="B32" s="15" t="s">
        <v>74</v>
      </c>
      <c r="C32" s="15" t="s">
        <v>74</v>
      </c>
      <c r="D32" s="51">
        <v>0</v>
      </c>
      <c r="E32" s="15" t="s">
        <v>75</v>
      </c>
    </row>
    <row r="33" spans="1:5" ht="31.95" customHeight="1">
      <c r="A33" s="13" t="s">
        <v>76</v>
      </c>
      <c r="B33" s="15" t="s">
        <v>77</v>
      </c>
      <c r="C33" s="15" t="s">
        <v>77</v>
      </c>
      <c r="D33" s="51">
        <v>0</v>
      </c>
      <c r="E33" s="15" t="s">
        <v>75</v>
      </c>
    </row>
    <row r="34" spans="1:5" ht="31.95" customHeight="1">
      <c r="A34" s="13" t="s">
        <v>78</v>
      </c>
      <c r="B34" s="15" t="s">
        <v>79</v>
      </c>
      <c r="C34" s="15" t="s">
        <v>79</v>
      </c>
      <c r="D34" s="51">
        <v>0</v>
      </c>
      <c r="E34" s="15" t="s">
        <v>75</v>
      </c>
    </row>
    <row r="35" spans="1:5" ht="31.95" customHeight="1">
      <c r="A35" s="13" t="s">
        <v>80</v>
      </c>
      <c r="B35" s="15" t="s">
        <v>81</v>
      </c>
      <c r="C35" s="15" t="s">
        <v>81</v>
      </c>
      <c r="D35" s="51">
        <v>0</v>
      </c>
      <c r="E35" s="15" t="s">
        <v>75</v>
      </c>
    </row>
    <row r="36" spans="1:5" ht="31.95" customHeight="1">
      <c r="A36" s="13" t="s">
        <v>82</v>
      </c>
      <c r="B36" s="15" t="s">
        <v>83</v>
      </c>
      <c r="C36" s="15" t="s">
        <v>84</v>
      </c>
      <c r="D36" s="51">
        <v>0</v>
      </c>
      <c r="E36" s="15" t="s">
        <v>85</v>
      </c>
    </row>
    <row r="37" spans="1:5" ht="31.95" customHeight="1">
      <c r="A37" s="13" t="s">
        <v>86</v>
      </c>
      <c r="B37" s="15" t="s">
        <v>87</v>
      </c>
      <c r="C37" s="15" t="s">
        <v>88</v>
      </c>
      <c r="D37" s="51">
        <v>0</v>
      </c>
      <c r="E37" s="15"/>
    </row>
    <row r="38" spans="1:5" ht="31.95" customHeight="1">
      <c r="A38" s="13" t="s">
        <v>89</v>
      </c>
      <c r="B38" s="15" t="s">
        <v>90</v>
      </c>
      <c r="C38" s="15" t="s">
        <v>91</v>
      </c>
      <c r="D38" s="51">
        <v>0</v>
      </c>
      <c r="E38" s="15" t="s">
        <v>92</v>
      </c>
    </row>
    <row r="39" spans="1:5" ht="31.95" customHeight="1">
      <c r="A39" s="13" t="s">
        <v>93</v>
      </c>
      <c r="B39" s="15" t="s">
        <v>94</v>
      </c>
      <c r="C39" s="15" t="s">
        <v>95</v>
      </c>
      <c r="D39" s="51">
        <v>0</v>
      </c>
      <c r="E39" s="15"/>
    </row>
    <row r="40" spans="1:5" ht="31.95" customHeight="1">
      <c r="A40" s="13" t="s">
        <v>96</v>
      </c>
      <c r="B40" s="15" t="s">
        <v>97</v>
      </c>
      <c r="C40" s="15" t="s">
        <v>98</v>
      </c>
      <c r="D40" s="51">
        <v>0</v>
      </c>
      <c r="E40" s="15"/>
    </row>
    <row r="41" spans="1:5" ht="31.95" customHeight="1">
      <c r="A41" s="13" t="s">
        <v>99</v>
      </c>
      <c r="B41" s="15" t="s">
        <v>100</v>
      </c>
      <c r="C41" s="15" t="s">
        <v>101</v>
      </c>
      <c r="D41" s="51">
        <v>0</v>
      </c>
      <c r="E41" s="15" t="s">
        <v>102</v>
      </c>
    </row>
    <row r="42" spans="1:5" ht="31.95" customHeight="1">
      <c r="A42" s="13" t="s">
        <v>103</v>
      </c>
      <c r="B42" s="15" t="s">
        <v>104</v>
      </c>
      <c r="C42" s="15" t="s">
        <v>101</v>
      </c>
      <c r="D42" s="51">
        <v>0</v>
      </c>
      <c r="E42" s="15" t="s">
        <v>102</v>
      </c>
    </row>
    <row r="43" spans="1:5" ht="31.95" customHeight="1">
      <c r="A43" s="13" t="s">
        <v>105</v>
      </c>
      <c r="B43" s="15" t="s">
        <v>106</v>
      </c>
      <c r="C43" s="15" t="s">
        <v>101</v>
      </c>
      <c r="D43" s="51">
        <v>0</v>
      </c>
      <c r="E43" s="15" t="s">
        <v>107</v>
      </c>
    </row>
    <row r="44" spans="1:5" ht="31.95" customHeight="1">
      <c r="A44" s="13" t="s">
        <v>108</v>
      </c>
      <c r="B44" s="15" t="s">
        <v>109</v>
      </c>
      <c r="C44" s="15" t="s">
        <v>110</v>
      </c>
      <c r="D44" s="51">
        <v>0</v>
      </c>
      <c r="E44" s="15" t="s">
        <v>102</v>
      </c>
    </row>
    <row r="45" spans="1:5" ht="31.95" customHeight="1">
      <c r="A45" s="13" t="s">
        <v>111</v>
      </c>
      <c r="B45" s="15" t="s">
        <v>112</v>
      </c>
      <c r="C45" s="15" t="s">
        <v>110</v>
      </c>
      <c r="D45" s="51">
        <v>0</v>
      </c>
      <c r="E45" s="15" t="s">
        <v>107</v>
      </c>
    </row>
    <row r="46" spans="1:5" ht="31.95" customHeight="1">
      <c r="A46" s="13" t="s">
        <v>113</v>
      </c>
      <c r="B46" s="15" t="s">
        <v>114</v>
      </c>
      <c r="C46" s="15" t="s">
        <v>110</v>
      </c>
      <c r="D46" s="51">
        <v>0</v>
      </c>
      <c r="E46" s="15" t="s">
        <v>102</v>
      </c>
    </row>
    <row r="47" spans="1:5" ht="31.95" customHeight="1">
      <c r="A47" s="13" t="s">
        <v>115</v>
      </c>
      <c r="B47" s="15" t="s">
        <v>116</v>
      </c>
      <c r="C47" s="15" t="s">
        <v>110</v>
      </c>
      <c r="D47" s="51">
        <v>0</v>
      </c>
      <c r="E47" s="15" t="s">
        <v>107</v>
      </c>
    </row>
    <row r="48" spans="1:5" ht="31.95" customHeight="1">
      <c r="A48" s="13" t="s">
        <v>117</v>
      </c>
      <c r="B48" s="15" t="s">
        <v>118</v>
      </c>
      <c r="C48" s="15" t="s">
        <v>110</v>
      </c>
      <c r="D48" s="51">
        <v>0</v>
      </c>
      <c r="E48" s="15" t="s">
        <v>107</v>
      </c>
    </row>
    <row r="49" spans="1:5" ht="31.95" customHeight="1">
      <c r="A49" s="13" t="s">
        <v>119</v>
      </c>
      <c r="B49" s="15" t="s">
        <v>120</v>
      </c>
      <c r="C49" s="15" t="s">
        <v>110</v>
      </c>
      <c r="D49" s="51">
        <v>0</v>
      </c>
      <c r="E49" s="15" t="s">
        <v>102</v>
      </c>
    </row>
    <row r="50" spans="1:5" ht="31.95" customHeight="1">
      <c r="A50" s="13" t="s">
        <v>121</v>
      </c>
      <c r="B50" s="15" t="s">
        <v>122</v>
      </c>
      <c r="C50" s="15" t="s">
        <v>123</v>
      </c>
      <c r="D50" s="51">
        <v>0</v>
      </c>
      <c r="E50" s="15" t="s">
        <v>124</v>
      </c>
    </row>
    <row r="51" spans="1:5" ht="31.95" customHeight="1">
      <c r="A51" s="13" t="s">
        <v>125</v>
      </c>
      <c r="B51" s="15" t="s">
        <v>126</v>
      </c>
      <c r="C51" s="15" t="s">
        <v>123</v>
      </c>
      <c r="D51" s="51">
        <v>0</v>
      </c>
      <c r="E51" s="15" t="s">
        <v>124</v>
      </c>
    </row>
    <row r="52" spans="1:5" ht="31.95" customHeight="1">
      <c r="A52" s="13" t="s">
        <v>127</v>
      </c>
      <c r="B52" s="15" t="s">
        <v>128</v>
      </c>
      <c r="C52" s="15" t="s">
        <v>129</v>
      </c>
      <c r="D52" s="51">
        <v>0</v>
      </c>
      <c r="E52" s="15" t="s">
        <v>130</v>
      </c>
    </row>
    <row r="53" spans="1:5" ht="31.95" customHeight="1">
      <c r="A53" s="13" t="s">
        <v>131</v>
      </c>
      <c r="B53" s="15" t="s">
        <v>132</v>
      </c>
      <c r="C53" s="15" t="s">
        <v>129</v>
      </c>
      <c r="D53" s="51">
        <v>0</v>
      </c>
      <c r="E53" s="15" t="s">
        <v>130</v>
      </c>
    </row>
    <row r="54" spans="1:5">
      <c r="A54" s="13"/>
      <c r="B54" s="13"/>
      <c r="C54" s="13"/>
      <c r="D54" s="20"/>
      <c r="E54" s="13"/>
    </row>
    <row r="55" spans="1:5" ht="22.95" customHeight="1">
      <c r="A55" s="11" t="s">
        <v>133</v>
      </c>
      <c r="B55" s="11"/>
      <c r="C55" s="11"/>
      <c r="D55" s="18"/>
      <c r="E55" s="11"/>
    </row>
    <row r="56" spans="1:5">
      <c r="A56" s="14" t="s">
        <v>20</v>
      </c>
      <c r="B56" s="14" t="s">
        <v>21</v>
      </c>
      <c r="C56" s="14" t="s">
        <v>22</v>
      </c>
      <c r="D56" s="19" t="s">
        <v>23</v>
      </c>
      <c r="E56" s="14" t="s">
        <v>24</v>
      </c>
    </row>
    <row r="57" spans="1:5" ht="31.95" customHeight="1">
      <c r="A57" s="13" t="s">
        <v>134</v>
      </c>
      <c r="B57" s="15" t="s">
        <v>135</v>
      </c>
      <c r="C57" s="15" t="s">
        <v>136</v>
      </c>
      <c r="D57" s="51">
        <v>0</v>
      </c>
      <c r="E57" s="15"/>
    </row>
    <row r="58" spans="1:5" ht="31.95" customHeight="1">
      <c r="A58" s="13" t="s">
        <v>137</v>
      </c>
      <c r="B58" s="15" t="s">
        <v>138</v>
      </c>
      <c r="C58" s="15" t="s">
        <v>139</v>
      </c>
      <c r="D58" s="51">
        <v>0</v>
      </c>
      <c r="E58" s="15" t="s">
        <v>140</v>
      </c>
    </row>
    <row r="59" spans="1:5" ht="31.95" customHeight="1">
      <c r="A59" s="13" t="s">
        <v>141</v>
      </c>
      <c r="B59" s="15" t="s">
        <v>142</v>
      </c>
      <c r="C59" s="15" t="s">
        <v>143</v>
      </c>
      <c r="D59" s="51">
        <v>0</v>
      </c>
      <c r="E59" s="15"/>
    </row>
    <row r="60" spans="1:5" ht="31.95" customHeight="1">
      <c r="A60" s="13" t="s">
        <v>144</v>
      </c>
      <c r="B60" s="15" t="s">
        <v>145</v>
      </c>
      <c r="C60" s="15" t="s">
        <v>146</v>
      </c>
      <c r="D60" s="51">
        <v>0</v>
      </c>
      <c r="E60" s="15"/>
    </row>
    <row r="61" spans="1:5" ht="31.95" customHeight="1">
      <c r="A61" s="13" t="s">
        <v>147</v>
      </c>
      <c r="B61" s="15" t="s">
        <v>148</v>
      </c>
      <c r="C61" s="15" t="s">
        <v>149</v>
      </c>
      <c r="D61" s="51">
        <v>0</v>
      </c>
      <c r="E61" s="15"/>
    </row>
    <row r="62" spans="1:5" ht="31.95" customHeight="1">
      <c r="A62" s="13" t="s">
        <v>150</v>
      </c>
      <c r="B62" s="15" t="s">
        <v>151</v>
      </c>
      <c r="C62" s="15" t="s">
        <v>152</v>
      </c>
      <c r="D62" s="51">
        <v>0</v>
      </c>
      <c r="E62" s="15" t="s">
        <v>153</v>
      </c>
    </row>
    <row r="63" spans="1:5" ht="31.95" customHeight="1">
      <c r="A63" s="13" t="s">
        <v>154</v>
      </c>
      <c r="B63" s="15" t="s">
        <v>155</v>
      </c>
      <c r="C63" s="15" t="s">
        <v>156</v>
      </c>
      <c r="D63" s="51">
        <v>0</v>
      </c>
      <c r="E63" s="15" t="s">
        <v>40</v>
      </c>
    </row>
    <row r="64" spans="1:5" ht="31.95" customHeight="1">
      <c r="A64" s="13" t="s">
        <v>157</v>
      </c>
      <c r="B64" s="15" t="s">
        <v>158</v>
      </c>
      <c r="C64" s="15" t="s">
        <v>159</v>
      </c>
      <c r="D64" s="51">
        <v>0</v>
      </c>
      <c r="E64" s="15"/>
    </row>
    <row r="65" spans="1:5" ht="31.95" customHeight="1">
      <c r="A65" s="13" t="s">
        <v>160</v>
      </c>
      <c r="B65" s="15" t="s">
        <v>161</v>
      </c>
      <c r="C65" s="15" t="s">
        <v>159</v>
      </c>
      <c r="D65" s="51">
        <v>0</v>
      </c>
      <c r="E65" s="15"/>
    </row>
    <row r="66" spans="1:5" ht="31.95" customHeight="1">
      <c r="A66" s="13" t="s">
        <v>162</v>
      </c>
      <c r="B66" s="15" t="s">
        <v>163</v>
      </c>
      <c r="C66" s="15" t="s">
        <v>164</v>
      </c>
      <c r="D66" s="51">
        <v>0</v>
      </c>
      <c r="E66" s="15"/>
    </row>
    <row r="67" spans="1:5" ht="31.95" customHeight="1">
      <c r="A67" s="13" t="s">
        <v>165</v>
      </c>
      <c r="B67" s="15" t="s">
        <v>166</v>
      </c>
      <c r="C67" s="15" t="s">
        <v>167</v>
      </c>
      <c r="D67" s="51">
        <v>0</v>
      </c>
      <c r="E67" s="15"/>
    </row>
    <row r="68" spans="1:5" ht="31.95" customHeight="1">
      <c r="A68" s="13" t="s">
        <v>168</v>
      </c>
      <c r="B68" s="15" t="s">
        <v>169</v>
      </c>
      <c r="C68" s="15" t="s">
        <v>167</v>
      </c>
      <c r="D68" s="51">
        <v>0</v>
      </c>
      <c r="E68" s="15"/>
    </row>
    <row r="69" spans="1:5" ht="31.95" customHeight="1">
      <c r="A69" s="13" t="s">
        <v>170</v>
      </c>
      <c r="B69" s="15" t="s">
        <v>171</v>
      </c>
      <c r="C69" s="15" t="s">
        <v>172</v>
      </c>
      <c r="D69" s="51">
        <v>0</v>
      </c>
      <c r="E69" s="15"/>
    </row>
    <row r="70" spans="1:5" ht="31.95" customHeight="1">
      <c r="A70" s="13" t="s">
        <v>173</v>
      </c>
      <c r="B70" s="15" t="s">
        <v>174</v>
      </c>
      <c r="C70" s="15" t="s">
        <v>172</v>
      </c>
      <c r="D70" s="51">
        <v>0</v>
      </c>
      <c r="E70" s="15" t="s">
        <v>175</v>
      </c>
    </row>
    <row r="71" spans="1:5" ht="31.95" customHeight="1">
      <c r="A71" s="13" t="s">
        <v>176</v>
      </c>
      <c r="B71" s="15" t="s">
        <v>177</v>
      </c>
      <c r="C71" s="15" t="s">
        <v>178</v>
      </c>
      <c r="D71" s="51">
        <v>0</v>
      </c>
      <c r="E71" s="15"/>
    </row>
    <row r="72" spans="1:5" ht="31.95" customHeight="1">
      <c r="A72" s="13" t="s">
        <v>179</v>
      </c>
      <c r="B72" s="15" t="s">
        <v>180</v>
      </c>
      <c r="C72" s="15" t="s">
        <v>181</v>
      </c>
      <c r="D72" s="51">
        <v>0</v>
      </c>
      <c r="E72" s="15" t="s">
        <v>182</v>
      </c>
    </row>
    <row r="73" spans="1:5" ht="31.95" customHeight="1">
      <c r="A73" s="13" t="s">
        <v>183</v>
      </c>
      <c r="B73" s="15" t="s">
        <v>184</v>
      </c>
      <c r="C73" s="15" t="s">
        <v>185</v>
      </c>
      <c r="D73" s="51">
        <v>0</v>
      </c>
      <c r="E73" s="15"/>
    </row>
    <row r="74" spans="1:5" ht="31.95" customHeight="1">
      <c r="A74" s="13" t="s">
        <v>186</v>
      </c>
      <c r="B74" s="15" t="s">
        <v>187</v>
      </c>
      <c r="C74" s="15" t="s">
        <v>188</v>
      </c>
      <c r="D74" s="51">
        <v>0</v>
      </c>
      <c r="E74" s="15"/>
    </row>
    <row r="75" spans="1:5" ht="31.95" customHeight="1">
      <c r="A75" s="13" t="s">
        <v>189</v>
      </c>
      <c r="B75" s="15" t="s">
        <v>190</v>
      </c>
      <c r="C75" s="15" t="s">
        <v>191</v>
      </c>
      <c r="D75" s="51">
        <v>0</v>
      </c>
      <c r="E75" s="15"/>
    </row>
    <row r="76" spans="1:5" ht="31.95" customHeight="1">
      <c r="A76" s="13" t="s">
        <v>192</v>
      </c>
      <c r="B76" s="15" t="s">
        <v>193</v>
      </c>
      <c r="C76" s="15" t="s">
        <v>194</v>
      </c>
      <c r="D76" s="51">
        <v>0</v>
      </c>
      <c r="E76" s="15"/>
    </row>
    <row r="77" spans="1:5" ht="31.95" customHeight="1">
      <c r="A77" s="13" t="s">
        <v>195</v>
      </c>
      <c r="B77" s="15" t="s">
        <v>196</v>
      </c>
      <c r="C77" s="15" t="s">
        <v>197</v>
      </c>
      <c r="D77" s="51">
        <v>0</v>
      </c>
      <c r="E77" s="15"/>
    </row>
    <row r="78" spans="1:5" ht="31.95" customHeight="1">
      <c r="A78" s="13" t="s">
        <v>198</v>
      </c>
      <c r="B78" s="15" t="s">
        <v>199</v>
      </c>
      <c r="C78" s="15" t="s">
        <v>200</v>
      </c>
      <c r="D78" s="51">
        <v>0</v>
      </c>
      <c r="E78" s="15"/>
    </row>
    <row r="79" spans="1:5" ht="31.95" customHeight="1">
      <c r="A79" s="13" t="s">
        <v>201</v>
      </c>
      <c r="B79" s="15" t="s">
        <v>202</v>
      </c>
      <c r="C79" s="15" t="s">
        <v>203</v>
      </c>
      <c r="D79" s="51">
        <v>0</v>
      </c>
      <c r="E79" s="15" t="s">
        <v>204</v>
      </c>
    </row>
    <row r="80" spans="1:5" ht="31.95" customHeight="1">
      <c r="A80" s="13" t="s">
        <v>205</v>
      </c>
      <c r="B80" s="15" t="s">
        <v>206</v>
      </c>
      <c r="C80" s="15" t="s">
        <v>207</v>
      </c>
      <c r="D80" s="51">
        <v>0</v>
      </c>
      <c r="E80" s="15"/>
    </row>
    <row r="81" spans="1:5" ht="31.95" customHeight="1">
      <c r="A81" s="13" t="s">
        <v>208</v>
      </c>
      <c r="B81" s="15" t="s">
        <v>209</v>
      </c>
      <c r="C81" s="15" t="s">
        <v>210</v>
      </c>
      <c r="D81" s="51">
        <v>0</v>
      </c>
      <c r="E81" s="15" t="s">
        <v>204</v>
      </c>
    </row>
    <row r="82" spans="1:5" ht="31.95" customHeight="1">
      <c r="A82" s="13" t="s">
        <v>211</v>
      </c>
      <c r="B82" s="15" t="s">
        <v>212</v>
      </c>
      <c r="C82" s="15" t="s">
        <v>213</v>
      </c>
      <c r="D82" s="51">
        <v>0</v>
      </c>
      <c r="E82" s="15"/>
    </row>
    <row r="83" spans="1:5" ht="31.95" customHeight="1">
      <c r="A83" s="13" t="s">
        <v>214</v>
      </c>
      <c r="B83" s="15" t="s">
        <v>215</v>
      </c>
      <c r="C83" s="15" t="s">
        <v>216</v>
      </c>
      <c r="D83" s="51">
        <v>0</v>
      </c>
      <c r="E83" s="15"/>
    </row>
    <row r="84" spans="1:5" ht="31.95" customHeight="1">
      <c r="A84" s="13" t="s">
        <v>217</v>
      </c>
      <c r="B84" s="15" t="s">
        <v>218</v>
      </c>
      <c r="C84" s="15" t="s">
        <v>219</v>
      </c>
      <c r="D84" s="51">
        <v>0</v>
      </c>
      <c r="E84" s="15" t="s">
        <v>204</v>
      </c>
    </row>
    <row r="85" spans="1:5">
      <c r="A85" s="13"/>
      <c r="B85" s="13"/>
      <c r="C85" s="13"/>
      <c r="D85" s="20"/>
      <c r="E85" s="13"/>
    </row>
    <row r="86" spans="1:5" ht="22.95" customHeight="1">
      <c r="A86" s="11" t="s">
        <v>220</v>
      </c>
      <c r="B86" s="11"/>
      <c r="C86" s="11"/>
      <c r="D86" s="18"/>
      <c r="E86" s="11"/>
    </row>
    <row r="87" spans="1:5">
      <c r="A87" s="14" t="s">
        <v>20</v>
      </c>
      <c r="B87" s="14" t="s">
        <v>21</v>
      </c>
      <c r="C87" s="14" t="s">
        <v>22</v>
      </c>
      <c r="D87" s="19" t="s">
        <v>23</v>
      </c>
      <c r="E87" s="14" t="s">
        <v>24</v>
      </c>
    </row>
    <row r="88" spans="1:5" ht="31.95" customHeight="1">
      <c r="A88" s="13" t="s">
        <v>221</v>
      </c>
      <c r="B88" s="15" t="s">
        <v>222</v>
      </c>
      <c r="C88" s="15" t="s">
        <v>223</v>
      </c>
      <c r="D88" s="51">
        <v>0</v>
      </c>
      <c r="E88" s="15"/>
    </row>
    <row r="89" spans="1:5" ht="31.95" customHeight="1">
      <c r="A89" s="13" t="s">
        <v>224</v>
      </c>
      <c r="B89" s="15" t="s">
        <v>225</v>
      </c>
      <c r="C89" s="15" t="s">
        <v>226</v>
      </c>
      <c r="D89" s="51">
        <v>0</v>
      </c>
      <c r="E89" s="15"/>
    </row>
    <row r="90" spans="1:5" ht="31.95" customHeight="1">
      <c r="A90" s="13" t="s">
        <v>227</v>
      </c>
      <c r="B90" s="15" t="s">
        <v>228</v>
      </c>
      <c r="C90" s="15" t="s">
        <v>229</v>
      </c>
      <c r="D90" s="51">
        <v>0</v>
      </c>
      <c r="E90" s="15"/>
    </row>
    <row r="91" spans="1:5" ht="31.95" customHeight="1">
      <c r="A91" s="13" t="s">
        <v>230</v>
      </c>
      <c r="B91" s="15" t="s">
        <v>228</v>
      </c>
      <c r="C91" s="15" t="s">
        <v>231</v>
      </c>
      <c r="D91" s="51">
        <v>0</v>
      </c>
      <c r="E91" s="15"/>
    </row>
    <row r="92" spans="1:5" ht="31.95" customHeight="1">
      <c r="A92" s="13" t="s">
        <v>232</v>
      </c>
      <c r="B92" s="15" t="s">
        <v>233</v>
      </c>
      <c r="C92" s="15" t="s">
        <v>234</v>
      </c>
      <c r="D92" s="51">
        <v>0</v>
      </c>
      <c r="E92" s="15"/>
    </row>
    <row r="93" spans="1:5" ht="31.95" customHeight="1">
      <c r="A93" s="13" t="s">
        <v>235</v>
      </c>
      <c r="B93" s="15" t="s">
        <v>236</v>
      </c>
      <c r="C93" s="15" t="s">
        <v>237</v>
      </c>
      <c r="D93" s="51">
        <v>0</v>
      </c>
      <c r="E93" s="15"/>
    </row>
    <row r="94" spans="1:5" ht="31.95" customHeight="1">
      <c r="A94" s="13" t="s">
        <v>238</v>
      </c>
      <c r="B94" s="15" t="s">
        <v>239</v>
      </c>
      <c r="C94" s="15" t="s">
        <v>240</v>
      </c>
      <c r="D94" s="51">
        <v>0</v>
      </c>
      <c r="E94" s="15" t="s">
        <v>241</v>
      </c>
    </row>
    <row r="95" spans="1:5" ht="31.95" customHeight="1">
      <c r="A95" s="13" t="s">
        <v>242</v>
      </c>
      <c r="B95" s="15" t="s">
        <v>243</v>
      </c>
      <c r="C95" s="15" t="s">
        <v>244</v>
      </c>
      <c r="D95" s="51">
        <v>0</v>
      </c>
      <c r="E95" s="15"/>
    </row>
    <row r="96" spans="1:5" ht="31.95" customHeight="1">
      <c r="A96" s="13" t="s">
        <v>245</v>
      </c>
      <c r="B96" s="15" t="s">
        <v>246</v>
      </c>
      <c r="C96" s="15" t="s">
        <v>247</v>
      </c>
      <c r="D96" s="51">
        <v>0</v>
      </c>
      <c r="E96" s="15"/>
    </row>
    <row r="97" spans="1:5" ht="31.95" customHeight="1">
      <c r="A97" s="13" t="s">
        <v>248</v>
      </c>
      <c r="B97" s="15" t="s">
        <v>249</v>
      </c>
      <c r="C97" s="15" t="s">
        <v>250</v>
      </c>
      <c r="D97" s="51">
        <v>0</v>
      </c>
      <c r="E97" s="15"/>
    </row>
    <row r="98" spans="1:5" ht="31.95" customHeight="1">
      <c r="A98" s="13" t="s">
        <v>251</v>
      </c>
      <c r="B98" s="15" t="s">
        <v>252</v>
      </c>
      <c r="C98" s="15" t="s">
        <v>253</v>
      </c>
      <c r="D98" s="51">
        <v>0</v>
      </c>
      <c r="E98" s="15"/>
    </row>
    <row r="99" spans="1:5" ht="31.95" customHeight="1">
      <c r="A99" s="13" t="s">
        <v>254</v>
      </c>
      <c r="B99" s="15" t="s">
        <v>255</v>
      </c>
      <c r="C99" s="15" t="s">
        <v>256</v>
      </c>
      <c r="D99" s="51">
        <v>0</v>
      </c>
      <c r="E99" s="15"/>
    </row>
  </sheetData>
  <sheetProtection sheet="1" objects="1" scenarios="1"/>
  <mergeCells count="13">
    <mergeCell ref="A86:E86"/>
    <mergeCell ref="A8:C8"/>
    <mergeCell ref="A9:C9"/>
    <mergeCell ref="A10:C10"/>
    <mergeCell ref="A11:C11"/>
    <mergeCell ref="A13:E13"/>
    <mergeCell ref="A55:E55"/>
    <mergeCell ref="A1:E1"/>
    <mergeCell ref="A2:E2"/>
    <mergeCell ref="A4:E4"/>
    <mergeCell ref="A5:C5"/>
    <mergeCell ref="A6:C6"/>
    <mergeCell ref="A7:C7"/>
  </mergeCells>
  <phoneticPr fontId="4"/>
  <dataValidations count="84">
    <dataValidation type="custom" showInputMessage="1" showErrorMessage="1" errorTitle="開始日の入力エラー" error="1900/1/1～2100/12/31の有効な日付を入力してください。" sqref="D6" xr:uid="{4A102D5F-F0B0-4009-ADFF-A0906CA68F27}">
      <formula1>AND(ISNUMBER(D6),D6&gt;=DATE(1900,1,1),D6&lt;=DATE(2100,12,31))</formula1>
    </dataValidation>
    <dataValidation type="custom" showInputMessage="1" showErrorMessage="1" errorTitle="終了日の入力エラー" error="1900/1/1～2100/12/31の範囲で、開始日以後かつ暦による12か月以内の日付を入力してください。" sqref="D7" xr:uid="{A2A2B675-55C3-472B-8844-0E5B6AA6E144}">
      <formula1>AND(ISNUMBER(D7),ISNUMBER(D6),D7&gt;=DATE(1900,1,1),D7&lt;=DATE(2100,12,31),D7&gt;=D6,D7&lt;=IF(DAY(EDATE(D6,12))&lt;DAY(D6),EDATE(D6,12),EDATE(D6,12)-1))</formula1>
    </dataValidation>
    <dataValidation type="list" showInputMessage="1" showErrorMessage="1" sqref="D9" xr:uid="{22685A2D-1D13-42B0-9E81-50648226B144}">
      <formula1>"未選択,該当,非該当"</formula1>
    </dataValidation>
    <dataValidation type="list" showInputMessage="1" showErrorMessage="1" sqref="D10" xr:uid="{DCC3EA6C-F0DB-4450-AF77-726DED9634D5}">
      <formula1>"未選択,はい,いいえ"</formula1>
    </dataValidation>
    <dataValidation type="list" showInputMessage="1" showErrorMessage="1" sqref="D11" xr:uid="{39089E9D-8DE4-4FAF-81E9-64E837EE69F4}">
      <formula1>"未確認,はい,いいえ"</formula1>
    </dataValidation>
    <dataValidation type="custom" showInputMessage="1" showErrorMessage="1" errorTitle="入力エラー" error="0以上999,999,999,999,999以下の整数（円）を入力してください。" sqref="D15" xr:uid="{F7E4B8FF-6F07-4D8D-89F1-5ACB2EBFB74C}">
      <formula1>AND(ISNUMBER(D15),D15=INT(D15),D15&gt;=0,D15&lt;=999999999999999)</formula1>
    </dataValidation>
    <dataValidation type="custom" showInputMessage="1" showErrorMessage="1" errorTitle="入力エラー" error="0以上999,999,999,999,999以下の整数（円）を入力してください。" sqref="D16" xr:uid="{E82F190A-D9B0-4839-B8D3-0FCEC4648730}">
      <formula1>AND(ISNUMBER(D16),D16=INT(D16),D16&gt;=0,D16&lt;=999999999999999)</formula1>
    </dataValidation>
    <dataValidation type="custom" showInputMessage="1" showErrorMessage="1" errorTitle="入力エラー" error="0以上999,999,999,999,999以下の整数（円）を入力してください。" sqref="D17" xr:uid="{D040F2C3-0515-465C-A602-0B676DA91B5E}">
      <formula1>AND(ISNUMBER(D17),D17=INT(D17),D17&gt;=0,D17&lt;=999999999999999)</formula1>
    </dataValidation>
    <dataValidation type="custom" showInputMessage="1" showErrorMessage="1" errorTitle="入力エラー" error="0以上999,999,999,999,999以下の整数（円）を入力してください。" sqref="D18" xr:uid="{75A0EBCD-7E55-4A22-93FA-ADB16C3A3524}">
      <formula1>AND(ISNUMBER(D18),D18=INT(D18),D18&gt;=0,D18&lt;=999999999999999)</formula1>
    </dataValidation>
    <dataValidation type="custom" showInputMessage="1" showErrorMessage="1" errorTitle="入力エラー" error="0以上999,999,999,999,999以下の整数（円）を入力してください。" sqref="D19" xr:uid="{7516B8C5-4339-4847-9D9C-21B12D0D30CB}">
      <formula1>AND(ISNUMBER(D19),D19=INT(D19),D19&gt;=0,D19&lt;=999999999999999)</formula1>
    </dataValidation>
    <dataValidation type="custom" showInputMessage="1" showErrorMessage="1" errorTitle="入力エラー" error="0以上999,999,999,999,999以下の整数（円）を入力してください。" sqref="D20" xr:uid="{BA25AA8F-AC7A-4857-9D30-F69EAF46C351}">
      <formula1>AND(ISNUMBER(D20),D20=INT(D20),D20&gt;=0,D20&lt;=999999999999999)</formula1>
    </dataValidation>
    <dataValidation type="custom" showInputMessage="1" showErrorMessage="1" errorTitle="入力エラー" error="0以上999,999,999,999,999以下の整数（円）を入力してください。" sqref="D21" xr:uid="{8DC3D407-0C3B-4BB7-A95C-9C9D0433C3F9}">
      <formula1>AND(ISNUMBER(D21),D21=INT(D21),D21&gt;=0,D21&lt;=999999999999999)</formula1>
    </dataValidation>
    <dataValidation type="custom" showInputMessage="1" showErrorMessage="1" errorTitle="入力エラー" error="0以上999,999,999,999,999以下の整数（円）を入力してください。" sqref="D22" xr:uid="{49305166-DE70-43D4-A0DF-3C8E4D482BE4}">
      <formula1>AND(ISNUMBER(D22),D22=INT(D22),D22&gt;=0,D22&lt;=999999999999999)</formula1>
    </dataValidation>
    <dataValidation type="custom" showInputMessage="1" showErrorMessage="1" errorTitle="入力エラー" error="0以上999,999,999,999,999以下の整数（円）を入力してください。" sqref="D23" xr:uid="{165DAAAE-B188-4EE0-8350-F5FD51DD1105}">
      <formula1>AND(ISNUMBER(D23),D23=INT(D23),D23&gt;=0,D23&lt;=999999999999999)</formula1>
    </dataValidation>
    <dataValidation type="custom" showInputMessage="1" showErrorMessage="1" errorTitle="入力エラー" error="0以上999,999,999,999,999以下の整数（円）を入力してください。" sqref="D24" xr:uid="{F479A8B0-8192-4056-9819-76B2D0E6B1DF}">
      <formula1>AND(ISNUMBER(D24),D24=INT(D24),D24&gt;=0,D24&lt;=999999999999999)</formula1>
    </dataValidation>
    <dataValidation type="custom" showInputMessage="1" showErrorMessage="1" errorTitle="入力エラー" error="0以上999,999,999,999,999以下の整数（円）を入力してください。" sqref="D25" xr:uid="{FE35DD16-C977-4FC5-8E6D-2D5B7596BF03}">
      <formula1>AND(ISNUMBER(D25),D25=INT(D25),D25&gt;=0,D25&lt;=999999999999999)</formula1>
    </dataValidation>
    <dataValidation type="custom" showInputMessage="1" showErrorMessage="1" errorTitle="入力エラー" error="0以上999,999,999,999,999以下の整数（円）を入力してください。" sqref="D26" xr:uid="{EC275DED-C38B-4328-BCA0-141ACAC9AB75}">
      <formula1>AND(ISNUMBER(D26),D26=INT(D26),D26&gt;=0,D26&lt;=999999999999999)</formula1>
    </dataValidation>
    <dataValidation type="custom" showInputMessage="1" showErrorMessage="1" errorTitle="入力エラー" error="0以上999,999,999,999,999以下の整数（円）を入力してください。" sqref="D27" xr:uid="{DA0883E8-09E3-4315-9201-B63980945CC2}">
      <formula1>AND(ISNUMBER(D27),D27=INT(D27),D27&gt;=0,D27&lt;=999999999999999)</formula1>
    </dataValidation>
    <dataValidation type="custom" showInputMessage="1" showErrorMessage="1" errorTitle="入力エラー" error="0以上999,999,999,999,999以下の整数（円）を入力してください。" sqref="D28" xr:uid="{B1D6CFD1-FD15-4FB2-9227-A6883451FBAF}">
      <formula1>AND(ISNUMBER(D28),D28=INT(D28),D28&gt;=0,D28&lt;=999999999999999)</formula1>
    </dataValidation>
    <dataValidation type="custom" showInputMessage="1" showErrorMessage="1" errorTitle="入力エラー" error="0以上999,999,999,999,999以下の整数（円）を入力してください。" sqref="D29" xr:uid="{D3759F43-DF35-4103-818A-59D4896C5B77}">
      <formula1>AND(ISNUMBER(D29),D29=INT(D29),D29&gt;=0,D29&lt;=999999999999999)</formula1>
    </dataValidation>
    <dataValidation type="custom" showInputMessage="1" showErrorMessage="1" errorTitle="入力エラー" error="0以上999,999,999,999,999以下の整数（円）を入力してください。" sqref="D30" xr:uid="{6087E4A1-EC9F-4416-8467-FDE58400965D}">
      <formula1>AND(ISNUMBER(D30),D30=INT(D30),D30&gt;=0,D30&lt;=999999999999999)</formula1>
    </dataValidation>
    <dataValidation type="custom" showInputMessage="1" showErrorMessage="1" errorTitle="入力エラー" error="0以上999,999,999,999,999以下の整数（円）を入力してください。" sqref="D31" xr:uid="{550D394B-D59F-4F7E-B4E0-A695B219174E}">
      <formula1>AND(ISNUMBER(D31),D31=INT(D31),D31&gt;=0,D31&lt;=999999999999999)</formula1>
    </dataValidation>
    <dataValidation type="custom" showInputMessage="1" showErrorMessage="1" errorTitle="入力エラー" error="0以上999,999,999,999,999以下の整数（円）を入力してください。" sqref="D32" xr:uid="{05FBF4A9-000B-47B7-8249-96F3987CBD8A}">
      <formula1>AND(ISNUMBER(D32),D32=INT(D32),D32&gt;=0,D32&lt;=999999999999999)</formula1>
    </dataValidation>
    <dataValidation type="custom" showInputMessage="1" showErrorMessage="1" errorTitle="入力エラー" error="0以上999,999,999,999,999以下の整数（円）を入力してください。" sqref="D33" xr:uid="{7729F429-B403-4310-9C72-511E0A18441D}">
      <formula1>AND(ISNUMBER(D33),D33=INT(D33),D33&gt;=0,D33&lt;=999999999999999)</formula1>
    </dataValidation>
    <dataValidation type="custom" showInputMessage="1" showErrorMessage="1" errorTitle="入力エラー" error="0以上999,999,999,999,999以下の整数（円）を入力してください。" sqref="D34" xr:uid="{4C704DC2-E1F1-4A99-86CF-0B46805D38A7}">
      <formula1>AND(ISNUMBER(D34),D34=INT(D34),D34&gt;=0,D34&lt;=999999999999999)</formula1>
    </dataValidation>
    <dataValidation type="custom" showInputMessage="1" showErrorMessage="1" errorTitle="入力エラー" error="0以上999,999,999,999,999以下の整数（円）を入力してください。" sqref="D35" xr:uid="{8A8CA4DA-F0EF-454E-9EE5-9F2774FD29EA}">
      <formula1>AND(ISNUMBER(D35),D35=INT(D35),D35&gt;=0,D35&lt;=999999999999999)</formula1>
    </dataValidation>
    <dataValidation type="custom" showInputMessage="1" showErrorMessage="1" errorTitle="入力エラー" error="0以上999,999,999,999,999以下の整数（円）を入力してください。" sqref="D36" xr:uid="{8F8ACA67-36D6-4391-820A-77A623636369}">
      <formula1>AND(ISNUMBER(D36),D36=INT(D36),D36&gt;=0,D36&lt;=999999999999999)</formula1>
    </dataValidation>
    <dataValidation type="custom" showInputMessage="1" showErrorMessage="1" errorTitle="入力エラー" error="0以上999,999,999,999,999以下の整数（円）を入力してください。" sqref="D37" xr:uid="{08EF1BF5-F4C5-4E06-8494-DF312C5FA673}">
      <formula1>AND(ISNUMBER(D37),D37=INT(D37),D37&gt;=0,D37&lt;=999999999999999)</formula1>
    </dataValidation>
    <dataValidation type="custom" showInputMessage="1" showErrorMessage="1" errorTitle="入力エラー" error="0以上999,999,999,999,999以下の整数（円）を入力してください。" sqref="D38" xr:uid="{9FC11F52-D2DC-4AE3-8CCB-95F58107524E}">
      <formula1>AND(ISNUMBER(D38),D38=INT(D38),D38&gt;=0,D38&lt;=999999999999999)</formula1>
    </dataValidation>
    <dataValidation type="custom" showInputMessage="1" showErrorMessage="1" errorTitle="入力エラー" error="0以上999,999,999,999,999以下の整数（円）を入力してください。" sqref="D39" xr:uid="{40E42B7F-4F54-4AB5-A986-FF14882B2D3C}">
      <formula1>AND(ISNUMBER(D39),D39=INT(D39),D39&gt;=0,D39&lt;=999999999999999)</formula1>
    </dataValidation>
    <dataValidation type="custom" showInputMessage="1" showErrorMessage="1" errorTitle="入力エラー" error="0以上999,999,999,999,999以下の整数（円）を入力してください。" sqref="D40" xr:uid="{7CA706CD-17F7-4097-8E8C-9853D611C8D1}">
      <formula1>AND(ISNUMBER(D40),D40=INT(D40),D40&gt;=0,D40&lt;=999999999999999)</formula1>
    </dataValidation>
    <dataValidation type="custom" showInputMessage="1" showErrorMessage="1" errorTitle="入力エラー" error="0以上999,999,999,999,999以下の整数（円）を入力してください。" sqref="D41" xr:uid="{E15338C4-9D37-4932-94B1-94DDF172659D}">
      <formula1>AND(ISNUMBER(D41),D41=INT(D41),D41&gt;=0,D41&lt;=999999999999999)</formula1>
    </dataValidation>
    <dataValidation type="custom" showInputMessage="1" showErrorMessage="1" errorTitle="入力エラー" error="0以上999,999,999,999,999以下の整数（円）を入力してください。" sqref="D42" xr:uid="{EA6DC03C-6536-44D0-8E22-482ABF6FAC09}">
      <formula1>AND(ISNUMBER(D42),D42=INT(D42),D42&gt;=0,D42&lt;=999999999999999)</formula1>
    </dataValidation>
    <dataValidation type="custom" showInputMessage="1" showErrorMessage="1" errorTitle="入力エラー" error="0以上999,999,999,999,999以下の整数（円）を入力してください。" sqref="D43" xr:uid="{3E548219-7EB8-43E5-BF32-CEBA7B0FE1DC}">
      <formula1>AND(ISNUMBER(D43),D43=INT(D43),D43&gt;=0,D43&lt;=999999999999999)</formula1>
    </dataValidation>
    <dataValidation type="custom" showInputMessage="1" showErrorMessage="1" errorTitle="入力エラー" error="0以上999,999,999,999,999以下の整数（円）を入力してください。" sqref="D44" xr:uid="{3E9E3FB1-FB20-4B26-9EBC-7B7170FAF6CC}">
      <formula1>AND(ISNUMBER(D44),D44=INT(D44),D44&gt;=0,D44&lt;=999999999999999)</formula1>
    </dataValidation>
    <dataValidation type="custom" showInputMessage="1" showErrorMessage="1" errorTitle="入力エラー" error="0以上999,999,999,999,999以下の整数（円）を入力してください。" sqref="D45" xr:uid="{88627474-3921-4C25-B30D-C73AFE6933A8}">
      <formula1>AND(ISNUMBER(D45),D45=INT(D45),D45&gt;=0,D45&lt;=999999999999999)</formula1>
    </dataValidation>
    <dataValidation type="custom" showInputMessage="1" showErrorMessage="1" errorTitle="入力エラー" error="0以上999,999,999,999,999以下の整数（円）を入力してください。" sqref="D46" xr:uid="{42FF21D6-73A8-4519-85BF-4365C23F1428}">
      <formula1>AND(ISNUMBER(D46),D46=INT(D46),D46&gt;=0,D46&lt;=999999999999999)</formula1>
    </dataValidation>
    <dataValidation type="custom" showInputMessage="1" showErrorMessage="1" errorTitle="入力エラー" error="0以上999,999,999,999,999以下の整数（円）を入力してください。" sqref="D47" xr:uid="{7CDE8FDF-F473-4117-979C-F6FEFC1C3520}">
      <formula1>AND(ISNUMBER(D47),D47=INT(D47),D47&gt;=0,D47&lt;=999999999999999)</formula1>
    </dataValidation>
    <dataValidation type="custom" showInputMessage="1" showErrorMessage="1" errorTitle="入力エラー" error="0以上999,999,999,999,999以下の整数（円）を入力してください。" sqref="D48" xr:uid="{E48F1542-8EA5-4EC3-9D7C-5F7353F1A4BD}">
      <formula1>AND(ISNUMBER(D48),D48=INT(D48),D48&gt;=0,D48&lt;=999999999999999)</formula1>
    </dataValidation>
    <dataValidation type="custom" showInputMessage="1" showErrorMessage="1" errorTitle="入力エラー" error="0以上999,999,999,999,999以下の整数（円）を入力してください。" sqref="D49" xr:uid="{47F55169-BD94-4589-BDA1-87C6D04F62DA}">
      <formula1>AND(ISNUMBER(D49),D49=INT(D49),D49&gt;=0,D49&lt;=999999999999999)</formula1>
    </dataValidation>
    <dataValidation type="custom" showInputMessage="1" showErrorMessage="1" errorTitle="入力エラー" error="0以上999,999,999,999,999以下の整数（円）を入力してください。" sqref="D50" xr:uid="{0C91DEA5-8546-44DE-B649-1FD26055F941}">
      <formula1>AND(ISNUMBER(D50),D50=INT(D50),D50&gt;=0,D50&lt;=999999999999999)</formula1>
    </dataValidation>
    <dataValidation type="custom" showInputMessage="1" showErrorMessage="1" errorTitle="入力エラー" error="0以上999,999,999,999,999以下の整数（円）を入力してください。" sqref="D51" xr:uid="{76CFB0BF-D121-487F-B043-56A905C7D0C0}">
      <formula1>AND(ISNUMBER(D51),D51=INT(D51),D51&gt;=0,D51&lt;=999999999999999)</formula1>
    </dataValidation>
    <dataValidation type="custom" showInputMessage="1" showErrorMessage="1" errorTitle="入力エラー" error="0以上999,999,999,999,999以下の整数（円）を入力してください。" sqref="D52" xr:uid="{FBEC7CCC-1061-405A-A9AF-D467AE62BFE5}">
      <formula1>AND(ISNUMBER(D52),D52=INT(D52),D52&gt;=0,D52&lt;=999999999999999)</formula1>
    </dataValidation>
    <dataValidation type="custom" showInputMessage="1" showErrorMessage="1" errorTitle="入力エラー" error="0以上999,999,999,999,999以下の整数（円）を入力してください。" sqref="D53" xr:uid="{B62C78FD-7D6E-4DBC-A6C9-D61AFDC183BA}">
      <formula1>AND(ISNUMBER(D53),D53=INT(D53),D53&gt;=0,D53&lt;=999999999999999)</formula1>
    </dataValidation>
    <dataValidation type="custom" showInputMessage="1" showErrorMessage="1" errorTitle="入力エラー" error="0以上999,999,999,999,999以下の整数（円）を入力してください。" sqref="D57" xr:uid="{E69100A8-AF3F-4068-A7C4-E81AD9AA8C25}">
      <formula1>AND(ISNUMBER(D57),D57=INT(D57),D57&gt;=0,D57&lt;=999999999999999)</formula1>
    </dataValidation>
    <dataValidation type="custom" showInputMessage="1" showErrorMessage="1" errorTitle="入力エラー" error="0以上999,999,999,999,999以下の整数（円）を入力してください。" sqref="D58" xr:uid="{B5371BD8-A6E4-46F1-A4C5-A70BE340D7E9}">
      <formula1>AND(ISNUMBER(D58),D58=INT(D58),D58&gt;=0,D58&lt;=999999999999999)</formula1>
    </dataValidation>
    <dataValidation type="custom" showInputMessage="1" showErrorMessage="1" errorTitle="入力エラー" error="0以上999,999,999,999,999以下の整数（円）を入力してください。" sqref="D59" xr:uid="{4F00C2E6-9750-4590-AB66-E552DE3BFAF0}">
      <formula1>AND(ISNUMBER(D59),D59=INT(D59),D59&gt;=0,D59&lt;=999999999999999)</formula1>
    </dataValidation>
    <dataValidation type="custom" showInputMessage="1" showErrorMessage="1" errorTitle="入力エラー" error="0以上999,999,999,999,999以下の整数（円）を入力してください。" sqref="D60" xr:uid="{8A6B9205-CFA8-42D0-9863-A7B656FE26A5}">
      <formula1>AND(ISNUMBER(D60),D60=INT(D60),D60&gt;=0,D60&lt;=999999999999999)</formula1>
    </dataValidation>
    <dataValidation type="custom" showInputMessage="1" showErrorMessage="1" errorTitle="入力エラー" error="0以上999,999,999,999,999以下の整数（円）を入力してください。" sqref="D61" xr:uid="{926C4BDD-4AC8-43B4-888A-ED43FF886CB6}">
      <formula1>AND(ISNUMBER(D61),D61=INT(D61),D61&gt;=0,D61&lt;=999999999999999)</formula1>
    </dataValidation>
    <dataValidation type="custom" showInputMessage="1" showErrorMessage="1" errorTitle="入力エラー" error="絶対値999,999,999,999,999以下の正又は負の整数（円）を入力してください。" sqref="D62" xr:uid="{E77F0352-AC32-40E3-A2FC-C2387FC8E2FA}">
      <formula1>AND(ISNUMBER(D62),D62=INT(D62),ABS(D62)&lt;=999999999999999)</formula1>
    </dataValidation>
    <dataValidation type="custom" showInputMessage="1" showErrorMessage="1" errorTitle="入力エラー" error="0以上999,999,999,999,999以下の整数（円）を入力してください。" sqref="D63" xr:uid="{8C0CAC77-D58C-4089-B0A2-7A771E33CBFB}">
      <formula1>AND(ISNUMBER(D63),D63=INT(D63),D63&gt;=0,D63&lt;=999999999999999)</formula1>
    </dataValidation>
    <dataValidation type="custom" showInputMessage="1" showErrorMessage="1" errorTitle="入力エラー" error="0以上999,999,999,999,999以下の整数（円）を入力してください。" sqref="D64" xr:uid="{45FD5A0B-0CAD-4F26-B203-8F6FB213F6B0}">
      <formula1>AND(ISNUMBER(D64),D64=INT(D64),D64&gt;=0,D64&lt;=999999999999999)</formula1>
    </dataValidation>
    <dataValidation type="custom" showInputMessage="1" showErrorMessage="1" errorTitle="入力エラー" error="0以上999,999,999,999,999以下の整数（円）を入力してください。" sqref="D65" xr:uid="{100BB9D2-7FD8-4466-818E-71212D553C25}">
      <formula1>AND(ISNUMBER(D65),D65=INT(D65),D65&gt;=0,D65&lt;=999999999999999)</formula1>
    </dataValidation>
    <dataValidation type="custom" showInputMessage="1" showErrorMessage="1" errorTitle="入力エラー" error="0以上999,999,999,999,999以下の整数（円）を入力してください。" sqref="D66" xr:uid="{A23C443B-B3CB-4B44-8F56-1E5A137DE922}">
      <formula1>AND(ISNUMBER(D66),D66=INT(D66),D66&gt;=0,D66&lt;=999999999999999)</formula1>
    </dataValidation>
    <dataValidation type="custom" showInputMessage="1" showErrorMessage="1" errorTitle="入力エラー" error="0以上999,999,999,999,999以下の整数（円）を入力してください。" sqref="D67" xr:uid="{25F76923-F62D-4111-9A8E-78D30F256A9F}">
      <formula1>AND(ISNUMBER(D67),D67=INT(D67),D67&gt;=0,D67&lt;=999999999999999)</formula1>
    </dataValidation>
    <dataValidation type="custom" showInputMessage="1" showErrorMessage="1" errorTitle="入力エラー" error="0以上999,999,999,999,999以下の整数（円）を入力してください。" sqref="D68" xr:uid="{B26106CD-8F1B-40A4-BB93-38F51B7DC5ED}">
      <formula1>AND(ISNUMBER(D68),D68=INT(D68),D68&gt;=0,D68&lt;=999999999999999)</formula1>
    </dataValidation>
    <dataValidation type="custom" showInputMessage="1" showErrorMessage="1" errorTitle="入力エラー" error="0以上999,999,999,999,999以下の整数（円）を入力してください。" sqref="D69" xr:uid="{74D1BA84-DC86-4C58-9FC3-EEF3BE8ABC1A}">
      <formula1>AND(ISNUMBER(D69),D69=INT(D69),D69&gt;=0,D69&lt;=999999999999999)</formula1>
    </dataValidation>
    <dataValidation type="custom" showInputMessage="1" showErrorMessage="1" errorTitle="入力エラー" error="0以上999,999,999,999,999以下の整数（円）を入力してください。" sqref="D70" xr:uid="{40036AEA-C456-464B-AB6D-B82B0B36DD90}">
      <formula1>AND(ISNUMBER(D70),D70=INT(D70),D70&gt;=0,D70&lt;=999999999999999)</formula1>
    </dataValidation>
    <dataValidation type="custom" showInputMessage="1" showErrorMessage="1" errorTitle="入力エラー" error="0以上999,999,999,999,999以下の整数（円）を入力してください。" sqref="D71" xr:uid="{8C1B61C1-C783-49E4-AD9C-B17D30309D3E}">
      <formula1>AND(ISNUMBER(D71),D71=INT(D71),D71&gt;=0,D71&lt;=999999999999999)</formula1>
    </dataValidation>
    <dataValidation type="custom" showInputMessage="1" showErrorMessage="1" errorTitle="入力エラー" error="0以上999,999,999,999,999以下の整数（円）を入力してください。" sqref="D72" xr:uid="{73331091-8F44-4C50-B067-F15528B1787F}">
      <formula1>AND(ISNUMBER(D72),D72=INT(D72),D72&gt;=0,D72&lt;=999999999999999)</formula1>
    </dataValidation>
    <dataValidation type="custom" showInputMessage="1" showErrorMessage="1" errorTitle="入力エラー" error="0以上999,999,999,999,999以下の整数（円）を入力してください。" sqref="D73" xr:uid="{59284E28-C2B1-4C5F-BD9B-E711BD313B6C}">
      <formula1>AND(ISNUMBER(D73),D73=INT(D73),D73&gt;=0,D73&lt;=999999999999999)</formula1>
    </dataValidation>
    <dataValidation type="custom" showInputMessage="1" showErrorMessage="1" errorTitle="入力エラー" error="0以上999,999,999,999,999以下の整数（円）を入力してください。" sqref="D74" xr:uid="{3BB45686-69D4-440F-A1B1-231B749170EB}">
      <formula1>AND(ISNUMBER(D74),D74=INT(D74),D74&gt;=0,D74&lt;=999999999999999)</formula1>
    </dataValidation>
    <dataValidation type="custom" showInputMessage="1" showErrorMessage="1" errorTitle="入力エラー" error="0以上999,999,999,999,999以下の整数（円）を入力してください。" sqref="D75" xr:uid="{30205889-714C-4E6E-AE37-51CB626D60A8}">
      <formula1>AND(ISNUMBER(D75),D75=INT(D75),D75&gt;=0,D75&lt;=999999999999999)</formula1>
    </dataValidation>
    <dataValidation type="custom" showInputMessage="1" showErrorMessage="1" errorTitle="入力エラー" error="0以上999,999,999,999,999以下の整数（円）を入力してください。" sqref="D76" xr:uid="{31DAFE71-AD73-492D-B19B-7FE9C2091640}">
      <formula1>AND(ISNUMBER(D76),D76=INT(D76),D76&gt;=0,D76&lt;=999999999999999)</formula1>
    </dataValidation>
    <dataValidation type="custom" showInputMessage="1" showErrorMessage="1" errorTitle="入力エラー" error="0以上999,999,999,999,999以下の整数（円）を入力してください。" sqref="D77" xr:uid="{03B1F3A2-DEB3-4438-8238-56CD238386FC}">
      <formula1>AND(ISNUMBER(D77),D77=INT(D77),D77&gt;=0,D77&lt;=999999999999999)</formula1>
    </dataValidation>
    <dataValidation type="custom" showInputMessage="1" showErrorMessage="1" errorTitle="入力エラー" error="0以上999,999,999,999,999以下の整数（円）を入力してください。" sqref="D78" xr:uid="{2C8776D4-F9DB-4CA6-B1B3-395BE7939B5E}">
      <formula1>AND(ISNUMBER(D78),D78=INT(D78),D78&gt;=0,D78&lt;=999999999999999)</formula1>
    </dataValidation>
    <dataValidation type="custom" showInputMessage="1" showErrorMessage="1" errorTitle="入力エラー" error="0以上999,999,999,999,999以下の整数（円）を入力してください。" sqref="D79" xr:uid="{03E015F0-F830-4D4B-958B-E5E711D460A4}">
      <formula1>AND(ISNUMBER(D79),D79=INT(D79),D79&gt;=0,D79&lt;=999999999999999)</formula1>
    </dataValidation>
    <dataValidation type="custom" showInputMessage="1" showErrorMessage="1" errorTitle="入力エラー" error="0以上999,999,999,999,999以下の整数（円）を入力してください。" sqref="D80" xr:uid="{E2480A85-71D5-4577-88F3-FF8294A8BE64}">
      <formula1>AND(ISNUMBER(D80),D80=INT(D80),D80&gt;=0,D80&lt;=999999999999999)</formula1>
    </dataValidation>
    <dataValidation type="custom" showInputMessage="1" showErrorMessage="1" errorTitle="入力エラー" error="0以上999,999,999,999,999以下の整数（円）を入力してください。" sqref="D81" xr:uid="{F8B37134-518E-41F1-AA9F-F7AA22E486EE}">
      <formula1>AND(ISNUMBER(D81),D81=INT(D81),D81&gt;=0,D81&lt;=999999999999999)</formula1>
    </dataValidation>
    <dataValidation type="custom" showInputMessage="1" showErrorMessage="1" errorTitle="入力エラー" error="0以上999,999,999,999,999以下の整数（円）を入力してください。" sqref="D82" xr:uid="{ED48946C-FBFA-46E0-B6C9-E1CBC22213C5}">
      <formula1>AND(ISNUMBER(D82),D82=INT(D82),D82&gt;=0,D82&lt;=999999999999999)</formula1>
    </dataValidation>
    <dataValidation type="custom" showInputMessage="1" showErrorMessage="1" errorTitle="入力エラー" error="0以上999,999,999,999,999以下の整数（円）を入力してください。" sqref="D83" xr:uid="{B47AD2B8-659A-460A-9DDD-BA6F56388B95}">
      <formula1>AND(ISNUMBER(D83),D83=INT(D83),D83&gt;=0,D83&lt;=999999999999999)</formula1>
    </dataValidation>
    <dataValidation type="custom" showInputMessage="1" showErrorMessage="1" errorTitle="入力エラー" error="0以上999,999,999,999,999以下の整数（円）を入力してください。" sqref="D84" xr:uid="{2145A2E2-139A-4BCB-B2A5-88D7225C9E04}">
      <formula1>AND(ISNUMBER(D84),D84=INT(D84),D84&gt;=0,D84&lt;=999999999999999)</formula1>
    </dataValidation>
    <dataValidation type="custom" showInputMessage="1" showErrorMessage="1" errorTitle="入力エラー" error="0以上999,999,999,999,999以下の整数（円）を入力してください。" sqref="D88" xr:uid="{7B16C65B-7F1D-493F-8F15-32CC69E78C4C}">
      <formula1>AND(ISNUMBER(D88),D88=INT(D88),D88&gt;=0,D88&lt;=999999999999999)</formula1>
    </dataValidation>
    <dataValidation type="custom" showInputMessage="1" showErrorMessage="1" errorTitle="入力エラー" error="0以上999,999,999,999,999以下の整数（円）を入力してください。" sqref="D89" xr:uid="{31D7B943-BC63-4B17-A965-F9B934562ACF}">
      <formula1>AND(ISNUMBER(D89),D89=INT(D89),D89&gt;=0,D89&lt;=999999999999999)</formula1>
    </dataValidation>
    <dataValidation type="custom" showInputMessage="1" showErrorMessage="1" errorTitle="入力エラー" error="0以上999,999,999,999,999以下の整数（円）を入力してください。" sqref="D90" xr:uid="{0259603C-3768-41D3-8CE6-751DF1F52FEB}">
      <formula1>AND(ISNUMBER(D90),D90=INT(D90),D90&gt;=0,D90&lt;=999999999999999)</formula1>
    </dataValidation>
    <dataValidation type="custom" showInputMessage="1" showErrorMessage="1" errorTitle="入力エラー" error="0以上999,999,999,999,999以下の整数（円）を入力してください。" sqref="D91" xr:uid="{69292E05-3C47-4A0D-B854-9B96B5062652}">
      <formula1>AND(ISNUMBER(D91),D91=INT(D91),D91&gt;=0,D91&lt;=999999999999999)</formula1>
    </dataValidation>
    <dataValidation type="custom" showInputMessage="1" showErrorMessage="1" errorTitle="入力エラー" error="0以上999,999,999,999,999以下の整数（円）を入力してください。" sqref="D92" xr:uid="{AEF05DF3-5E85-4F98-AF95-C8CE38806E78}">
      <formula1>AND(ISNUMBER(D92),D92=INT(D92),D92&gt;=0,D92&lt;=999999999999999)</formula1>
    </dataValidation>
    <dataValidation type="custom" showInputMessage="1" showErrorMessage="1" errorTitle="入力エラー" error="0以上999,999,999,999,999以下の整数（円）を入力してください。" sqref="D93" xr:uid="{C1127420-F316-423F-B381-BD5061B5382A}">
      <formula1>AND(ISNUMBER(D93),D93=INT(D93),D93&gt;=0,D93&lt;=999999999999999)</formula1>
    </dataValidation>
    <dataValidation type="custom" showInputMessage="1" showErrorMessage="1" errorTitle="入力エラー" error="0以上999,999,999,999,999以下の整数（円）を入力してください。" sqref="D94" xr:uid="{8CE3BD05-F7C0-4A6C-B272-76FD8CE46FF8}">
      <formula1>AND(ISNUMBER(D94),D94=INT(D94),D94&gt;=0,D94&lt;=999999999999999)</formula1>
    </dataValidation>
    <dataValidation type="custom" showInputMessage="1" showErrorMessage="1" errorTitle="入力エラー" error="0以上999,999,999,999,999以下の整数（円）を入力してください。" sqref="D95" xr:uid="{6A304A46-623C-47B4-AC6A-1D2FEE5EC654}">
      <formula1>AND(ISNUMBER(D95),D95=INT(D95),D95&gt;=0,D95&lt;=999999999999999)</formula1>
    </dataValidation>
    <dataValidation type="custom" showInputMessage="1" showErrorMessage="1" errorTitle="入力エラー" error="0以上999,999,999,999,999以下の整数（円）を入力してください。" sqref="D96" xr:uid="{64CADD23-D2F1-4739-B177-8C659547CFC7}">
      <formula1>AND(ISNUMBER(D96),D96=INT(D96),D96&gt;=0,D96&lt;=999999999999999)</formula1>
    </dataValidation>
    <dataValidation type="custom" showInputMessage="1" showErrorMessage="1" errorTitle="入力エラー" error="0以上999,999,999,999,999以下の整数（円）を入力してください。" sqref="D97" xr:uid="{F54F82AD-C1A5-4E9F-A3B0-DEFFE8E500E7}">
      <formula1>AND(ISNUMBER(D97),D97=INT(D97),D97&gt;=0,D97&lt;=999999999999999)</formula1>
    </dataValidation>
    <dataValidation type="custom" showInputMessage="1" showErrorMessage="1" errorTitle="付表二入力エラー" error="付表二21欄の控除前合計額は20欄以上で入力してください。" sqref="D98" xr:uid="{52049F4A-A78E-48FF-A375-78C537AC1044}">
      <formula1>AND(ISNUMBER(D98),D98=INT(D98),D98&gt;=f2_20,D98&lt;=999999999999999)</formula1>
    </dataValidation>
    <dataValidation type="custom" showInputMessage="1" showErrorMessage="1" errorTitle="付表二入力エラー" error="付表二23欄の控除前合計額は22欄以上で入力してください。" sqref="D99" xr:uid="{DB960149-C264-488E-B3F4-33C1FC124ACD}">
      <formula1>AND(ISNUMBER(D99),D99=INT(D99),D99&gt;=f2_22,D99&lt;=999999999999999)</formula1>
    </dataValidation>
  </dataValidations>
  <printOptions horizontalCentered="1"/>
  <pageMargins left="0.25" right="0.25" top="0.35" bottom="0.35" header="0.3" footer="0.3"/>
  <pageSetup paperSize="9" scale="81" fitToHeight="999" orientation="landscape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56DF5D-A7D2-4983-822E-7878E4F3B4F4}">
  <sheetPr>
    <tabColor rgb="FF2F75B5"/>
    <pageSetUpPr fitToPage="1"/>
  </sheetPr>
  <dimension ref="A1:Z32"/>
  <sheetViews>
    <sheetView showGridLines="0" zoomScale="90" zoomScaleNormal="90" workbookViewId="0">
      <pane ySplit="4" topLeftCell="A5" activePane="bottomLeft" state="frozenSplit"/>
      <selection pane="bottomLeft" sqref="A1:E1"/>
    </sheetView>
  </sheetViews>
  <sheetFormatPr defaultRowHeight="18"/>
  <cols>
    <col min="1" max="1" width="7.69921875" customWidth="1"/>
    <col min="2" max="2" width="37.69921875" customWidth="1"/>
    <col min="3" max="3" width="49.69921875" customWidth="1"/>
    <col min="4" max="4" width="18.69921875" customWidth="1"/>
    <col min="5" max="5" width="28.69921875" customWidth="1"/>
    <col min="6" max="6" width="31.69921875" customWidth="1"/>
    <col min="7" max="7" width="19.69921875" customWidth="1"/>
    <col min="26" max="26" width="0" hidden="1" customWidth="1"/>
  </cols>
  <sheetData>
    <row r="1" spans="1:26" ht="30" customHeight="1">
      <c r="A1" s="7" t="s">
        <v>456</v>
      </c>
      <c r="B1" s="8"/>
      <c r="C1" s="8"/>
      <c r="D1" s="8"/>
      <c r="E1" s="8"/>
    </row>
    <row r="2" spans="1:26">
      <c r="A2" s="9" t="s">
        <v>341</v>
      </c>
      <c r="B2" s="8"/>
      <c r="C2" s="8"/>
      <c r="D2" s="8"/>
      <c r="E2" s="8"/>
    </row>
    <row r="3" spans="1:26">
      <c r="A3" s="10"/>
      <c r="B3" s="10"/>
      <c r="C3" s="10"/>
      <c r="D3" s="10"/>
      <c r="E3" s="10"/>
    </row>
    <row r="4" spans="1:26">
      <c r="A4" s="26" t="s">
        <v>342</v>
      </c>
      <c r="B4" s="26" t="s">
        <v>343</v>
      </c>
      <c r="C4" s="26" t="s">
        <v>344</v>
      </c>
      <c r="D4" s="26" t="s">
        <v>345</v>
      </c>
      <c r="E4" s="26" t="s">
        <v>346</v>
      </c>
      <c r="F4" s="30" t="s">
        <v>518</v>
      </c>
      <c r="G4" s="30" t="s">
        <v>519</v>
      </c>
    </row>
    <row r="5" spans="1:26" ht="37.950000000000003" customHeight="1">
      <c r="A5" s="27">
        <v>1</v>
      </c>
      <c r="B5" s="28" t="s">
        <v>457</v>
      </c>
      <c r="C5" s="28" t="s">
        <v>458</v>
      </c>
      <c r="D5" s="29">
        <f>IFERROR(IF(cfg_exact_domain_ok,MIN(m_21,IF(inp_months="",0,30000000*inp_months/12)),0),0)</f>
        <v>0</v>
      </c>
      <c r="E5" s="28" t="s">
        <v>459</v>
      </c>
      <c r="F5" s="5" t="s">
        <v>520</v>
      </c>
      <c r="G5" s="31">
        <f>IFERROR(MAX(m_19-m_20,0),0)</f>
        <v>0</v>
      </c>
      <c r="Z5" s="25" t="s">
        <v>593</v>
      </c>
    </row>
    <row r="6" spans="1:26" ht="37.950000000000003" customHeight="1">
      <c r="A6" s="27">
        <v>2</v>
      </c>
      <c r="B6" s="28" t="s">
        <v>460</v>
      </c>
      <c r="C6" s="28" t="s">
        <v>461</v>
      </c>
      <c r="D6" s="29">
        <f>IFERROR(IF(cfg_exact_domain_ok,$G$10,0),0)</f>
        <v>0</v>
      </c>
      <c r="E6" s="28" t="s">
        <v>462</v>
      </c>
      <c r="F6" s="5" t="s">
        <v>521</v>
      </c>
      <c r="G6" s="31">
        <f>IFERROR(G5-m_21,0)</f>
        <v>0</v>
      </c>
      <c r="Z6" s="25" t="s">
        <v>594</v>
      </c>
    </row>
    <row r="7" spans="1:26" ht="37.950000000000003" customHeight="1">
      <c r="A7" s="27">
        <v>3</v>
      </c>
      <c r="B7" s="28" t="s">
        <v>463</v>
      </c>
      <c r="C7" s="28" t="s">
        <v>464</v>
      </c>
      <c r="D7" s="29">
        <f>IFERROR(IF(cfg_exact_domain_ok,m_21-m_01-m_02,0),0)</f>
        <v>0</v>
      </c>
      <c r="E7" s="28" t="s">
        <v>459</v>
      </c>
      <c r="F7" s="5" t="s">
        <v>522</v>
      </c>
      <c r="G7" s="31">
        <f>IFERROR(IF(inp_months="",0,100000000*inp_months/12),0)</f>
        <v>100000000</v>
      </c>
      <c r="Z7" s="25" t="s">
        <v>595</v>
      </c>
    </row>
    <row r="8" spans="1:26" ht="37.950000000000003" customHeight="1">
      <c r="A8" s="27">
        <v>4</v>
      </c>
      <c r="B8" s="28" t="s">
        <v>465</v>
      </c>
      <c r="C8" s="28" t="s">
        <v>466</v>
      </c>
      <c r="D8" s="29">
        <f>IFERROR(IF(cfg_exact_domain_ok,SUM(m_01:m_03),0),0)</f>
        <v>0</v>
      </c>
      <c r="E8" s="28" t="s">
        <v>467</v>
      </c>
      <c r="F8" s="5" t="s">
        <v>523</v>
      </c>
      <c r="G8" s="31">
        <f>IFERROR(MAX(0,MIN(m_21-m_01,G7-m_01)),0)</f>
        <v>0</v>
      </c>
      <c r="Z8" s="25" t="s">
        <v>596</v>
      </c>
    </row>
    <row r="9" spans="1:26" ht="37.950000000000003" customHeight="1">
      <c r="A9" s="27">
        <v>5</v>
      </c>
      <c r="B9" s="28" t="s">
        <v>468</v>
      </c>
      <c r="C9" s="28" t="s">
        <v>469</v>
      </c>
      <c r="D9" s="29">
        <f>IFERROR(IF(cfg_exact_domain_ok,QUOTIENT(m_01,10),0),0)</f>
        <v>0</v>
      </c>
      <c r="E9" s="28" t="s">
        <v>383</v>
      </c>
      <c r="F9" s="5" t="s">
        <v>524</v>
      </c>
      <c r="G9" s="31">
        <f>IFERROR(G8-ROUNDDOWN(G8,-3),0)</f>
        <v>0</v>
      </c>
      <c r="Z9" s="25" t="s">
        <v>597</v>
      </c>
    </row>
    <row r="10" spans="1:26" ht="37.950000000000003" customHeight="1">
      <c r="A10" s="27">
        <v>6</v>
      </c>
      <c r="B10" s="28" t="s">
        <v>470</v>
      </c>
      <c r="C10" s="28" t="s">
        <v>471</v>
      </c>
      <c r="D10" s="29">
        <f>IFERROR(IF(cfg_exact_domain_ok,QUOTIENT(m_02*3,20),0),0)</f>
        <v>0</v>
      </c>
      <c r="E10" s="28" t="s">
        <v>383</v>
      </c>
      <c r="F10" s="5" t="s">
        <v>525</v>
      </c>
      <c r="G10" s="31">
        <f>IFERROR(IF(G9&gt;G6,ROUNDUP(G8,-3),ROUNDDOWN(G8,-3)),0)</f>
        <v>0</v>
      </c>
      <c r="Z10" s="25" t="s">
        <v>598</v>
      </c>
    </row>
    <row r="11" spans="1:26" ht="37.950000000000003" customHeight="1">
      <c r="A11" s="27">
        <v>7</v>
      </c>
      <c r="B11" s="28" t="s">
        <v>472</v>
      </c>
      <c r="C11" s="28" t="s">
        <v>473</v>
      </c>
      <c r="D11" s="29">
        <f>IFERROR(IF(cfg_exact_domain_ok,QUOTIENT(m_03,5),0),0)</f>
        <v>0</v>
      </c>
      <c r="E11" s="28" t="s">
        <v>383</v>
      </c>
      <c r="Z11" s="25" t="s">
        <v>599</v>
      </c>
    </row>
    <row r="12" spans="1:26" ht="37.950000000000003" customHeight="1">
      <c r="A12" s="27">
        <v>8</v>
      </c>
      <c r="B12" s="28" t="s">
        <v>474</v>
      </c>
      <c r="C12" s="28" t="s">
        <v>475</v>
      </c>
      <c r="D12" s="33">
        <f>IFERROR(IF(cfg_exact_domain_ok,SUM(m_05:m_07),0),0)</f>
        <v>0</v>
      </c>
      <c r="E12" s="28" t="s">
        <v>476</v>
      </c>
      <c r="Z12" s="25" t="s">
        <v>600</v>
      </c>
    </row>
    <row r="13" spans="1:26" ht="37.950000000000003" customHeight="1">
      <c r="A13" s="27">
        <v>9</v>
      </c>
      <c r="B13" s="28" t="s">
        <v>477</v>
      </c>
      <c r="C13" s="28" t="s">
        <v>478</v>
      </c>
      <c r="D13" s="29">
        <f>IFERROR(IF(cfg_exact_domain_ok,inp_m_B4_52_2+inp_b10_7_15,0),0)</f>
        <v>0</v>
      </c>
      <c r="E13" s="28" t="s">
        <v>479</v>
      </c>
      <c r="Z13" s="25" t="s">
        <v>601</v>
      </c>
    </row>
    <row r="14" spans="1:26" ht="37.950000000000003" customHeight="1">
      <c r="A14" s="27">
        <v>10</v>
      </c>
      <c r="B14" s="28" t="s">
        <v>480</v>
      </c>
      <c r="C14" s="28" t="s">
        <v>38</v>
      </c>
      <c r="D14" s="29">
        <f>IFERROR(IF(cfg_exact_domain_ok,inp_prev_div,0),0)</f>
        <v>0</v>
      </c>
      <c r="E14" s="28" t="s">
        <v>40</v>
      </c>
      <c r="Z14" s="25" t="s">
        <v>602</v>
      </c>
    </row>
    <row r="15" spans="1:26" ht="37.950000000000003" customHeight="1">
      <c r="A15" s="27">
        <v>11</v>
      </c>
      <c r="B15" s="28" t="s">
        <v>481</v>
      </c>
      <c r="C15" s="28" t="s">
        <v>42</v>
      </c>
      <c r="D15" s="29">
        <f>IFERROR(IF(cfg_exact_domain_ok,inp_curr_div,0),0)</f>
        <v>0</v>
      </c>
      <c r="E15" s="28" t="s">
        <v>40</v>
      </c>
      <c r="Z15" s="25" t="s">
        <v>603</v>
      </c>
    </row>
    <row r="16" spans="1:26" ht="37.950000000000003" customHeight="1">
      <c r="A16" s="27">
        <v>12</v>
      </c>
      <c r="B16" s="28" t="s">
        <v>482</v>
      </c>
      <c r="C16" s="28" t="s">
        <v>483</v>
      </c>
      <c r="D16" s="29">
        <f>IFERROR(IF(cfg_exact_domain_ok,MAX(MAX((inp_b1_2-inp_b1_3+inp_b1_4+inp_b1_6+inp_b1_9out-inp_b1_11-inp_b1_18)-inp_b6_5_2_5_3,0)+MAX((inp_b1_31+inp_b1_32-inp_b1_36-inp_b1_94)-MAX(inp_b6_5_2_5_3-(inp_b1_2-inp_b1_3+inp_b1_4+inp_b1_6+inp_b1_9out),0),0)+MAX(inp_b1_50+inp_b1_51-inp_b1_55-inp_b1_71,0)-MAX(inp_b6_5_2_5_3-(inp_b1_2-inp_b1_3+inp_b1_4+inp_b1_6+inp_b1_9out)-(inp_b1_31+inp_b1_32),0),0),0),0)</f>
        <v>0</v>
      </c>
      <c r="E16" s="28" t="s">
        <v>484</v>
      </c>
      <c r="Z16" s="25" t="s">
        <v>604</v>
      </c>
    </row>
    <row r="17" spans="1:26" ht="37.950000000000003" customHeight="1">
      <c r="A17" s="27">
        <v>13</v>
      </c>
      <c r="B17" s="28" t="s">
        <v>485</v>
      </c>
      <c r="C17" s="28" t="s">
        <v>486</v>
      </c>
      <c r="D17" s="29">
        <f>IFERROR(IF(cfg_exact_domain_ok,m_28,0),0)</f>
        <v>0</v>
      </c>
      <c r="E17" s="28" t="s">
        <v>383</v>
      </c>
      <c r="Z17" s="25" t="s">
        <v>605</v>
      </c>
    </row>
    <row r="18" spans="1:26" ht="37.950000000000003" customHeight="1">
      <c r="A18" s="27">
        <v>14</v>
      </c>
      <c r="B18" s="28" t="s">
        <v>487</v>
      </c>
      <c r="C18" s="28" t="s">
        <v>87</v>
      </c>
      <c r="D18" s="29">
        <f>IFERROR(IF(cfg_exact_domain_ok,inp_b17_3_6_1,0),0)</f>
        <v>0</v>
      </c>
      <c r="E18" s="28" t="s">
        <v>383</v>
      </c>
      <c r="Z18" s="25" t="s">
        <v>606</v>
      </c>
    </row>
    <row r="19" spans="1:26" ht="37.950000000000003" customHeight="1">
      <c r="A19" s="27">
        <v>15</v>
      </c>
      <c r="B19" s="28" t="s">
        <v>488</v>
      </c>
      <c r="C19" s="28" t="s">
        <v>489</v>
      </c>
      <c r="D19" s="29">
        <f>IFERROR(IF(cfg_exact_domain_ok,MAX(m_12+m_13-m_14,0),0),0)</f>
        <v>0</v>
      </c>
      <c r="E19" s="28" t="s">
        <v>383</v>
      </c>
      <c r="Z19" s="25" t="s">
        <v>607</v>
      </c>
    </row>
    <row r="20" spans="1:26" ht="37.950000000000003" customHeight="1">
      <c r="A20" s="27">
        <v>16</v>
      </c>
      <c r="B20" s="28" t="s">
        <v>353</v>
      </c>
      <c r="C20" s="28" t="s">
        <v>490</v>
      </c>
      <c r="D20" s="29">
        <f>IFERROR(IF(cfg_exact_domain_ok,IF(inp_group="はい",f2_05,0),0),0)</f>
        <v>0</v>
      </c>
      <c r="E20" s="28" t="s">
        <v>431</v>
      </c>
      <c r="Z20" s="25" t="s">
        <v>608</v>
      </c>
    </row>
    <row r="21" spans="1:26" ht="37.950000000000003" customHeight="1">
      <c r="A21" s="27">
        <v>17</v>
      </c>
      <c r="B21" s="28" t="s">
        <v>364</v>
      </c>
      <c r="C21" s="28" t="s">
        <v>491</v>
      </c>
      <c r="D21" s="29">
        <f>IFERROR(IF(cfg_exact_domain_ok,IF(inp_group="はい",f2_10,0),0),0)</f>
        <v>0</v>
      </c>
      <c r="E21" s="28" t="s">
        <v>431</v>
      </c>
      <c r="Z21" s="25" t="s">
        <v>609</v>
      </c>
    </row>
    <row r="22" spans="1:26" ht="37.950000000000003" customHeight="1">
      <c r="A22" s="27">
        <v>18</v>
      </c>
      <c r="B22" s="28" t="s">
        <v>433</v>
      </c>
      <c r="C22" s="28" t="s">
        <v>492</v>
      </c>
      <c r="D22" s="29">
        <f>IFERROR(IF(cfg_exact_domain_ok,f1_19,0),0)</f>
        <v>0</v>
      </c>
      <c r="E22" s="28" t="s">
        <v>383</v>
      </c>
      <c r="Z22" s="25" t="s">
        <v>610</v>
      </c>
    </row>
    <row r="23" spans="1:26" ht="37.950000000000003" customHeight="1">
      <c r="A23" s="27">
        <v>19</v>
      </c>
      <c r="B23" s="28" t="s">
        <v>493</v>
      </c>
      <c r="C23" s="28" t="s">
        <v>494</v>
      </c>
      <c r="D23" s="29">
        <f>IFERROR(IF(cfg_exact_domain_ok,m_09-inp_m_B4_17_inner+m_10-m_11-m_15+m_16-m_17-m_18,0),0)</f>
        <v>0</v>
      </c>
      <c r="E23" s="28" t="s">
        <v>495</v>
      </c>
      <c r="Z23" s="25" t="s">
        <v>611</v>
      </c>
    </row>
    <row r="24" spans="1:26" ht="37.950000000000003" customHeight="1">
      <c r="A24" s="27">
        <v>20</v>
      </c>
      <c r="B24" s="28" t="s">
        <v>453</v>
      </c>
      <c r="C24" s="28" t="s">
        <v>496</v>
      </c>
      <c r="D24" s="29">
        <f>IFERROR(IF(cfg_exact_domain_ok,f1_34,0),0)</f>
        <v>20000000</v>
      </c>
      <c r="E24" s="28" t="s">
        <v>383</v>
      </c>
      <c r="Z24" s="25" t="s">
        <v>612</v>
      </c>
    </row>
    <row r="25" spans="1:26" ht="37.950000000000003" customHeight="1">
      <c r="A25" s="27">
        <v>21</v>
      </c>
      <c r="B25" s="28" t="s">
        <v>497</v>
      </c>
      <c r="C25" s="28" t="s">
        <v>498</v>
      </c>
      <c r="D25" s="33">
        <f>IFERROR(IF(cfg_exact_domain_ok,ROUNDDOWN(MAX(m_19-m_20,0),-3),0),0)</f>
        <v>0</v>
      </c>
      <c r="E25" s="28" t="s">
        <v>499</v>
      </c>
      <c r="Z25" s="25" t="s">
        <v>613</v>
      </c>
    </row>
    <row r="26" spans="1:26" ht="37.950000000000003" customHeight="1">
      <c r="A26" s="27">
        <v>22</v>
      </c>
      <c r="B26" s="28" t="s">
        <v>500</v>
      </c>
      <c r="C26" s="28" t="s">
        <v>501</v>
      </c>
      <c r="D26" s="29">
        <f>IFERROR(IF(cfg_exact_domain_ok,(inp_b1_2+(inp_b1_4-inp_b6_9_f_40-inp_b6_9_f_45-inp_b6_12_f2_19-inp_b6_12_f2_24)+inp_b1_6+inp_b1_9out-inp_b1_11-inp_b1_17)-(inp_b6_6_9_2+inp_b6_6_9_3+inp_b6_6_9_5_8+inp_b6_6_9_16_18+inp_b6_6_9_27_29),0),0)</f>
        <v>0</v>
      </c>
      <c r="E26" s="28" t="s">
        <v>502</v>
      </c>
      <c r="Z26" s="25" t="s">
        <v>614</v>
      </c>
    </row>
    <row r="27" spans="1:26" ht="37.950000000000003" customHeight="1">
      <c r="A27" s="27">
        <v>23</v>
      </c>
      <c r="B27" s="28" t="s">
        <v>503</v>
      </c>
      <c r="C27" s="28" t="s">
        <v>504</v>
      </c>
      <c r="D27" s="29">
        <f>IFERROR(IF(cfg_exact_domain_ok,(inp_b1_2+(inp_b1_4-inp_b6_9_f_40-inp_b6_9_f_45)+inp_b1_6+inp_b1_9out-inp_b1_11-inp_b1_17)-(inp_b6_6_3+inp_b6_6_9_2+inp_b6_6_9_3+inp_b6_6_9_4+inp_b6_6_9_5_8+inp_b6_6_9_11_14+inp_b6_6_9_16_18+inp_b6_6_9_19_20+inp_b6_6_9_25_26+inp_b6_6_9_27_29),0),0)</f>
        <v>0</v>
      </c>
      <c r="E27" s="28" t="s">
        <v>505</v>
      </c>
      <c r="Z27" s="25" t="s">
        <v>615</v>
      </c>
    </row>
    <row r="28" spans="1:26" ht="37.950000000000003" customHeight="1">
      <c r="A28" s="27">
        <v>24</v>
      </c>
      <c r="B28" s="28" t="s">
        <v>485</v>
      </c>
      <c r="C28" s="28" t="s">
        <v>506</v>
      </c>
      <c r="D28" s="29">
        <f>IFERROR(IF(cfg_exact_domain_ok,exact_r8_m_24_resident_q,0),0)</f>
        <v>0</v>
      </c>
      <c r="E28" s="28" t="s">
        <v>507</v>
      </c>
      <c r="Z28" s="25" t="s">
        <v>616</v>
      </c>
    </row>
    <row r="29" spans="1:26" ht="37.950000000000003" customHeight="1">
      <c r="A29" s="27">
        <v>25</v>
      </c>
      <c r="B29" s="28" t="s">
        <v>508</v>
      </c>
      <c r="C29" s="28" t="s">
        <v>509</v>
      </c>
      <c r="D29" s="29">
        <f>IFERROR(IF(cfg_exact_domain_ok,QUOTIENT(inp_specific_donation_total*2,5),0),0)</f>
        <v>0</v>
      </c>
      <c r="E29" s="28" t="s">
        <v>510</v>
      </c>
      <c r="Z29" s="25" t="s">
        <v>619</v>
      </c>
    </row>
    <row r="30" spans="1:26" ht="37.950000000000003" customHeight="1">
      <c r="A30" s="27">
        <v>26</v>
      </c>
      <c r="B30" s="28" t="s">
        <v>511</v>
      </c>
      <c r="C30" s="28" t="s">
        <v>512</v>
      </c>
      <c r="D30" s="29">
        <f>IFERROR(IF(cfg_exact_domain_ok,MAX(0,exact_r8_m_26_municipal_floor+exact_r8_m_26_delta_floor+QUOTIENT(exact_r8_m_26_municipal_rem+exact_r8_m_26_delta_rem,625)),0),0)</f>
        <v>0</v>
      </c>
      <c r="E30" s="28" t="s">
        <v>513</v>
      </c>
      <c r="Z30" s="25" t="s">
        <v>620</v>
      </c>
    </row>
    <row r="31" spans="1:26" ht="37.950000000000003" customHeight="1">
      <c r="A31" s="27">
        <v>27</v>
      </c>
      <c r="B31" s="28" t="s">
        <v>514</v>
      </c>
      <c r="C31" s="28" t="s">
        <v>515</v>
      </c>
      <c r="D31" s="29">
        <f>IFERROR(IF(cfg_exact_domain_ok,MIN(m_25,m_26),0),0)</f>
        <v>0</v>
      </c>
      <c r="E31" s="28" t="s">
        <v>383</v>
      </c>
      <c r="Z31" s="25" t="s">
        <v>625</v>
      </c>
    </row>
    <row r="32" spans="1:26" ht="37.950000000000003" customHeight="1">
      <c r="A32" s="27">
        <v>28</v>
      </c>
      <c r="B32" s="28" t="s">
        <v>485</v>
      </c>
      <c r="C32" s="28" t="s">
        <v>516</v>
      </c>
      <c r="D32" s="29">
        <f>IFERROR(IF(cfg_exact_domain_ok,m_24-m_27,0),0)</f>
        <v>0</v>
      </c>
      <c r="E32" s="28" t="s">
        <v>517</v>
      </c>
      <c r="Z32" s="25" t="s">
        <v>626</v>
      </c>
    </row>
  </sheetData>
  <sheetProtection sheet="1" objects="1" scenarios="1"/>
  <mergeCells count="2">
    <mergeCell ref="A1:E1"/>
    <mergeCell ref="A2:E2"/>
  </mergeCells>
  <phoneticPr fontId="4"/>
  <printOptions horizontalCentered="1"/>
  <pageMargins left="0.25" right="0.25" top="0.35" bottom="0.35" header="0.3" footer="0.3"/>
  <pageSetup paperSize="9" scale="37" fitToHeight="999" orientation="landscape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D5E0C1-8AA0-48A8-9B6F-63566DB94F4A}">
  <sheetPr>
    <tabColor rgb="FF2F75B5"/>
    <pageSetUpPr fitToPage="1"/>
  </sheetPr>
  <dimension ref="A1:Z38"/>
  <sheetViews>
    <sheetView showGridLines="0" zoomScale="90" zoomScaleNormal="90" workbookViewId="0">
      <pane ySplit="4" topLeftCell="A5" activePane="bottomLeft" state="frozenSplit"/>
      <selection pane="bottomLeft" sqref="A1:E1"/>
    </sheetView>
  </sheetViews>
  <sheetFormatPr defaultRowHeight="18"/>
  <cols>
    <col min="1" max="1" width="7.69921875" customWidth="1"/>
    <col min="2" max="2" width="37.69921875" customWidth="1"/>
    <col min="3" max="3" width="49.69921875" customWidth="1"/>
    <col min="4" max="4" width="18.69921875" customWidth="1"/>
    <col min="5" max="5" width="28.69921875" customWidth="1"/>
    <col min="26" max="26" width="0" hidden="1" customWidth="1"/>
  </cols>
  <sheetData>
    <row r="1" spans="1:26" ht="30" customHeight="1">
      <c r="A1" s="7" t="s">
        <v>399</v>
      </c>
      <c r="B1" s="8"/>
      <c r="C1" s="8"/>
      <c r="D1" s="8"/>
      <c r="E1" s="8"/>
    </row>
    <row r="2" spans="1:26">
      <c r="A2" s="9" t="s">
        <v>341</v>
      </c>
      <c r="B2" s="8"/>
      <c r="C2" s="8"/>
      <c r="D2" s="8"/>
      <c r="E2" s="8"/>
    </row>
    <row r="3" spans="1:26">
      <c r="A3" s="10"/>
      <c r="B3" s="10"/>
      <c r="C3" s="10"/>
      <c r="D3" s="10"/>
      <c r="E3" s="10"/>
    </row>
    <row r="4" spans="1:26">
      <c r="A4" s="26" t="s">
        <v>342</v>
      </c>
      <c r="B4" s="26" t="s">
        <v>343</v>
      </c>
      <c r="C4" s="26" t="s">
        <v>344</v>
      </c>
      <c r="D4" s="26" t="s">
        <v>345</v>
      </c>
      <c r="E4" s="26" t="s">
        <v>346</v>
      </c>
    </row>
    <row r="5" spans="1:26" ht="37.950000000000003" customHeight="1">
      <c r="A5" s="27">
        <v>1</v>
      </c>
      <c r="B5" s="28" t="s">
        <v>400</v>
      </c>
      <c r="C5" s="28" t="s">
        <v>351</v>
      </c>
      <c r="D5" s="29">
        <f>IFERROR(IF(cfg_exact_domain_ok,inp_f1_capital,0),0)</f>
        <v>0</v>
      </c>
      <c r="E5" s="28" t="s">
        <v>401</v>
      </c>
      <c r="Z5" s="25" t="s">
        <v>557</v>
      </c>
    </row>
    <row r="6" spans="1:26" ht="37.950000000000003" customHeight="1">
      <c r="A6" s="27">
        <v>2</v>
      </c>
      <c r="B6" s="28" t="s">
        <v>402</v>
      </c>
      <c r="C6" s="28" t="s">
        <v>403</v>
      </c>
      <c r="D6" s="29">
        <f>IFERROR(IF(cfg_exact_domain_ok,QUOTIENT(f1_01,4),0),0)</f>
        <v>0</v>
      </c>
      <c r="E6" s="28" t="s">
        <v>404</v>
      </c>
      <c r="Z6" s="25" t="s">
        <v>558</v>
      </c>
    </row>
    <row r="7" spans="1:26" ht="37.950000000000003" customHeight="1">
      <c r="A7" s="27">
        <v>3</v>
      </c>
      <c r="B7" s="28" t="s">
        <v>405</v>
      </c>
      <c r="C7" s="28" t="s">
        <v>406</v>
      </c>
      <c r="D7" s="29">
        <f>IFERROR(IF(cfg_exact_domain_ok,inp_f1_b5_1_31_1-inp_prev_div,0),0)</f>
        <v>0</v>
      </c>
      <c r="E7" s="28" t="s">
        <v>383</v>
      </c>
      <c r="Z7" s="25" t="s">
        <v>559</v>
      </c>
    </row>
    <row r="8" spans="1:26" ht="37.950000000000003" customHeight="1">
      <c r="A8" s="27">
        <v>4</v>
      </c>
      <c r="B8" s="28" t="s">
        <v>407</v>
      </c>
      <c r="C8" s="28" t="s">
        <v>351</v>
      </c>
      <c r="D8" s="29">
        <f>IFERROR(IF(cfg_exact_domain_ok,inp_f1_merger_inc,0),0)</f>
        <v>0</v>
      </c>
      <c r="E8" s="28" t="s">
        <v>383</v>
      </c>
      <c r="Z8" s="25" t="s">
        <v>560</v>
      </c>
    </row>
    <row r="9" spans="1:26" ht="37.950000000000003" customHeight="1">
      <c r="A9" s="27">
        <v>5</v>
      </c>
      <c r="B9" s="28" t="s">
        <v>408</v>
      </c>
      <c r="C9" s="28" t="s">
        <v>351</v>
      </c>
      <c r="D9" s="29">
        <f>IFERROR(IF(cfg_exact_domain_ok,inp_f1_split_dec,0),0)</f>
        <v>0</v>
      </c>
      <c r="E9" s="28" t="s">
        <v>383</v>
      </c>
      <c r="Z9" s="25" t="s">
        <v>561</v>
      </c>
    </row>
    <row r="10" spans="1:26" ht="37.950000000000003" customHeight="1">
      <c r="A10" s="27">
        <v>6</v>
      </c>
      <c r="B10" s="28" t="s">
        <v>409</v>
      </c>
      <c r="C10" s="28" t="s">
        <v>410</v>
      </c>
      <c r="D10" s="29">
        <f>IFERROR(IF(cfg_exact_domain_ok,f1_03+f1_04-f1_05,0),0)</f>
        <v>0</v>
      </c>
      <c r="E10" s="28" t="s">
        <v>383</v>
      </c>
      <c r="Z10" s="25" t="s">
        <v>562</v>
      </c>
    </row>
    <row r="11" spans="1:26" ht="37.950000000000003" customHeight="1">
      <c r="A11" s="27">
        <v>7</v>
      </c>
      <c r="B11" s="28" t="s">
        <v>401</v>
      </c>
      <c r="C11" s="28" t="s">
        <v>411</v>
      </c>
      <c r="D11" s="29">
        <f>IFERROR(IF(cfg_exact_domain_ok,MAX(f1_02-f1_06,0),0),0)</f>
        <v>0</v>
      </c>
      <c r="E11" s="28" t="s">
        <v>412</v>
      </c>
      <c r="Z11" s="25" t="s">
        <v>563</v>
      </c>
    </row>
    <row r="12" spans="1:26" ht="37.950000000000003" customHeight="1">
      <c r="A12" s="27">
        <v>8</v>
      </c>
      <c r="B12" s="28" t="s">
        <v>413</v>
      </c>
      <c r="C12" s="28" t="s">
        <v>414</v>
      </c>
      <c r="D12" s="29">
        <f>IFERROR(IF(cfg_exact_domain_ok,IF(inp_months="",0,ROUNDDOWN(20000000*inp_months/12,0)),0),0)</f>
        <v>20000000</v>
      </c>
      <c r="E12" s="28" t="s">
        <v>404</v>
      </c>
      <c r="Z12" s="25" t="s">
        <v>564</v>
      </c>
    </row>
    <row r="13" spans="1:26" ht="37.950000000000003" customHeight="1">
      <c r="A13" s="27">
        <v>9</v>
      </c>
      <c r="B13" s="28" t="s">
        <v>415</v>
      </c>
      <c r="C13" s="28" t="s">
        <v>148</v>
      </c>
      <c r="D13" s="29">
        <f>IFERROR(IF(cfg_exact_domain_ok,inp_f1_b4_52_1,0),0)</f>
        <v>0</v>
      </c>
      <c r="E13" s="28" t="s">
        <v>416</v>
      </c>
      <c r="Z13" s="25" t="s">
        <v>565</v>
      </c>
    </row>
    <row r="14" spans="1:26" ht="37.950000000000003" customHeight="1">
      <c r="A14" s="27">
        <v>10</v>
      </c>
      <c r="B14" s="28" t="s">
        <v>417</v>
      </c>
      <c r="C14" s="28" t="s">
        <v>151</v>
      </c>
      <c r="D14" s="29">
        <f>IFERROR(IF(cfg_exact_domain_ok,inp_f1_b4_38,0),0)</f>
        <v>0</v>
      </c>
      <c r="E14" s="28" t="s">
        <v>418</v>
      </c>
      <c r="Z14" s="25" t="s">
        <v>566</v>
      </c>
    </row>
    <row r="15" spans="1:26" ht="37.950000000000003" customHeight="1">
      <c r="A15" s="27">
        <v>11</v>
      </c>
      <c r="B15" s="28" t="s">
        <v>419</v>
      </c>
      <c r="C15" s="28" t="s">
        <v>420</v>
      </c>
      <c r="D15" s="29">
        <f>IFERROR(IF(cfg_exact_domain_ok,inp_f1_b8_1_5,0),0)</f>
        <v>0</v>
      </c>
      <c r="E15" s="28" t="s">
        <v>383</v>
      </c>
      <c r="Z15" s="25" t="s">
        <v>567</v>
      </c>
    </row>
    <row r="16" spans="1:26" ht="37.950000000000003" customHeight="1">
      <c r="A16" s="27">
        <v>12</v>
      </c>
      <c r="B16" s="28" t="s">
        <v>421</v>
      </c>
      <c r="C16" s="28" t="s">
        <v>422</v>
      </c>
      <c r="D16" s="29">
        <f>IFERROR(IF(cfg_exact_domain_ok,inp_f1_b8_2_26+inp_f1_b17_3_7_27,0),0)</f>
        <v>0</v>
      </c>
      <c r="E16" s="28" t="s">
        <v>383</v>
      </c>
      <c r="Z16" s="25" t="s">
        <v>568</v>
      </c>
    </row>
    <row r="17" spans="1:26" ht="37.950000000000003" customHeight="1">
      <c r="A17" s="27">
        <v>13</v>
      </c>
      <c r="B17" s="28" t="s">
        <v>423</v>
      </c>
      <c r="C17" s="28" t="s">
        <v>163</v>
      </c>
      <c r="D17" s="29">
        <f>IFERROR(IF(cfg_exact_domain_ok,inp_f1_b4_16,0),0)</f>
        <v>0</v>
      </c>
      <c r="E17" s="28" t="s">
        <v>383</v>
      </c>
      <c r="Z17" s="25" t="s">
        <v>569</v>
      </c>
    </row>
    <row r="18" spans="1:26" ht="37.950000000000003" customHeight="1">
      <c r="A18" s="27">
        <v>14</v>
      </c>
      <c r="B18" s="28" t="s">
        <v>424</v>
      </c>
      <c r="C18" s="28" t="s">
        <v>425</v>
      </c>
      <c r="D18" s="29">
        <f>IFERROR(IF(cfg_exact_domain_ok,inp_f1_b4_19+inp_f1_b4f_7,0),0)</f>
        <v>0</v>
      </c>
      <c r="E18" s="28" t="s">
        <v>426</v>
      </c>
      <c r="Z18" s="25" t="s">
        <v>570</v>
      </c>
    </row>
    <row r="19" spans="1:26" ht="37.950000000000003" customHeight="1">
      <c r="A19" s="27">
        <v>15</v>
      </c>
      <c r="B19" s="28" t="s">
        <v>427</v>
      </c>
      <c r="C19" s="28" t="s">
        <v>428</v>
      </c>
      <c r="D19" s="29">
        <f>IFERROR(IF(cfg_exact_domain_ok,inp_f1_b7_1_4+inp_f1_b7_other,0),0)</f>
        <v>0</v>
      </c>
      <c r="E19" s="28" t="s">
        <v>383</v>
      </c>
      <c r="Z19" s="25" t="s">
        <v>571</v>
      </c>
    </row>
    <row r="20" spans="1:26" ht="37.950000000000003" customHeight="1">
      <c r="A20" s="27">
        <v>16</v>
      </c>
      <c r="B20" s="28" t="s">
        <v>429</v>
      </c>
      <c r="C20" s="28" t="s">
        <v>177</v>
      </c>
      <c r="D20" s="29">
        <f>IFERROR(IF(cfg_exact_domain_ok,inp_f1_b4_37,0),0)</f>
        <v>0</v>
      </c>
      <c r="E20" s="28" t="s">
        <v>383</v>
      </c>
      <c r="Z20" s="25" t="s">
        <v>572</v>
      </c>
    </row>
    <row r="21" spans="1:26" ht="37.950000000000003" customHeight="1">
      <c r="A21" s="27">
        <v>17</v>
      </c>
      <c r="B21" s="28" t="s">
        <v>369</v>
      </c>
      <c r="C21" s="28" t="s">
        <v>430</v>
      </c>
      <c r="D21" s="29">
        <f>IFERROR(IF(cfg_exact_domain_ok,IF(inp_group="はい",f2_13,0),0),0)</f>
        <v>0</v>
      </c>
      <c r="E21" s="28" t="s">
        <v>431</v>
      </c>
      <c r="Z21" s="25" t="s">
        <v>573</v>
      </c>
    </row>
    <row r="22" spans="1:26" ht="37.950000000000003" customHeight="1">
      <c r="A22" s="27">
        <v>18</v>
      </c>
      <c r="B22" s="28" t="s">
        <v>375</v>
      </c>
      <c r="C22" s="28" t="s">
        <v>432</v>
      </c>
      <c r="D22" s="29">
        <f>IFERROR(IF(cfg_exact_domain_ok,IF(inp_group="はい",f2_17,0),0),0)</f>
        <v>0</v>
      </c>
      <c r="E22" s="28" t="s">
        <v>431</v>
      </c>
      <c r="Z22" s="25" t="s">
        <v>574</v>
      </c>
    </row>
    <row r="23" spans="1:26" ht="37.950000000000003" customHeight="1">
      <c r="A23" s="27">
        <v>19</v>
      </c>
      <c r="B23" s="28" t="s">
        <v>433</v>
      </c>
      <c r="C23" s="28" t="s">
        <v>180</v>
      </c>
      <c r="D23" s="29">
        <f>IFERROR(IF(cfg_exact_domain_ok,inp_f1_b8_3_13,0),0)</f>
        <v>0</v>
      </c>
      <c r="E23" s="28" t="s">
        <v>434</v>
      </c>
      <c r="Z23" s="25" t="s">
        <v>575</v>
      </c>
    </row>
    <row r="24" spans="1:26" ht="37.950000000000003" customHeight="1">
      <c r="A24" s="27">
        <v>20</v>
      </c>
      <c r="B24" s="28" t="s">
        <v>435</v>
      </c>
      <c r="C24" s="28" t="s">
        <v>184</v>
      </c>
      <c r="D24" s="29">
        <f>IFERROR(IF(cfg_exact_domain_ok,inp_f1_b10_3_47,0),0)</f>
        <v>0</v>
      </c>
      <c r="E24" s="28" t="s">
        <v>383</v>
      </c>
      <c r="Z24" s="25" t="s">
        <v>576</v>
      </c>
    </row>
    <row r="25" spans="1:26" ht="37.950000000000003" customHeight="1">
      <c r="A25" s="27">
        <v>21</v>
      </c>
      <c r="B25" s="28" t="s">
        <v>436</v>
      </c>
      <c r="C25" s="28" t="s">
        <v>187</v>
      </c>
      <c r="D25" s="29">
        <f>IFERROR(IF(cfg_exact_domain_ok,inp_f1_b10_4_20,0),0)</f>
        <v>0</v>
      </c>
      <c r="E25" s="28" t="s">
        <v>383</v>
      </c>
      <c r="Z25" s="25" t="s">
        <v>577</v>
      </c>
    </row>
    <row r="26" spans="1:26" ht="37.950000000000003" customHeight="1">
      <c r="A26" s="27">
        <v>22</v>
      </c>
      <c r="B26" s="28" t="s">
        <v>437</v>
      </c>
      <c r="C26" s="28" t="s">
        <v>190</v>
      </c>
      <c r="D26" s="29">
        <f>IFERROR(IF(cfg_exact_domain_ok,inp_f1_b10_4_21_23,0),0)</f>
        <v>0</v>
      </c>
      <c r="E26" s="28" t="s">
        <v>383</v>
      </c>
      <c r="Z26" s="25" t="s">
        <v>578</v>
      </c>
    </row>
    <row r="27" spans="1:26" ht="37.950000000000003" customHeight="1">
      <c r="A27" s="27">
        <v>23</v>
      </c>
      <c r="B27" s="28" t="s">
        <v>438</v>
      </c>
      <c r="C27" s="28" t="s">
        <v>193</v>
      </c>
      <c r="D27" s="29">
        <f>IFERROR(IF(cfg_exact_domain_ok,inp_f1_b10_5_12,0),0)</f>
        <v>0</v>
      </c>
      <c r="E27" s="28" t="s">
        <v>383</v>
      </c>
      <c r="Z27" s="25" t="s">
        <v>579</v>
      </c>
    </row>
    <row r="28" spans="1:26" ht="37.950000000000003" customHeight="1">
      <c r="A28" s="27">
        <v>24</v>
      </c>
      <c r="B28" s="28" t="s">
        <v>439</v>
      </c>
      <c r="C28" s="28" t="s">
        <v>196</v>
      </c>
      <c r="D28" s="29">
        <f>IFERROR(IF(cfg_exact_domain_ok,inp_f1_b10_1_15_or_10_2_10,0),0)</f>
        <v>0</v>
      </c>
      <c r="E28" s="28" t="s">
        <v>383</v>
      </c>
      <c r="Z28" s="25" t="s">
        <v>580</v>
      </c>
    </row>
    <row r="29" spans="1:26" ht="37.950000000000003" customHeight="1">
      <c r="A29" s="27">
        <v>25</v>
      </c>
      <c r="B29" s="28" t="s">
        <v>440</v>
      </c>
      <c r="C29" s="28" t="s">
        <v>199</v>
      </c>
      <c r="D29" s="29">
        <f>IFERROR(IF(cfg_exact_domain_ok,inp_f1_b10_1_16_or_10_2_11,0),0)</f>
        <v>0</v>
      </c>
      <c r="E29" s="28" t="s">
        <v>383</v>
      </c>
      <c r="Z29" s="25" t="s">
        <v>581</v>
      </c>
    </row>
    <row r="30" spans="1:26" ht="37.950000000000003" customHeight="1">
      <c r="A30" s="27">
        <v>26</v>
      </c>
      <c r="B30" s="28" t="s">
        <v>441</v>
      </c>
      <c r="C30" s="28" t="s">
        <v>202</v>
      </c>
      <c r="D30" s="29">
        <f>IFERROR(IF(cfg_exact_domain_ok,inp_f1_b10_6_sum,0),0)</f>
        <v>0</v>
      </c>
      <c r="E30" s="28" t="s">
        <v>383</v>
      </c>
      <c r="Z30" s="25" t="s">
        <v>582</v>
      </c>
    </row>
    <row r="31" spans="1:26" ht="37.950000000000003" customHeight="1">
      <c r="A31" s="27">
        <v>27</v>
      </c>
      <c r="B31" s="28" t="s">
        <v>442</v>
      </c>
      <c r="C31" s="28" t="s">
        <v>206</v>
      </c>
      <c r="D31" s="29">
        <f>IFERROR(IF(cfg_exact_domain_ok,inp_f1_b10_7_12,0),0)</f>
        <v>0</v>
      </c>
      <c r="E31" s="28" t="s">
        <v>443</v>
      </c>
      <c r="Z31" s="25" t="s">
        <v>583</v>
      </c>
    </row>
    <row r="32" spans="1:26" ht="37.950000000000003" customHeight="1">
      <c r="A32" s="27">
        <v>28</v>
      </c>
      <c r="B32" s="28" t="s">
        <v>444</v>
      </c>
      <c r="C32" s="28" t="s">
        <v>445</v>
      </c>
      <c r="D32" s="29">
        <f>IFERROR(IF(cfg_exact_domain_ok,inp_f1_b10_7_20_22,0),0)</f>
        <v>0</v>
      </c>
      <c r="E32" s="28" t="s">
        <v>446</v>
      </c>
      <c r="Z32" s="25" t="s">
        <v>584</v>
      </c>
    </row>
    <row r="33" spans="1:26" ht="37.950000000000003" customHeight="1">
      <c r="A33" s="27">
        <v>29</v>
      </c>
      <c r="B33" s="28" t="s">
        <v>447</v>
      </c>
      <c r="C33" s="28" t="s">
        <v>212</v>
      </c>
      <c r="D33" s="29">
        <f>IFERROR(IF(cfg_exact_domain_ok,inp_f1_b10_8_22,0),0)</f>
        <v>0</v>
      </c>
      <c r="E33" s="28" t="s">
        <v>383</v>
      </c>
      <c r="Z33" s="25" t="s">
        <v>585</v>
      </c>
    </row>
    <row r="34" spans="1:26" ht="37.950000000000003" customHeight="1">
      <c r="A34" s="27">
        <v>30</v>
      </c>
      <c r="B34" s="28" t="s">
        <v>448</v>
      </c>
      <c r="C34" s="28" t="s">
        <v>215</v>
      </c>
      <c r="D34" s="29">
        <f>IFERROR(IF(cfg_exact_domain_ok,inp_f1_b17_2_3_10,0),0)</f>
        <v>0</v>
      </c>
      <c r="E34" s="28" t="s">
        <v>383</v>
      </c>
      <c r="Z34" s="25" t="s">
        <v>586</v>
      </c>
    </row>
    <row r="35" spans="1:26" ht="37.950000000000003" customHeight="1">
      <c r="A35" s="27">
        <v>31</v>
      </c>
      <c r="B35" s="28" t="s">
        <v>449</v>
      </c>
      <c r="C35" s="28" t="s">
        <v>218</v>
      </c>
      <c r="D35" s="29">
        <f>IFERROR(IF(cfg_exact_domain_ok,inp_f1_b17_3_income_sum,0),0)</f>
        <v>0</v>
      </c>
      <c r="E35" s="28" t="s">
        <v>383</v>
      </c>
      <c r="Z35" s="25" t="s">
        <v>587</v>
      </c>
    </row>
    <row r="36" spans="1:26" ht="72" customHeight="1">
      <c r="A36" s="27">
        <v>32</v>
      </c>
      <c r="B36" s="28" t="s">
        <v>450</v>
      </c>
      <c r="C36" s="28" t="s">
        <v>451</v>
      </c>
      <c r="D36" s="29">
        <f>IFERROR(IF(cfg_exact_domain_ok,f1_09-f1_10+f1_11+f1_12+f1_13+f1_14+f1_15-f1_16+f1_17-f1_18-f1_19+f1_20+f1_21-f1_22+f1_23+f1_24-f1_25+f1_26+f1_27-f1_28+f1_29+f1_30-f1_31,0),0)</f>
        <v>0</v>
      </c>
      <c r="E36" s="28" t="s">
        <v>383</v>
      </c>
      <c r="Z36" s="25" t="s">
        <v>588</v>
      </c>
    </row>
    <row r="37" spans="1:26" ht="37.950000000000003" customHeight="1">
      <c r="A37" s="27">
        <v>33</v>
      </c>
      <c r="B37" s="28" t="s">
        <v>416</v>
      </c>
      <c r="C37" s="28" t="s">
        <v>452</v>
      </c>
      <c r="D37" s="29">
        <f>IFERROR(IF(cfg_exact_domain_ok,exact_r8_f1_33_income_q,0),0)</f>
        <v>0</v>
      </c>
      <c r="E37" s="28" t="s">
        <v>404</v>
      </c>
      <c r="Z37" s="25" t="s">
        <v>589</v>
      </c>
    </row>
    <row r="38" spans="1:26" ht="37.950000000000003" customHeight="1">
      <c r="A38" s="27">
        <v>34</v>
      </c>
      <c r="B38" s="28" t="s">
        <v>453</v>
      </c>
      <c r="C38" s="28" t="s">
        <v>454</v>
      </c>
      <c r="D38" s="33">
        <f>IFERROR(IF(cfg_exact_domain_ok,MAX(f1_07,f1_08,f1_33),0),0)</f>
        <v>20000000</v>
      </c>
      <c r="E38" s="28" t="s">
        <v>455</v>
      </c>
      <c r="Z38" s="25" t="s">
        <v>592</v>
      </c>
    </row>
  </sheetData>
  <sheetProtection sheet="1" objects="1" scenarios="1"/>
  <mergeCells count="2">
    <mergeCell ref="A1:E1"/>
    <mergeCell ref="A2:E2"/>
  </mergeCells>
  <phoneticPr fontId="4"/>
  <printOptions horizontalCentered="1"/>
  <pageMargins left="0.25" right="0.25" top="0.35" bottom="0.35" header="0.3" footer="0.3"/>
  <pageSetup paperSize="9" scale="41" fitToHeight="999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D8A8D2-E7D3-4F0F-A224-0E47C651F982}">
  <sheetPr>
    <tabColor rgb="FF2F75B5"/>
    <pageSetUpPr fitToPage="1"/>
  </sheetPr>
  <dimension ref="A1:Z30"/>
  <sheetViews>
    <sheetView showGridLines="0" zoomScale="90" zoomScaleNormal="90" workbookViewId="0">
      <pane ySplit="4" topLeftCell="A5" activePane="bottomLeft" state="frozenSplit"/>
      <selection pane="bottomLeft" sqref="A1:E1"/>
    </sheetView>
  </sheetViews>
  <sheetFormatPr defaultRowHeight="18"/>
  <cols>
    <col min="1" max="1" width="7.69921875" customWidth="1"/>
    <col min="2" max="2" width="37.69921875" customWidth="1"/>
    <col min="3" max="3" width="49.69921875" customWidth="1"/>
    <col min="4" max="4" width="18.69921875" customWidth="1"/>
    <col min="5" max="5" width="28.69921875" customWidth="1"/>
    <col min="26" max="26" width="0" hidden="1" customWidth="1"/>
  </cols>
  <sheetData>
    <row r="1" spans="1:26" ht="30" customHeight="1">
      <c r="A1" s="7" t="s">
        <v>340</v>
      </c>
      <c r="B1" s="8"/>
      <c r="C1" s="8"/>
      <c r="D1" s="8"/>
      <c r="E1" s="8"/>
    </row>
    <row r="2" spans="1:26">
      <c r="A2" s="9" t="s">
        <v>341</v>
      </c>
      <c r="B2" s="8"/>
      <c r="C2" s="8"/>
      <c r="D2" s="8"/>
      <c r="E2" s="8"/>
    </row>
    <row r="3" spans="1:26">
      <c r="A3" s="10"/>
      <c r="B3" s="10"/>
      <c r="C3" s="10"/>
      <c r="D3" s="10"/>
      <c r="E3" s="10"/>
    </row>
    <row r="4" spans="1:26">
      <c r="A4" s="26" t="s">
        <v>342</v>
      </c>
      <c r="B4" s="26" t="s">
        <v>343</v>
      </c>
      <c r="C4" s="26" t="s">
        <v>344</v>
      </c>
      <c r="D4" s="26" t="s">
        <v>345</v>
      </c>
      <c r="E4" s="26" t="s">
        <v>346</v>
      </c>
    </row>
    <row r="5" spans="1:26" ht="37.950000000000003" customHeight="1">
      <c r="A5" s="27">
        <v>1</v>
      </c>
      <c r="B5" s="28" t="s">
        <v>347</v>
      </c>
      <c r="C5" s="28" t="s">
        <v>222</v>
      </c>
      <c r="D5" s="29">
        <f>IFERROR(IF(cfg_exact_domain_ok,IF(inp_group="はい",inp_f2_b4f_3,0),0),0)</f>
        <v>0</v>
      </c>
      <c r="E5" s="28" t="s">
        <v>348</v>
      </c>
      <c r="Z5" s="25" t="s">
        <v>526</v>
      </c>
    </row>
    <row r="6" spans="1:26" ht="37.950000000000003" customHeight="1">
      <c r="A6" s="27">
        <v>2</v>
      </c>
      <c r="B6" s="28" t="s">
        <v>349</v>
      </c>
      <c r="C6" s="28" t="s">
        <v>225</v>
      </c>
      <c r="D6" s="29">
        <f>IFERROR(IF(cfg_exact_domain_ok,IF(inp_group="はい",inp_f2_b7_2_11,0),0),0)</f>
        <v>0</v>
      </c>
      <c r="E6" s="28" t="s">
        <v>348</v>
      </c>
      <c r="Z6" s="25" t="s">
        <v>527</v>
      </c>
    </row>
    <row r="7" spans="1:26" ht="37.950000000000003" customHeight="1">
      <c r="A7" s="27">
        <v>3</v>
      </c>
      <c r="B7" s="28" t="s">
        <v>350</v>
      </c>
      <c r="C7" s="28" t="s">
        <v>351</v>
      </c>
      <c r="D7" s="29">
        <f>IFERROR(IF(cfg_exact_domain_ok,IF(inp_group="はい",inp_f2_out_div_outflow,0),0),0)</f>
        <v>0</v>
      </c>
      <c r="E7" s="28" t="s">
        <v>348</v>
      </c>
      <c r="Z7" s="25" t="s">
        <v>528</v>
      </c>
    </row>
    <row r="8" spans="1:26" ht="37.950000000000003" customHeight="1">
      <c r="A8" s="27">
        <v>4</v>
      </c>
      <c r="B8" s="28" t="s">
        <v>352</v>
      </c>
      <c r="C8" s="28" t="s">
        <v>351</v>
      </c>
      <c r="D8" s="29">
        <f>IFERROR(IF(cfg_exact_domain_ok,IF(inp_group="はい",inp_f2_in_div_amount,0),0),0)</f>
        <v>0</v>
      </c>
      <c r="E8" s="28" t="s">
        <v>348</v>
      </c>
      <c r="Z8" s="25" t="s">
        <v>529</v>
      </c>
    </row>
    <row r="9" spans="1:26" ht="37.950000000000003" customHeight="1">
      <c r="A9" s="27">
        <v>5</v>
      </c>
      <c r="B9" s="28" t="s">
        <v>353</v>
      </c>
      <c r="C9" s="28" t="s">
        <v>354</v>
      </c>
      <c r="D9" s="33">
        <f>IFERROR(IF(cfg_exact_domain_ok,SUM(f2_01:f2_04),0),0)</f>
        <v>0</v>
      </c>
      <c r="E9" s="28" t="s">
        <v>355</v>
      </c>
      <c r="Z9" s="25" t="s">
        <v>530</v>
      </c>
    </row>
    <row r="10" spans="1:26" ht="37.950000000000003" customHeight="1">
      <c r="A10" s="27">
        <v>6</v>
      </c>
      <c r="B10" s="28" t="s">
        <v>356</v>
      </c>
      <c r="C10" s="28" t="s">
        <v>233</v>
      </c>
      <c r="D10" s="29">
        <f>IFERROR(IF(cfg_exact_domain_ok,IF(inp_group="はい",inp_f2_b4f_8,0),0),0)</f>
        <v>0</v>
      </c>
      <c r="E10" s="28" t="s">
        <v>357</v>
      </c>
      <c r="Z10" s="25" t="s">
        <v>531</v>
      </c>
    </row>
    <row r="11" spans="1:26" ht="37.950000000000003" customHeight="1">
      <c r="A11" s="27">
        <v>7</v>
      </c>
      <c r="B11" s="28" t="s">
        <v>358</v>
      </c>
      <c r="C11" s="28" t="s">
        <v>236</v>
      </c>
      <c r="D11" s="29">
        <f>IFERROR(IF(cfg_exact_domain_ok,IF(inp_group="はい",inp_f2_b7_2_5,0),0),0)</f>
        <v>0</v>
      </c>
      <c r="E11" s="28" t="s">
        <v>357</v>
      </c>
      <c r="Z11" s="25" t="s">
        <v>532</v>
      </c>
    </row>
    <row r="12" spans="1:26" ht="37.950000000000003" customHeight="1">
      <c r="A12" s="27">
        <v>8</v>
      </c>
      <c r="B12" s="28" t="s">
        <v>359</v>
      </c>
      <c r="C12" s="28" t="s">
        <v>360</v>
      </c>
      <c r="D12" s="29">
        <f>IFERROR(IF(cfg_exact_domain_ok,IF(inp_group="はい",inp_f2_group_div_received,0),0),0)</f>
        <v>0</v>
      </c>
      <c r="E12" s="28" t="s">
        <v>361</v>
      </c>
      <c r="Z12" s="25" t="s">
        <v>533</v>
      </c>
    </row>
    <row r="13" spans="1:26" ht="37.950000000000003" customHeight="1">
      <c r="A13" s="27">
        <v>9</v>
      </c>
      <c r="B13" s="28" t="s">
        <v>362</v>
      </c>
      <c r="C13" s="28" t="s">
        <v>363</v>
      </c>
      <c r="D13" s="29">
        <f>IFERROR(IF(cfg_exact_domain_ok,IF(inp_group="はい",f2_26,0),0),0)</f>
        <v>0</v>
      </c>
      <c r="E13" s="28" t="s">
        <v>357</v>
      </c>
      <c r="Z13" s="25" t="s">
        <v>534</v>
      </c>
    </row>
    <row r="14" spans="1:26" ht="37.950000000000003" customHeight="1">
      <c r="A14" s="27">
        <v>10</v>
      </c>
      <c r="B14" s="28" t="s">
        <v>364</v>
      </c>
      <c r="C14" s="28" t="s">
        <v>365</v>
      </c>
      <c r="D14" s="33">
        <f>IFERROR(IF(cfg_exact_domain_ok,SUM(f2_06:f2_09),0),0)</f>
        <v>0</v>
      </c>
      <c r="E14" s="28" t="s">
        <v>366</v>
      </c>
      <c r="Z14" s="25" t="s">
        <v>535</v>
      </c>
    </row>
    <row r="15" spans="1:26" ht="37.950000000000003" customHeight="1">
      <c r="A15" s="27">
        <v>11</v>
      </c>
      <c r="B15" s="28" t="s">
        <v>358</v>
      </c>
      <c r="C15" s="28" t="s">
        <v>236</v>
      </c>
      <c r="D15" s="29">
        <f>IFERROR(IF(cfg_exact_domain_ok,IF(inp_group="はい",inp_f2_b7_2_5,0),0),0)</f>
        <v>0</v>
      </c>
      <c r="E15" s="28" t="s">
        <v>367</v>
      </c>
      <c r="Z15" s="25" t="s">
        <v>532</v>
      </c>
    </row>
    <row r="16" spans="1:26" ht="37.950000000000003" customHeight="1">
      <c r="A16" s="27">
        <v>12</v>
      </c>
      <c r="B16" s="28" t="s">
        <v>368</v>
      </c>
      <c r="C16" s="28" t="s">
        <v>243</v>
      </c>
      <c r="D16" s="29">
        <f>IFERROR(IF(cfg_exact_domain_ok,IF(inp_group="はい",inp_f2_b4f_9,0),0),0)</f>
        <v>0</v>
      </c>
      <c r="E16" s="28" t="s">
        <v>367</v>
      </c>
      <c r="Z16" s="25" t="s">
        <v>536</v>
      </c>
    </row>
    <row r="17" spans="1:26" ht="37.950000000000003" customHeight="1">
      <c r="A17" s="27">
        <v>13</v>
      </c>
      <c r="B17" s="28" t="s">
        <v>369</v>
      </c>
      <c r="C17" s="28" t="s">
        <v>370</v>
      </c>
      <c r="D17" s="33">
        <f>IFERROR(IF(cfg_exact_domain_ok,SUM(f2_11:f2_12),0),0)</f>
        <v>0</v>
      </c>
      <c r="E17" s="28" t="s">
        <v>371</v>
      </c>
      <c r="Z17" s="25" t="s">
        <v>537</v>
      </c>
    </row>
    <row r="18" spans="1:26" ht="37.950000000000003" customHeight="1">
      <c r="A18" s="27">
        <v>14</v>
      </c>
      <c r="B18" s="28" t="s">
        <v>349</v>
      </c>
      <c r="C18" s="28" t="s">
        <v>225</v>
      </c>
      <c r="D18" s="29">
        <f>IFERROR(IF(cfg_exact_domain_ok,IF(inp_group="はい",inp_f2_b7_2_11,0),0),0)</f>
        <v>0</v>
      </c>
      <c r="E18" s="28" t="s">
        <v>372</v>
      </c>
      <c r="Z18" s="25" t="s">
        <v>527</v>
      </c>
    </row>
    <row r="19" spans="1:26" ht="37.950000000000003" customHeight="1">
      <c r="A19" s="27">
        <v>15</v>
      </c>
      <c r="B19" s="28" t="s">
        <v>373</v>
      </c>
      <c r="C19" s="28" t="s">
        <v>246</v>
      </c>
      <c r="D19" s="29">
        <f>IFERROR(IF(cfg_exact_domain_ok,IF(inp_group="はい",inp_f2_b7_2_f1_23,0),0),0)</f>
        <v>0</v>
      </c>
      <c r="E19" s="28" t="s">
        <v>372</v>
      </c>
      <c r="Z19" s="25" t="s">
        <v>538</v>
      </c>
    </row>
    <row r="20" spans="1:26" ht="37.950000000000003" customHeight="1">
      <c r="A20" s="27">
        <v>16</v>
      </c>
      <c r="B20" s="28" t="s">
        <v>374</v>
      </c>
      <c r="C20" s="28" t="s">
        <v>249</v>
      </c>
      <c r="D20" s="29">
        <f>IFERROR(IF(cfg_exact_domain_ok,IF(inp_group="はい",inp_f2_b8_1_f_24,0),0),0)</f>
        <v>0</v>
      </c>
      <c r="E20" s="28" t="s">
        <v>372</v>
      </c>
      <c r="Z20" s="25" t="s">
        <v>539</v>
      </c>
    </row>
    <row r="21" spans="1:26" ht="37.950000000000003" customHeight="1">
      <c r="A21" s="27">
        <v>17</v>
      </c>
      <c r="B21" s="28" t="s">
        <v>375</v>
      </c>
      <c r="C21" s="28" t="s">
        <v>376</v>
      </c>
      <c r="D21" s="33">
        <f>IFERROR(IF(cfg_exact_domain_ok,SUM(f2_14:f2_16),0),0)</f>
        <v>0</v>
      </c>
      <c r="E21" s="28" t="s">
        <v>377</v>
      </c>
      <c r="Z21" s="25" t="s">
        <v>540</v>
      </c>
    </row>
    <row r="22" spans="1:26" ht="37.950000000000003" customHeight="1">
      <c r="A22" s="27">
        <v>18</v>
      </c>
      <c r="B22" s="28" t="s">
        <v>378</v>
      </c>
      <c r="C22" s="28" t="s">
        <v>379</v>
      </c>
      <c r="D22" s="29">
        <f>IFERROR(IF(cfg_exact_domain_ok,IF(inp_group="はい",inp_f2_group_div_received,0),0),0)</f>
        <v>0</v>
      </c>
      <c r="E22" s="28" t="s">
        <v>380</v>
      </c>
      <c r="Z22" s="25" t="s">
        <v>533</v>
      </c>
    </row>
    <row r="23" spans="1:26" ht="37.950000000000003" customHeight="1">
      <c r="A23" s="27">
        <v>19</v>
      </c>
      <c r="B23" s="28" t="s">
        <v>381</v>
      </c>
      <c r="C23" s="28" t="s">
        <v>382</v>
      </c>
      <c r="D23" s="29">
        <f>IFERROR(IF(cfg_exact_domain_ok,MAX(f2_18-f2_04,0),0),0)</f>
        <v>0</v>
      </c>
      <c r="E23" s="28" t="s">
        <v>383</v>
      </c>
      <c r="Z23" s="25" t="s">
        <v>541</v>
      </c>
    </row>
    <row r="24" spans="1:26" ht="37.950000000000003" customHeight="1">
      <c r="A24" s="27">
        <v>20</v>
      </c>
      <c r="B24" s="28" t="s">
        <v>384</v>
      </c>
      <c r="C24" s="28" t="s">
        <v>385</v>
      </c>
      <c r="D24" s="29">
        <f>IFERROR(IF(cfg_exact_domain_ok,MIN(f2_03,f2_19),0),0)</f>
        <v>0</v>
      </c>
      <c r="E24" s="28" t="s">
        <v>383</v>
      </c>
      <c r="Z24" s="25" t="s">
        <v>542</v>
      </c>
    </row>
    <row r="25" spans="1:26" ht="37.950000000000003" customHeight="1">
      <c r="A25" s="27">
        <v>21</v>
      </c>
      <c r="B25" s="28" t="s">
        <v>386</v>
      </c>
      <c r="C25" s="28" t="s">
        <v>387</v>
      </c>
      <c r="D25" s="29">
        <f>IFERROR(IF(cfg_exact_domain_ok,IF(inp_group="はい",inp_f2_b18_1_5_total,0)-f2_20,0),0)</f>
        <v>0</v>
      </c>
      <c r="E25" s="28" t="s">
        <v>383</v>
      </c>
      <c r="Z25" s="25" t="s">
        <v>543</v>
      </c>
    </row>
    <row r="26" spans="1:26" ht="37.950000000000003" customHeight="1">
      <c r="A26" s="27">
        <v>22</v>
      </c>
      <c r="B26" s="28" t="s">
        <v>388</v>
      </c>
      <c r="C26" s="28" t="s">
        <v>389</v>
      </c>
      <c r="D26" s="29">
        <f>IFERROR(IF(cfg_exact_domain_ok,MAX(f2_04-f2_18,0),0),0)</f>
        <v>0</v>
      </c>
      <c r="E26" s="28" t="s">
        <v>383</v>
      </c>
      <c r="Z26" s="25" t="s">
        <v>544</v>
      </c>
    </row>
    <row r="27" spans="1:26" ht="37.950000000000003" customHeight="1">
      <c r="A27" s="27">
        <v>23</v>
      </c>
      <c r="B27" s="28" t="s">
        <v>390</v>
      </c>
      <c r="C27" s="28" t="s">
        <v>391</v>
      </c>
      <c r="D27" s="29">
        <f>IFERROR(IF(cfg_exact_domain_ok,IF(inp_group="はい",inp_f2_b18_1_6_total,0)-f2_22,0),0)</f>
        <v>0</v>
      </c>
      <c r="E27" s="28" t="s">
        <v>383</v>
      </c>
      <c r="Z27" s="25" t="s">
        <v>545</v>
      </c>
    </row>
    <row r="28" spans="1:26" ht="37.950000000000003" customHeight="1">
      <c r="A28" s="27">
        <v>24</v>
      </c>
      <c r="B28" s="28" t="s">
        <v>392</v>
      </c>
      <c r="C28" s="28" t="s">
        <v>393</v>
      </c>
      <c r="D28" s="32">
        <f>IFERROR(IF(cfg_exact_domain_ok,IF(f2_22+f2_23=0,0,f2_22/(f2_22+f2_23)),0),0)</f>
        <v>0</v>
      </c>
      <c r="E28" s="28" t="s">
        <v>394</v>
      </c>
      <c r="Z28" s="25" t="s">
        <v>546</v>
      </c>
    </row>
    <row r="29" spans="1:26" ht="37.950000000000003" customHeight="1">
      <c r="A29" s="27">
        <v>25</v>
      </c>
      <c r="B29" s="28" t="s">
        <v>395</v>
      </c>
      <c r="C29" s="28" t="s">
        <v>396</v>
      </c>
      <c r="D29" s="29">
        <f>IFERROR(IF(cfg_exact_domain_ok,MAX(f2_03-f2_19,0),0),0)</f>
        <v>0</v>
      </c>
      <c r="E29" s="28" t="s">
        <v>383</v>
      </c>
      <c r="Z29" s="25" t="s">
        <v>547</v>
      </c>
    </row>
    <row r="30" spans="1:26" ht="37.950000000000003" customHeight="1">
      <c r="A30" s="27">
        <v>26</v>
      </c>
      <c r="B30" s="28" t="s">
        <v>362</v>
      </c>
      <c r="C30" s="28" t="s">
        <v>397</v>
      </c>
      <c r="D30" s="29">
        <f>IFERROR(IF(cfg_exact_domain_ok,IF(f2_22+f2_23=0,f2_25,exact_r8_f2_26_ratio_q+f2_25),0),0)</f>
        <v>0</v>
      </c>
      <c r="E30" s="28" t="s">
        <v>398</v>
      </c>
      <c r="Z30" s="25" t="s">
        <v>548</v>
      </c>
    </row>
  </sheetData>
  <sheetProtection sheet="1" objects="1" scenarios="1"/>
  <mergeCells count="2">
    <mergeCell ref="A1:E1"/>
    <mergeCell ref="A2:E2"/>
  </mergeCells>
  <phoneticPr fontId="4"/>
  <printOptions horizontalCentered="1"/>
  <pageMargins left="0.25" right="0.25" top="0.35" bottom="0.35" header="0.3" footer="0.3"/>
  <pageSetup paperSize="9" scale="41" fitToHeight="999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4BDA8B-052E-4DE5-A7C7-BC7BDB841F3F}">
  <sheetPr>
    <tabColor rgb="FF548235"/>
    <pageSetUpPr fitToPage="1"/>
  </sheetPr>
  <dimension ref="A1:A3"/>
  <sheetViews>
    <sheetView showGridLines="0" zoomScale="90" zoomScaleNormal="90" workbookViewId="0"/>
  </sheetViews>
  <sheetFormatPr defaultRowHeight="18"/>
  <cols>
    <col min="1" max="11" width="8.296875" customWidth="1"/>
    <col min="12" max="12" width="7.8984375" customWidth="1"/>
  </cols>
  <sheetData>
    <row r="1" ht="280.64999999999998" customHeight="1"/>
    <row r="2" ht="280.64999999999998" customHeight="1"/>
    <row r="3" ht="280.64999999999998" customHeight="1"/>
  </sheetData>
  <sheetProtection sheet="1" objects="1" scenarios="1"/>
  <phoneticPr fontId="4"/>
  <printOptions horizontalCentered="1" verticalCentered="1"/>
  <pageMargins left="0" right="0" top="0" bottom="0" header="0" footer="0"/>
  <pageSetup paperSize="9" scale="97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28692A-447A-4B38-9DA8-01EA1AB1AD99}">
  <sheetPr>
    <tabColor rgb="FF548235"/>
    <pageSetUpPr fitToPage="1"/>
  </sheetPr>
  <dimension ref="A1:A3"/>
  <sheetViews>
    <sheetView showGridLines="0" zoomScale="90" zoomScaleNormal="90" workbookViewId="0"/>
  </sheetViews>
  <sheetFormatPr defaultRowHeight="18"/>
  <cols>
    <col min="1" max="12" width="8.69921875" customWidth="1"/>
  </cols>
  <sheetData>
    <row r="1" ht="295.35000000000002" customHeight="1"/>
    <row r="2" ht="295.35000000000002" customHeight="1"/>
    <row r="3" ht="295.5" customHeight="1"/>
  </sheetData>
  <sheetProtection sheet="1" objects="1" scenarios="1"/>
  <phoneticPr fontId="4"/>
  <printOptions horizontalCentered="1" verticalCentered="1"/>
  <pageMargins left="0" right="0" top="0" bottom="0" header="0" footer="0"/>
  <pageSetup paperSize="9" scale="92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4989D3-875D-4106-8D7B-8039F2E3AA7E}">
  <sheetPr>
    <tabColor rgb="FF548235"/>
    <pageSetUpPr fitToPage="1"/>
  </sheetPr>
  <dimension ref="A1:A3"/>
  <sheetViews>
    <sheetView showGridLines="0" zoomScale="90" zoomScaleNormal="90" workbookViewId="0"/>
  </sheetViews>
  <sheetFormatPr defaultRowHeight="18"/>
  <cols>
    <col min="1" max="12" width="8.69921875" customWidth="1"/>
  </cols>
  <sheetData>
    <row r="1" ht="295.35000000000002" customHeight="1"/>
    <row r="2" ht="295.35000000000002" customHeight="1"/>
    <row r="3" ht="295.5" customHeight="1"/>
  </sheetData>
  <sheetProtection sheet="1" objects="1" scenarios="1"/>
  <phoneticPr fontId="4"/>
  <printOptions horizontalCentered="1" verticalCentered="1"/>
  <pageMargins left="0" right="0" top="0" bottom="0" header="0" footer="0"/>
  <pageSetup paperSize="9" scale="92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1C7C2C-2122-415F-912B-3C13ED9C247D}">
  <sheetPr>
    <tabColor rgb="FFC00000"/>
    <pageSetUpPr fitToPage="1"/>
  </sheetPr>
  <dimension ref="A1:D41"/>
  <sheetViews>
    <sheetView showGridLines="0" zoomScale="90" zoomScaleNormal="90" workbookViewId="0">
      <pane ySplit="3" topLeftCell="A4" activePane="bottomLeft" state="frozenSplit"/>
      <selection pane="bottomLeft" sqref="A1:D1"/>
    </sheetView>
  </sheetViews>
  <sheetFormatPr defaultRowHeight="18"/>
  <cols>
    <col min="1" max="1" width="32.69921875" customWidth="1"/>
    <col min="2" max="2" width="38.69921875" customWidth="1"/>
    <col min="3" max="3" width="15.69921875" customWidth="1"/>
    <col min="4" max="4" width="42.69921875" customWidth="1"/>
  </cols>
  <sheetData>
    <row r="1" spans="1:4" ht="26.4">
      <c r="A1" s="7" t="s">
        <v>702</v>
      </c>
      <c r="B1" s="8"/>
      <c r="C1" s="8"/>
      <c r="D1" s="8"/>
    </row>
    <row r="2" spans="1:4">
      <c r="A2" s="10"/>
      <c r="B2" s="10"/>
      <c r="C2" s="10"/>
      <c r="D2" s="10"/>
    </row>
    <row r="3" spans="1:4">
      <c r="A3" s="45" t="s">
        <v>703</v>
      </c>
      <c r="B3" s="45" t="s">
        <v>704</v>
      </c>
      <c r="C3" s="45" t="s">
        <v>705</v>
      </c>
      <c r="D3" s="45" t="s">
        <v>8</v>
      </c>
    </row>
    <row r="4" spans="1:4">
      <c r="A4" s="15" t="s">
        <v>706</v>
      </c>
      <c r="B4" s="47" t="s">
        <v>707</v>
      </c>
      <c r="C4" s="48" t="str">
        <f>IFERROR(IF(inp_end&gt;=DATE(2026,4,1),"OK","要確認"),"")</f>
        <v>OK</v>
      </c>
      <c r="D4" s="15" t="s">
        <v>708</v>
      </c>
    </row>
    <row r="5" spans="1:4">
      <c r="A5" s="15" t="s">
        <v>709</v>
      </c>
      <c r="B5" s="47" t="s">
        <v>710</v>
      </c>
      <c r="C5" s="48" t="str">
        <f>IFERROR(IF(inp_special="はい","OK","要確認"),"")</f>
        <v>要確認</v>
      </c>
      <c r="D5" s="15" t="s">
        <v>711</v>
      </c>
    </row>
    <row r="6" spans="1:4">
      <c r="A6" s="15" t="s">
        <v>712</v>
      </c>
      <c r="B6" s="47" t="s">
        <v>713</v>
      </c>
      <c r="C6" s="48" t="str">
        <f>IFERROR(IF(cfg_period_input_valid,"OK","NG"),"")</f>
        <v>OK</v>
      </c>
      <c r="D6" s="15" t="s">
        <v>714</v>
      </c>
    </row>
    <row r="7" spans="1:4" ht="54">
      <c r="A7" s="15" t="s">
        <v>715</v>
      </c>
      <c r="B7" s="47" t="s">
        <v>716</v>
      </c>
      <c r="C7" s="48" t="str">
        <f>IFERROR(IF(inp_end&lt;=IF(DAY(EDATE(inp_start,12))&lt;DAY(inp_start),EDATE(inp_start,12),EDATE(inp_start,12)-1),"OK","NG"),"")</f>
        <v>OK</v>
      </c>
      <c r="D7" s="15" t="s">
        <v>717</v>
      </c>
    </row>
    <row r="8" spans="1:4">
      <c r="A8" s="15" t="s">
        <v>718</v>
      </c>
      <c r="B8" s="47" t="s">
        <v>719</v>
      </c>
      <c r="C8" s="48" t="str">
        <f>IFERROR(IF(AND(inp_months&gt;=1,inp_months&lt;=12),"OK","要確認"),"")</f>
        <v>OK</v>
      </c>
      <c r="D8" s="15" t="s">
        <v>720</v>
      </c>
    </row>
    <row r="9" spans="1:4">
      <c r="A9" s="15" t="s">
        <v>721</v>
      </c>
      <c r="B9" s="47" t="s">
        <v>722</v>
      </c>
      <c r="C9" s="48" t="str">
        <f>IFERROR(IF(OR(inp_class="該当",inp_class="非該当"),"OK","NG"),"")</f>
        <v>NG</v>
      </c>
      <c r="D9" s="15" t="s">
        <v>723</v>
      </c>
    </row>
    <row r="10" spans="1:4">
      <c r="A10" s="15" t="s">
        <v>724</v>
      </c>
      <c r="B10" s="47" t="s">
        <v>725</v>
      </c>
      <c r="C10" s="48" t="str">
        <f>IFERROR(IF(OR(inp_group="はい",inp_group="いいえ"),"OK","NG"),"")</f>
        <v>NG</v>
      </c>
      <c r="D10" s="15" t="s">
        <v>726</v>
      </c>
    </row>
    <row r="11" spans="1:4">
      <c r="A11" s="15" t="s">
        <v>727</v>
      </c>
      <c r="B11" s="47" t="s">
        <v>728</v>
      </c>
      <c r="C11" s="48" t="str">
        <f>IFERROR(IF(m_09=inp_m_B4_52_2+inp_b10_7_15,"OK","NG"),"")</f>
        <v>OK</v>
      </c>
      <c r="D11" s="15" t="s">
        <v>729</v>
      </c>
    </row>
    <row r="12" spans="1:4">
      <c r="A12" s="15" t="s">
        <v>730</v>
      </c>
      <c r="B12" s="47" t="s">
        <v>731</v>
      </c>
      <c r="C12" s="48" t="str">
        <f>IFERROR(IF(m_04=m_21,"OK","NG"),"")</f>
        <v>OK</v>
      </c>
      <c r="D12" s="15" t="s">
        <v>732</v>
      </c>
    </row>
    <row r="13" spans="1:4">
      <c r="A13" s="15" t="s">
        <v>733</v>
      </c>
      <c r="B13" s="47" t="s">
        <v>734</v>
      </c>
      <c r="C13" s="48" t="str">
        <f>IFERROR(IF(m_08=SUM(m_05:m_07),"OK","NG"),"")</f>
        <v>OK</v>
      </c>
      <c r="D13" s="15" t="s">
        <v>735</v>
      </c>
    </row>
    <row r="14" spans="1:4">
      <c r="A14" s="15" t="s">
        <v>736</v>
      </c>
      <c r="B14" s="47" t="s">
        <v>737</v>
      </c>
      <c r="C14" s="48" t="str">
        <f>IFERROR(IF(MOD(m_21,1000)=0,"OK","NG"),"")</f>
        <v>OK</v>
      </c>
      <c r="D14" s="15" t="s">
        <v>499</v>
      </c>
    </row>
    <row r="15" spans="1:4">
      <c r="A15" s="15" t="s">
        <v>738</v>
      </c>
      <c r="B15" s="47" t="s">
        <v>739</v>
      </c>
      <c r="C15" s="48" t="str">
        <f>IFERROR(IF(f1_06=f1_03+f1_04-f1_05,"OK","NG"),"")</f>
        <v>OK</v>
      </c>
      <c r="D15" s="15" t="s">
        <v>409</v>
      </c>
    </row>
    <row r="16" spans="1:4">
      <c r="A16" s="15" t="s">
        <v>740</v>
      </c>
      <c r="B16" s="47" t="s">
        <v>741</v>
      </c>
      <c r="C16" s="48" t="str">
        <f>IFERROR(IF(f1_34=MAX(f1_07,f1_08,f1_33),"OK","NG"),"")</f>
        <v>OK</v>
      </c>
      <c r="D16" s="15" t="s">
        <v>453</v>
      </c>
    </row>
    <row r="17" spans="1:4">
      <c r="A17" s="15" t="s">
        <v>742</v>
      </c>
      <c r="B17" s="47" t="s">
        <v>743</v>
      </c>
      <c r="C17" s="48" t="str">
        <f>IFERROR(IF(f2_05=SUM(f2_01:f2_04),"OK","NG"),"")</f>
        <v>OK</v>
      </c>
      <c r="D17" s="15" t="s">
        <v>348</v>
      </c>
    </row>
    <row r="18" spans="1:4">
      <c r="A18" s="15" t="s">
        <v>744</v>
      </c>
      <c r="B18" s="47" t="s">
        <v>745</v>
      </c>
      <c r="C18" s="48" t="str">
        <f>IFERROR(IF(f2_10=SUM(f2_06:f2_09),"OK","NG"),"")</f>
        <v>OK</v>
      </c>
      <c r="D18" s="15" t="s">
        <v>357</v>
      </c>
    </row>
    <row r="19" spans="1:4">
      <c r="A19" s="15" t="s">
        <v>746</v>
      </c>
      <c r="B19" s="47" t="s">
        <v>747</v>
      </c>
      <c r="C19" s="48" t="str">
        <f>IFERROR(IF(f2_13=SUM(f2_11:f2_12),"OK","NG"),"")</f>
        <v>OK</v>
      </c>
      <c r="D19" s="15" t="s">
        <v>748</v>
      </c>
    </row>
    <row r="20" spans="1:4">
      <c r="A20" s="15" t="s">
        <v>749</v>
      </c>
      <c r="B20" s="47" t="s">
        <v>750</v>
      </c>
      <c r="C20" s="48" t="str">
        <f>IFERROR(IF(f2_17=SUM(f2_14:f2_16),"OK","NG"),"")</f>
        <v>OK</v>
      </c>
      <c r="D20" s="15" t="s">
        <v>751</v>
      </c>
    </row>
    <row r="22" spans="1:4" ht="22.95" customHeight="1">
      <c r="A22" s="3" t="s">
        <v>752</v>
      </c>
      <c r="B22" s="3"/>
      <c r="C22" s="3"/>
      <c r="D22" s="3"/>
    </row>
    <row r="23" spans="1:4">
      <c r="A23" s="44" t="s">
        <v>753</v>
      </c>
      <c r="B23" s="44" t="s">
        <v>754</v>
      </c>
      <c r="C23" s="44" t="s">
        <v>755</v>
      </c>
      <c r="D23" s="44" t="s">
        <v>705</v>
      </c>
    </row>
    <row r="24" spans="1:4" ht="42" customHeight="1">
      <c r="A24" s="6" t="s">
        <v>758</v>
      </c>
      <c r="B24" s="6" t="s">
        <v>759</v>
      </c>
      <c r="C24" s="6" t="s">
        <v>760</v>
      </c>
      <c r="D24" s="49" t="s">
        <v>761</v>
      </c>
    </row>
    <row r="25" spans="1:4" ht="30" customHeight="1">
      <c r="A25" s="6" t="s">
        <v>762</v>
      </c>
      <c r="B25" s="6" t="s">
        <v>763</v>
      </c>
      <c r="C25" s="6" t="s">
        <v>763</v>
      </c>
      <c r="D25" s="49" t="s">
        <v>761</v>
      </c>
    </row>
    <row r="26" spans="1:4" ht="30" customHeight="1">
      <c r="A26" s="6" t="s">
        <v>764</v>
      </c>
      <c r="B26" s="6" t="s">
        <v>765</v>
      </c>
      <c r="C26" s="6" t="s">
        <v>765</v>
      </c>
      <c r="D26" s="49" t="s">
        <v>761</v>
      </c>
    </row>
    <row r="27" spans="1:4" ht="30" customHeight="1">
      <c r="A27" s="6" t="s">
        <v>766</v>
      </c>
      <c r="B27" s="6" t="s">
        <v>767</v>
      </c>
      <c r="C27" s="6" t="s">
        <v>767</v>
      </c>
      <c r="D27" s="49" t="s">
        <v>761</v>
      </c>
    </row>
    <row r="28" spans="1:4" ht="30" customHeight="1">
      <c r="A28" s="6" t="s">
        <v>768</v>
      </c>
      <c r="B28" s="6" t="s">
        <v>767</v>
      </c>
      <c r="C28" s="6" t="s">
        <v>767</v>
      </c>
      <c r="D28" s="49" t="s">
        <v>761</v>
      </c>
    </row>
    <row r="29" spans="1:4" ht="30" customHeight="1">
      <c r="A29" s="6" t="s">
        <v>769</v>
      </c>
      <c r="B29" s="6" t="s">
        <v>767</v>
      </c>
      <c r="C29" s="6" t="s">
        <v>767</v>
      </c>
      <c r="D29" s="49" t="s">
        <v>761</v>
      </c>
    </row>
    <row r="30" spans="1:4" ht="30" customHeight="1">
      <c r="A30" s="6" t="s">
        <v>770</v>
      </c>
      <c r="B30" s="6" t="s">
        <v>767</v>
      </c>
      <c r="C30" s="6" t="s">
        <v>767</v>
      </c>
      <c r="D30" s="49" t="s">
        <v>761</v>
      </c>
    </row>
    <row r="31" spans="1:4" ht="30" customHeight="1">
      <c r="A31" s="6" t="s">
        <v>771</v>
      </c>
      <c r="B31" s="6" t="s">
        <v>772</v>
      </c>
      <c r="C31" s="6" t="s">
        <v>772</v>
      </c>
      <c r="D31" s="49" t="s">
        <v>761</v>
      </c>
    </row>
    <row r="32" spans="1:4" ht="30" customHeight="1">
      <c r="A32" s="6" t="s">
        <v>773</v>
      </c>
      <c r="B32" s="6" t="s">
        <v>774</v>
      </c>
      <c r="C32" s="6" t="s">
        <v>775</v>
      </c>
      <c r="D32" s="49" t="s">
        <v>761</v>
      </c>
    </row>
    <row r="33" spans="1:4" ht="30" customHeight="1">
      <c r="A33" s="6" t="s">
        <v>776</v>
      </c>
      <c r="B33" s="6" t="s">
        <v>774</v>
      </c>
      <c r="C33" s="6" t="s">
        <v>775</v>
      </c>
      <c r="D33" s="49" t="s">
        <v>761</v>
      </c>
    </row>
    <row r="34" spans="1:4" ht="30" customHeight="1">
      <c r="A34" s="6" t="s">
        <v>777</v>
      </c>
      <c r="B34" s="6" t="s">
        <v>774</v>
      </c>
      <c r="C34" s="6" t="s">
        <v>775</v>
      </c>
      <c r="D34" s="49" t="s">
        <v>761</v>
      </c>
    </row>
    <row r="35" spans="1:4" ht="30" customHeight="1">
      <c r="A35" s="6" t="s">
        <v>778</v>
      </c>
      <c r="B35" s="6" t="s">
        <v>779</v>
      </c>
      <c r="C35" s="6" t="s">
        <v>780</v>
      </c>
      <c r="D35" s="49" t="s">
        <v>761</v>
      </c>
    </row>
    <row r="36" spans="1:4" ht="30" customHeight="1">
      <c r="A36" s="6" t="s">
        <v>781</v>
      </c>
      <c r="B36" s="6" t="s">
        <v>782</v>
      </c>
      <c r="C36" s="6" t="s">
        <v>782</v>
      </c>
      <c r="D36" s="49" t="s">
        <v>761</v>
      </c>
    </row>
    <row r="37" spans="1:4" ht="30" customHeight="1">
      <c r="A37" s="6" t="s">
        <v>783</v>
      </c>
      <c r="B37" s="50">
        <v>94847765582067</v>
      </c>
      <c r="C37" s="50">
        <v>94847765582067</v>
      </c>
      <c r="D37" s="49" t="s">
        <v>761</v>
      </c>
    </row>
    <row r="38" spans="1:4" ht="30" customHeight="1">
      <c r="A38" s="6" t="s">
        <v>784</v>
      </c>
      <c r="B38" s="6" t="s">
        <v>785</v>
      </c>
      <c r="C38" s="6" t="s">
        <v>785</v>
      </c>
      <c r="D38" s="49" t="s">
        <v>761</v>
      </c>
    </row>
    <row r="39" spans="1:4" ht="30" customHeight="1">
      <c r="A39" s="6" t="s">
        <v>786</v>
      </c>
      <c r="B39" s="6" t="s">
        <v>787</v>
      </c>
      <c r="C39" s="6" t="s">
        <v>787</v>
      </c>
      <c r="D39" s="49" t="s">
        <v>761</v>
      </c>
    </row>
    <row r="40" spans="1:4" ht="30" customHeight="1">
      <c r="A40" s="6" t="s">
        <v>788</v>
      </c>
      <c r="B40" s="6" t="s">
        <v>789</v>
      </c>
      <c r="C40" s="6" t="s">
        <v>790</v>
      </c>
      <c r="D40" s="49" t="s">
        <v>761</v>
      </c>
    </row>
    <row r="41" spans="1:4" ht="30" customHeight="1">
      <c r="A41" s="6" t="s">
        <v>791</v>
      </c>
      <c r="B41" s="6" t="b">
        <v>1</v>
      </c>
      <c r="C41" s="6" t="b">
        <v>1</v>
      </c>
      <c r="D41" s="49" t="s">
        <v>761</v>
      </c>
    </row>
  </sheetData>
  <sheetProtection sheet="1" objects="1" scenarios="1"/>
  <mergeCells count="2">
    <mergeCell ref="A1:D1"/>
    <mergeCell ref="A22:D22"/>
  </mergeCells>
  <phoneticPr fontId="4"/>
  <printOptions horizontalCentered="1"/>
  <pageMargins left="0.25" right="0.25" top="0.35" bottom="0.35" header="0.3" footer="0.3"/>
  <pageSetup paperSize="9" fitToHeight="999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FF9149-CF19-41A6-BA0A-7A0E09D3CD7B}">
  <sheetPr>
    <tabColor rgb="FFD9E1F2"/>
    <pageSetUpPr fitToPage="1"/>
  </sheetPr>
  <dimension ref="A1:D13"/>
  <sheetViews>
    <sheetView showGridLines="0" zoomScale="90" zoomScaleNormal="90" workbookViewId="0">
      <pane ySplit="3" topLeftCell="A4" activePane="bottomLeft" state="frozenSplit"/>
      <selection pane="bottomLeft" sqref="A1:D1"/>
    </sheetView>
  </sheetViews>
  <sheetFormatPr defaultRowHeight="18"/>
  <cols>
    <col min="1" max="1" width="13.69921875" customWidth="1"/>
    <col min="2" max="2" width="42.69921875" customWidth="1"/>
    <col min="3" max="3" width="78.69921875" customWidth="1"/>
    <col min="4" max="4" width="43.69921875" customWidth="1"/>
  </cols>
  <sheetData>
    <row r="1" spans="1:4" ht="26.4">
      <c r="A1" s="7" t="s">
        <v>665</v>
      </c>
      <c r="B1" s="8"/>
      <c r="C1" s="8"/>
      <c r="D1" s="8"/>
    </row>
    <row r="2" spans="1:4">
      <c r="A2" s="10"/>
      <c r="B2" s="10"/>
      <c r="C2" s="10"/>
      <c r="D2" s="10"/>
    </row>
    <row r="3" spans="1:4">
      <c r="A3" s="45" t="s">
        <v>666</v>
      </c>
      <c r="B3" s="45" t="s">
        <v>667</v>
      </c>
      <c r="C3" s="45" t="s">
        <v>668</v>
      </c>
      <c r="D3" s="45" t="s">
        <v>669</v>
      </c>
    </row>
    <row r="4" spans="1:4" ht="37.950000000000003" customHeight="1">
      <c r="A4" s="15" t="s">
        <v>670</v>
      </c>
      <c r="B4" s="15" t="s">
        <v>671</v>
      </c>
      <c r="C4" s="46" t="s">
        <v>672</v>
      </c>
      <c r="D4" s="15" t="s">
        <v>673</v>
      </c>
    </row>
    <row r="5" spans="1:4" ht="37.950000000000003" customHeight="1">
      <c r="A5" s="15" t="s">
        <v>670</v>
      </c>
      <c r="B5" s="15" t="s">
        <v>674</v>
      </c>
      <c r="C5" s="46" t="s">
        <v>675</v>
      </c>
      <c r="D5" s="15" t="s">
        <v>676</v>
      </c>
    </row>
    <row r="6" spans="1:4" ht="37.950000000000003" customHeight="1">
      <c r="A6" s="15" t="s">
        <v>670</v>
      </c>
      <c r="B6" s="15" t="s">
        <v>677</v>
      </c>
      <c r="C6" s="46" t="s">
        <v>678</v>
      </c>
      <c r="D6" s="15" t="s">
        <v>679</v>
      </c>
    </row>
    <row r="7" spans="1:4" ht="37.950000000000003" customHeight="1">
      <c r="A7" s="15" t="s">
        <v>670</v>
      </c>
      <c r="B7" s="15" t="s">
        <v>680</v>
      </c>
      <c r="C7" s="46" t="s">
        <v>681</v>
      </c>
      <c r="D7" s="15" t="s">
        <v>682</v>
      </c>
    </row>
    <row r="8" spans="1:4" ht="37.950000000000003" customHeight="1">
      <c r="A8" s="15" t="s">
        <v>670</v>
      </c>
      <c r="B8" s="15" t="s">
        <v>683</v>
      </c>
      <c r="C8" s="46" t="s">
        <v>684</v>
      </c>
      <c r="D8" s="15" t="s">
        <v>685</v>
      </c>
    </row>
    <row r="9" spans="1:4" ht="37.950000000000003" customHeight="1">
      <c r="A9" s="15" t="s">
        <v>670</v>
      </c>
      <c r="B9" s="15" t="s">
        <v>686</v>
      </c>
      <c r="C9" s="46" t="s">
        <v>687</v>
      </c>
      <c r="D9" s="15" t="s">
        <v>688</v>
      </c>
    </row>
    <row r="10" spans="1:4" ht="37.950000000000003" customHeight="1">
      <c r="A10" s="15" t="s">
        <v>670</v>
      </c>
      <c r="B10" s="15" t="s">
        <v>689</v>
      </c>
      <c r="C10" s="46" t="s">
        <v>690</v>
      </c>
      <c r="D10" s="15" t="s">
        <v>691</v>
      </c>
    </row>
    <row r="11" spans="1:4" ht="37.950000000000003" customHeight="1">
      <c r="A11" s="15" t="s">
        <v>670</v>
      </c>
      <c r="B11" s="15" t="s">
        <v>692</v>
      </c>
      <c r="C11" s="46" t="s">
        <v>693</v>
      </c>
      <c r="D11" s="15" t="s">
        <v>694</v>
      </c>
    </row>
    <row r="12" spans="1:4" ht="37.950000000000003" customHeight="1">
      <c r="A12" s="15" t="s">
        <v>695</v>
      </c>
      <c r="B12" s="15" t="s">
        <v>696</v>
      </c>
      <c r="C12" s="46" t="s">
        <v>697</v>
      </c>
      <c r="D12" s="15" t="s">
        <v>698</v>
      </c>
    </row>
    <row r="13" spans="1:4" ht="37.950000000000003" customHeight="1">
      <c r="A13" s="15" t="s">
        <v>695</v>
      </c>
      <c r="B13" s="15" t="s">
        <v>699</v>
      </c>
      <c r="C13" s="46" t="s">
        <v>700</v>
      </c>
      <c r="D13" s="15" t="s">
        <v>701</v>
      </c>
    </row>
  </sheetData>
  <sheetProtection sheet="1" objects="1" scenarios="1"/>
  <mergeCells count="1">
    <mergeCell ref="A1:D1"/>
  </mergeCells>
  <phoneticPr fontId="4"/>
  <hyperlinks>
    <hyperlink ref="C4" r:id="rId1" tooltip="令和8年法人税等各種別表一覧" xr:uid="{93ACBED5-9168-4A36-8D70-DB9308DE4E58}"/>
    <hyperlink ref="C5" r:id="rId2" tooltip="別表三(一) 様式" xr:uid="{3BFB9A19-0F22-4A4D-92A5-A64579425627}"/>
    <hyperlink ref="C6" r:id="rId3" tooltip="別表三(一) 記載の仕方" xr:uid="{360AA206-CEEF-48E4-996F-92875C59C568}"/>
    <hyperlink ref="C7" r:id="rId4" tooltip="別表三(一)付表一 様式" xr:uid="{02C92BAD-26F8-4851-8E34-585BFB7E893B}"/>
    <hyperlink ref="C8" r:id="rId5" tooltip="別表三(一)付表一 記載の仕方" xr:uid="{825F936D-0527-41B0-AE19-9AAE35802DD8}"/>
    <hyperlink ref="C9" r:id="rId6" tooltip="別表三(一)付表二 様式" xr:uid="{74923F39-EC46-47E7-B1AF-D7DF1AA34919}"/>
    <hyperlink ref="C10" r:id="rId7" tooltip="別表三(一)付表二 記載の仕方" xr:uid="{77E6398D-CDFE-4746-B884-461049AD8369}"/>
    <hyperlink ref="C11" r:id="rId8" tooltip="法人税基本通達16-1-8（留保金額の端数計算）" xr:uid="{BD2ADF9A-6E39-4A44-924C-3E8C3C265ADA}"/>
    <hyperlink ref="C12" r:id="rId9" location="Mp-At_67" tooltip="法人税法 第67条（特定同族会社の特別税率）" xr:uid="{6299F950-59F4-416D-9A1D-17B3FE8E946F}"/>
    <hyperlink ref="C13" r:id="rId10" location="Mp-At_10" tooltip="国税通則法 第10条（期間の計算及び期限の特例）" xr:uid="{081BEF23-02EB-4E09-81E7-6D71EB09B17C}"/>
  </hyperlinks>
  <printOptions horizontalCentered="1"/>
  <pageMargins left="0.25" right="0.25" top="0.35" bottom="0.35" header="0.3" footer="0.3"/>
  <pageSetup paperSize="9" scale="73" fitToHeight="999" orientation="landscape" r:id="rId1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65FD06-B7D7-4805-8274-F963A787DAF7}">
  <dimension ref="A1:E38"/>
  <sheetViews>
    <sheetView workbookViewId="0"/>
  </sheetViews>
  <sheetFormatPr defaultRowHeight="18"/>
  <sheetData>
    <row r="1" spans="1:5">
      <c r="A1" t="str">
        <f>IFERROR(IF(cfg_calculation_ready,IF(inp_corp="","",inp_corp),""),"")</f>
        <v/>
      </c>
    </row>
    <row r="2" spans="1:5">
      <c r="A2" t="str">
        <f>IFERROR(IF(cfg_calculation_ready,IF(OR(inp_start="",inp_end=""),"",TEXT(inp_start,"yyyy.m.d")&amp;CHAR(10)&amp;TEXT(inp_end,"yyyy.m.d")),""),"")</f>
        <v/>
      </c>
    </row>
    <row r="5" spans="1:5">
      <c r="A5" t="str">
        <f>IFERROR(IF(cfg_calculation_ready,IF(m_01=0,"",TEXT(m_01/1000,"#,##0")),""),"")</f>
        <v/>
      </c>
      <c r="B5" t="str">
        <f>IFERROR(IF(cfg_calculation_ready,IF(inp_m_B4_17_inner=0,"","内 "&amp;TEXT(inp_m_B4_17_inner,"#,##0")),""),"")</f>
        <v/>
      </c>
      <c r="C5" t="str">
        <f>IFERROR(IF(cfg_calculation_ready,TEXT(f1_01,"#,##0"),""),"")</f>
        <v/>
      </c>
      <c r="E5" t="str">
        <f>IFERROR(IF(cfg_calculation_ready,TEXT(f2_01,"#,##0"),""),"")</f>
        <v/>
      </c>
    </row>
    <row r="6" spans="1:5">
      <c r="A6" t="str">
        <f>IFERROR(IF(cfg_calculation_ready,IF(m_02=0,"",TEXT(m_02/1000,"#,##0")),""),"")</f>
        <v/>
      </c>
      <c r="C6" t="str">
        <f>IFERROR(IF(cfg_calculation_ready,TEXT(f1_02,"#,##0"),""),"")</f>
        <v/>
      </c>
      <c r="E6" t="str">
        <f>IFERROR(IF(cfg_calculation_ready,TEXT(f2_02,"#,##0"),""),"")</f>
        <v/>
      </c>
    </row>
    <row r="7" spans="1:5">
      <c r="A7" t="str">
        <f>IFERROR(IF(cfg_calculation_ready,IF(m_03=0,"",TEXT(m_03/1000,"#,##0")),""),"")</f>
        <v/>
      </c>
      <c r="C7" t="str">
        <f>IFERROR(IF(cfg_calculation_ready,TEXT(f1_03,"#,##0"),""),"")</f>
        <v/>
      </c>
      <c r="E7" t="str">
        <f>IFERROR(IF(cfg_calculation_ready,TEXT(f2_03,"#,##0"),""),"")</f>
        <v/>
      </c>
    </row>
    <row r="8" spans="1:5">
      <c r="A8" t="str">
        <f>IFERROR(IF(cfg_calculation_ready,IF(m_04=0,"",TEXT(m_04/1000,"#,##0")),""),"")</f>
        <v/>
      </c>
      <c r="C8" t="str">
        <f>IFERROR(IF(cfg_calculation_ready,TEXT(f1_04,"#,##0"),""),"")</f>
        <v/>
      </c>
      <c r="E8" t="str">
        <f>IFERROR(IF(cfg_calculation_ready,TEXT(f2_04,"#,##0"),""),"")</f>
        <v/>
      </c>
    </row>
    <row r="9" spans="1:5">
      <c r="A9" t="str">
        <f>IFERROR(IF(cfg_calculation_ready,TEXT(m_05,"#,##0"),""),"")</f>
        <v/>
      </c>
      <c r="C9" t="str">
        <f>IFERROR(IF(cfg_calculation_ready,TEXT(f1_05,"#,##0"),""),"")</f>
        <v/>
      </c>
      <c r="E9" t="str">
        <f>IFERROR(IF(cfg_calculation_ready,TEXT(f2_05,"#,##0"),""),"")</f>
        <v/>
      </c>
    </row>
    <row r="10" spans="1:5">
      <c r="A10" t="str">
        <f>IFERROR(IF(cfg_calculation_ready,TEXT(m_06,"#,##0"),""),"")</f>
        <v/>
      </c>
      <c r="C10" t="str">
        <f>IFERROR(IF(cfg_calculation_ready,TEXT(f1_06,"#,##0"),""),"")</f>
        <v/>
      </c>
      <c r="E10" t="str">
        <f>IFERROR(IF(cfg_calculation_ready,TEXT(f2_06,"#,##0"),""),"")</f>
        <v/>
      </c>
    </row>
    <row r="11" spans="1:5">
      <c r="A11" t="str">
        <f>IFERROR(IF(cfg_calculation_ready,TEXT(m_07,"#,##0"),""),"")</f>
        <v/>
      </c>
      <c r="C11" t="str">
        <f>IFERROR(IF(cfg_calculation_ready,TEXT(f1_07,"#,##0"),""),"")</f>
        <v/>
      </c>
      <c r="E11" t="str">
        <f>IFERROR(IF(cfg_calculation_ready,TEXT(f2_07,"#,##0"),""),"")</f>
        <v/>
      </c>
    </row>
    <row r="12" spans="1:5">
      <c r="A12" t="str">
        <f>IFERROR(IF(cfg_calculation_ready,TEXT(m_08,"#,##0"),""),"")</f>
        <v/>
      </c>
      <c r="C12" t="str">
        <f>IFERROR(IF(cfg_calculation_ready,TEXT(f1_08,"#,##0"),""),"")</f>
        <v/>
      </c>
      <c r="E12" t="str">
        <f>IFERROR(IF(cfg_calculation_ready,TEXT(f2_08,"#,##0"),""),"")</f>
        <v/>
      </c>
    </row>
    <row r="13" spans="1:5">
      <c r="A13" t="str">
        <f>IFERROR(IF(cfg_calculation_ready,TEXT(m_09,"#,##0"),""),"")</f>
        <v/>
      </c>
      <c r="C13" t="str">
        <f>IFERROR(IF(cfg_calculation_ready,TEXT(f1_09,"#,##0"),""),"")</f>
        <v/>
      </c>
      <c r="E13" t="str">
        <f>IFERROR(IF(cfg_calculation_ready,TEXT(f2_09,"#,##0"),""),"")</f>
        <v/>
      </c>
    </row>
    <row r="14" spans="1:5">
      <c r="A14" t="str">
        <f>IFERROR(IF(cfg_calculation_ready,TEXT(m_10,"#,##0"),""),"")</f>
        <v/>
      </c>
      <c r="C14" t="str">
        <f>IFERROR(IF(cfg_calculation_ready,TEXT(f1_10,"#,##0"),""),"")</f>
        <v/>
      </c>
      <c r="E14" t="str">
        <f>IFERROR(IF(cfg_calculation_ready,TEXT(f2_10,"#,##0"),""),"")</f>
        <v/>
      </c>
    </row>
    <row r="15" spans="1:5">
      <c r="A15" t="str">
        <f>IFERROR(IF(cfg_calculation_ready,TEXT(m_11,"#,##0"),""),"")</f>
        <v/>
      </c>
      <c r="C15" t="str">
        <f>IFERROR(IF(cfg_calculation_ready,TEXT(f1_11,"#,##0"),""),"")</f>
        <v/>
      </c>
      <c r="E15" t="str">
        <f>IFERROR(IF(cfg_calculation_ready,TEXT(f2_11,"#,##0"),""),"")</f>
        <v/>
      </c>
    </row>
    <row r="16" spans="1:5">
      <c r="A16" t="str">
        <f>IFERROR(IF(cfg_calculation_ready,TEXT(m_12,"#,##0"),""),"")</f>
        <v/>
      </c>
      <c r="C16" t="str">
        <f>IFERROR(IF(cfg_calculation_ready,TEXT(f1_12,"#,##0"),""),"")</f>
        <v/>
      </c>
      <c r="E16" t="str">
        <f>IFERROR(IF(cfg_calculation_ready,TEXT(f2_12,"#,##0"),""),"")</f>
        <v/>
      </c>
    </row>
    <row r="17" spans="1:5">
      <c r="A17" t="str">
        <f>IFERROR(IF(cfg_calculation_ready,TEXT(m_13,"#,##0"),""),"")</f>
        <v/>
      </c>
      <c r="C17" t="str">
        <f>IFERROR(IF(cfg_calculation_ready,TEXT(f1_13,"#,##0"),""),"")</f>
        <v/>
      </c>
      <c r="E17" t="str">
        <f>IFERROR(IF(cfg_calculation_ready,TEXT(f2_13,"#,##0"),""),"")</f>
        <v/>
      </c>
    </row>
    <row r="18" spans="1:5">
      <c r="A18" t="str">
        <f>IFERROR(IF(cfg_calculation_ready,TEXT(m_14,"#,##0"),""),"")</f>
        <v/>
      </c>
      <c r="C18" t="str">
        <f>IFERROR(IF(cfg_calculation_ready,TEXT(f1_14,"#,##0"),""),"")</f>
        <v/>
      </c>
      <c r="E18" t="str">
        <f>IFERROR(IF(cfg_calculation_ready,TEXT(f2_14,"#,##0"),""),"")</f>
        <v/>
      </c>
    </row>
    <row r="19" spans="1:5">
      <c r="A19" t="str">
        <f>IFERROR(IF(cfg_calculation_ready,TEXT(m_15,"#,##0"),""),"")</f>
        <v/>
      </c>
      <c r="C19" t="str">
        <f>IFERROR(IF(cfg_calculation_ready,TEXT(f1_15,"#,##0"),""),"")</f>
        <v/>
      </c>
      <c r="E19" t="str">
        <f>IFERROR(IF(cfg_calculation_ready,TEXT(f2_15,"#,##0"),""),"")</f>
        <v/>
      </c>
    </row>
    <row r="20" spans="1:5">
      <c r="A20" t="str">
        <f>IFERROR(IF(cfg_calculation_ready,TEXT(m_16,"#,##0"),""),"")</f>
        <v/>
      </c>
      <c r="C20" t="str">
        <f>IFERROR(IF(cfg_calculation_ready,TEXT(f1_16,"#,##0"),""),"")</f>
        <v/>
      </c>
      <c r="E20" t="str">
        <f>IFERROR(IF(cfg_calculation_ready,TEXT(f2_16,"#,##0"),""),"")</f>
        <v/>
      </c>
    </row>
    <row r="21" spans="1:5">
      <c r="A21" t="str">
        <f>IFERROR(IF(cfg_calculation_ready,TEXT(m_17,"#,##0"),""),"")</f>
        <v/>
      </c>
      <c r="C21" t="str">
        <f>IFERROR(IF(cfg_calculation_ready,TEXT(f1_17,"#,##0"),""),"")</f>
        <v/>
      </c>
      <c r="E21" t="str">
        <f>IFERROR(IF(cfg_calculation_ready,TEXT(f2_17,"#,##0"),""),"")</f>
        <v/>
      </c>
    </row>
    <row r="22" spans="1:5">
      <c r="A22" t="str">
        <f>IFERROR(IF(cfg_calculation_ready,TEXT(m_18,"#,##0"),""),"")</f>
        <v/>
      </c>
      <c r="C22" t="str">
        <f>IFERROR(IF(cfg_calculation_ready,TEXT(f1_18,"#,##0"),""),"")</f>
        <v/>
      </c>
      <c r="E22" t="str">
        <f>IFERROR(IF(cfg_calculation_ready,TEXT(f2_18,"#,##0"),""),"")</f>
        <v/>
      </c>
    </row>
    <row r="23" spans="1:5">
      <c r="A23" t="str">
        <f>IFERROR(IF(cfg_calculation_ready,TEXT(m_19,"#,##0"),""),"")</f>
        <v/>
      </c>
      <c r="C23" t="str">
        <f>IFERROR(IF(cfg_calculation_ready,TEXT(f1_19,"#,##0"),""),"")</f>
        <v/>
      </c>
      <c r="E23" t="str">
        <f>IFERROR(IF(cfg_calculation_ready,TEXT(f2_19,"#,##0"),""),"")</f>
        <v/>
      </c>
    </row>
    <row r="24" spans="1:5">
      <c r="A24" t="str">
        <f>IFERROR(IF(cfg_calculation_ready,TEXT(m_20,"#,##0"),""),"")</f>
        <v/>
      </c>
      <c r="C24" t="str">
        <f>IFERROR(IF(cfg_calculation_ready,TEXT(f1_20,"#,##0"),""),"")</f>
        <v/>
      </c>
      <c r="E24" t="str">
        <f>IFERROR(IF(cfg_calculation_ready,TEXT(f2_20,"#,##0"),""),"")</f>
        <v/>
      </c>
    </row>
    <row r="25" spans="1:5">
      <c r="A25" t="str">
        <f>IFERROR(IF(cfg_calculation_ready,IF(m_21=0,"",TEXT(m_21/1000,"#,##0")),""),"")</f>
        <v/>
      </c>
      <c r="C25" t="str">
        <f>IFERROR(IF(cfg_calculation_ready,TEXT(f1_21,"#,##0"),""),"")</f>
        <v/>
      </c>
      <c r="E25" t="str">
        <f>IFERROR(IF(cfg_calculation_ready,TEXT(f2_21,"#,##0"),""),"")</f>
        <v/>
      </c>
    </row>
    <row r="26" spans="1:5">
      <c r="A26" t="str">
        <f>IFERROR(IF(cfg_calculation_ready,TEXT(m_22,"#,##0"),""),"")</f>
        <v/>
      </c>
      <c r="C26" t="str">
        <f>IFERROR(IF(cfg_calculation_ready,TEXT(f1_22,"#,##0"),""),"")</f>
        <v/>
      </c>
      <c r="E26" t="str">
        <f>IFERROR(IF(cfg_calculation_ready,TEXT(f2_22,"#,##0"),""),"")</f>
        <v/>
      </c>
    </row>
    <row r="27" spans="1:5">
      <c r="A27" t="str">
        <f>IFERROR(IF(cfg_calculation_ready,TEXT(m_23,"#,##0"),""),"")</f>
        <v/>
      </c>
      <c r="C27" t="str">
        <f>IFERROR(IF(cfg_calculation_ready,TEXT(f1_23,"#,##0"),""),"")</f>
        <v/>
      </c>
      <c r="E27" t="str">
        <f>IFERROR(IF(cfg_calculation_ready,TEXT(f2_23,"#,##0"),""),"")</f>
        <v/>
      </c>
    </row>
    <row r="28" spans="1:5">
      <c r="A28" t="str">
        <f>IFERROR(IF(cfg_calculation_ready,TEXT(m_24,"#,##0"),""),"")</f>
        <v/>
      </c>
      <c r="C28" t="str">
        <f>IFERROR(IF(cfg_calculation_ready,TEXT(f1_24,"#,##0"),""),"")</f>
        <v/>
      </c>
      <c r="E28" t="str">
        <f>IFERROR(IF(cfg_calculation_ready,TEXT(f2_24,"0.00000000"),""),"")</f>
        <v/>
      </c>
    </row>
    <row r="29" spans="1:5">
      <c r="A29" t="str">
        <f>IFERROR(IF(cfg_calculation_ready,TEXT(m_25,"#,##0"),""),"")</f>
        <v/>
      </c>
      <c r="C29" t="str">
        <f>IFERROR(IF(cfg_calculation_ready,TEXT(f1_25,"#,##0"),""),"")</f>
        <v/>
      </c>
      <c r="E29" t="str">
        <f>IFERROR(IF(cfg_calculation_ready,TEXT(f2_25,"#,##0"),""),"")</f>
        <v/>
      </c>
    </row>
    <row r="30" spans="1:5">
      <c r="A30" t="str">
        <f>IFERROR(IF(cfg_calculation_ready,TEXT(m_26,"#,##0"),""),"")</f>
        <v/>
      </c>
      <c r="C30" t="str">
        <f>IFERROR(IF(cfg_calculation_ready,TEXT(f1_26,"#,##0"),""),"")</f>
        <v/>
      </c>
      <c r="E30" t="str">
        <f>IFERROR(IF(cfg_calculation_ready,TEXT(f2_26,"#,##0"),""),"")</f>
        <v/>
      </c>
    </row>
    <row r="31" spans="1:5">
      <c r="A31" t="str">
        <f>IFERROR(IF(cfg_calculation_ready,TEXT(m_27,"#,##0"),""),"")</f>
        <v/>
      </c>
      <c r="C31" t="str">
        <f>IFERROR(IF(cfg_calculation_ready,TEXT(f1_27,"#,##0"),""),"")</f>
        <v/>
      </c>
    </row>
    <row r="32" spans="1:5">
      <c r="A32" t="str">
        <f>IFERROR(IF(cfg_calculation_ready,TEXT(m_28,"#,##0"),""),"")</f>
        <v/>
      </c>
      <c r="C32" t="str">
        <f>IFERROR(IF(cfg_calculation_ready,TEXT(f1_28,"#,##0"),""),"")</f>
        <v/>
      </c>
    </row>
    <row r="33" spans="3:3">
      <c r="C33" t="str">
        <f>IFERROR(IF(cfg_calculation_ready,TEXT(f1_29,"#,##0"),""),"")</f>
        <v/>
      </c>
    </row>
    <row r="34" spans="3:3">
      <c r="C34" t="str">
        <f>IFERROR(IF(cfg_calculation_ready,TEXT(f1_30,"#,##0"),""),"")</f>
        <v/>
      </c>
    </row>
    <row r="35" spans="3:3">
      <c r="C35" t="str">
        <f>IFERROR(IF(cfg_calculation_ready,TEXT(f1_31,"#,##0"),""),"")</f>
        <v/>
      </c>
    </row>
    <row r="36" spans="3:3">
      <c r="C36" t="str">
        <f>IFERROR(IF(cfg_calculation_ready,TEXT(f1_32,"#,##0"),""),"")</f>
        <v/>
      </c>
    </row>
    <row r="37" spans="3:3">
      <c r="C37" t="str">
        <f>IFERROR(IF(cfg_calculation_ready,TEXT(f1_33,"#,##0"),""),"")</f>
        <v/>
      </c>
    </row>
    <row r="38" spans="3:3">
      <c r="C38" t="str">
        <f>IFERROR(IF(cfg_calculation_ready,TEXT(f1_34,"#,##0"),""),"")</f>
        <v/>
      </c>
    </row>
  </sheetData>
  <sheetProtection sheet="1" objects="1" scenarios="1"/>
  <phoneticPr fontId="4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322EF9-9210-4801-AD63-825B13783C1B}">
  <dimension ref="A1:M292"/>
  <sheetViews>
    <sheetView workbookViewId="0"/>
  </sheetViews>
  <sheetFormatPr defaultRowHeight="18"/>
  <cols>
    <col min="1" max="1" width="18.69921875" customWidth="1"/>
    <col min="2" max="6" width="19.69921875" customWidth="1"/>
    <col min="7" max="7" width="13.69921875" customWidth="1"/>
    <col min="8" max="8" width="44.69921875" customWidth="1"/>
    <col min="11" max="13" width="22.69921875" customWidth="1"/>
  </cols>
  <sheetData>
    <row r="1" spans="1:13">
      <c r="A1" s="1" t="s">
        <v>0</v>
      </c>
      <c r="B1" s="1"/>
      <c r="C1" s="1"/>
      <c r="D1" s="1"/>
      <c r="E1" s="1"/>
      <c r="F1" s="1"/>
      <c r="G1" s="1"/>
      <c r="H1" s="1"/>
      <c r="I1" t="b">
        <f>IFERROR(AND(exact_r8_f2_26_ratio_valid,exact_r8_f1_33_income_valid,exact_r8_m_24_resident_valid,exact_r8_m_26_municipal_valid,exact_r8_m_26_delta_valid),0)</f>
        <v>1</v>
      </c>
      <c r="J1" t="s">
        <v>627</v>
      </c>
    </row>
    <row r="2" spans="1:13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t="b">
        <f>IFERROR(AND(K4:K82,SUM(L4:L82)&lt;=1000000000000000),FALSE)</f>
        <v>1</v>
      </c>
      <c r="J2" t="s">
        <v>339</v>
      </c>
      <c r="K2" s="2" t="s">
        <v>257</v>
      </c>
      <c r="L2" s="2" t="s">
        <v>258</v>
      </c>
      <c r="M2" s="2" t="s">
        <v>259</v>
      </c>
    </row>
    <row r="3" spans="1:13">
      <c r="I3" t="b">
        <f>IFERROR(inp_end&gt;=DATE(2026,4,1),0)</f>
        <v>1</v>
      </c>
      <c r="J3" t="s">
        <v>628</v>
      </c>
    </row>
    <row r="4" spans="1:13">
      <c r="A4" s="2" t="s">
        <v>549</v>
      </c>
      <c r="B4" s="2" t="s">
        <v>550</v>
      </c>
      <c r="C4" s="2" t="s">
        <v>551</v>
      </c>
      <c r="D4" s="2" t="s">
        <v>552</v>
      </c>
      <c r="E4" s="2" t="s">
        <v>553</v>
      </c>
      <c r="F4" s="2"/>
      <c r="G4" s="2"/>
      <c r="H4" s="2"/>
      <c r="I4" t="b">
        <f>IFERROR(TRUE,0)</f>
        <v>1</v>
      </c>
      <c r="J4" t="s">
        <v>629</v>
      </c>
      <c r="K4" t="b">
        <f>IFERROR(AND(ISNUMBER(inp_m_B4_52_2),inp_m_B4_52_2=INT(inp_m_B4_52_2),inp_m_B4_52_2&gt;=0,ABS(inp_m_B4_52_2)&lt;=999999999999999),FALSE)</f>
        <v>1</v>
      </c>
      <c r="L4">
        <f>IFERROR(ABS(inp_m_B4_52_2),0)</f>
        <v>0</v>
      </c>
      <c r="M4" t="s">
        <v>260</v>
      </c>
    </row>
    <row r="5" spans="1:13">
      <c r="A5" t="s">
        <v>554</v>
      </c>
      <c r="B5">
        <f>IFERROR(ABS((f2_20+f2_21)),0)</f>
        <v>0</v>
      </c>
      <c r="C5">
        <f>IFERROR(ABS(f2_22),0)</f>
        <v>0</v>
      </c>
      <c r="D5">
        <f>IFERROR(MAX(1,IFERROR(ABS((f2_22+f2_23)),0)),0)</f>
        <v>1</v>
      </c>
      <c r="E5">
        <f>IFERROR(SIGN((f2_20+f2_21))*SIGN(f2_22)*SIGN((f2_22+f2_23)),0)</f>
        <v>0</v>
      </c>
      <c r="F5">
        <f>IFERROR(ABS((f2_22+f2_23)),0)</f>
        <v>0</v>
      </c>
      <c r="G5" t="b">
        <f>IFERROR(F60,0)</f>
        <v>1</v>
      </c>
      <c r="H5" s="4" t="s">
        <v>555</v>
      </c>
      <c r="I5" t="b">
        <f>IFERROR(AND(f2_21&gt;=0,f2_23&gt;=0,f2_24&gt;=0,f2_24&lt;=1),FALSE)</f>
        <v>1</v>
      </c>
      <c r="J5" t="s">
        <v>630</v>
      </c>
      <c r="K5" t="b">
        <f>IFERROR(AND(ISNUMBER(inp_b10_7_15),inp_b10_7_15=INT(inp_b10_7_15),inp_b10_7_15&gt;=0,ABS(inp_b10_7_15)&lt;=999999999999999),FALSE)</f>
        <v>1</v>
      </c>
      <c r="L5">
        <f>IFERROR(ABS(inp_b10_7_15),0)</f>
        <v>0</v>
      </c>
      <c r="M5" t="s">
        <v>261</v>
      </c>
    </row>
    <row r="6" spans="1:13">
      <c r="D6">
        <v>0</v>
      </c>
      <c r="E6">
        <v>0</v>
      </c>
      <c r="I6" t="b">
        <f>IFERROR(inp_special="はい",0)</f>
        <v>0</v>
      </c>
      <c r="J6" t="s">
        <v>631</v>
      </c>
      <c r="K6" t="b">
        <f>IFERROR(AND(ISNUMBER(inp_m_B4_17_inner),inp_m_B4_17_inner=INT(inp_m_B4_17_inner),inp_m_B4_17_inner&gt;=0,ABS(inp_m_B4_17_inner)&lt;=999999999999999),FALSE)</f>
        <v>1</v>
      </c>
      <c r="L6">
        <f>IFERROR(ABS(inp_m_B4_17_inner),0)</f>
        <v>0</v>
      </c>
      <c r="M6" t="s">
        <v>262</v>
      </c>
    </row>
    <row r="7" spans="1:13">
      <c r="A7">
        <v>52</v>
      </c>
      <c r="B7">
        <f>IFERROR(QUOTIENT($B$5,2^A7)-2*QUOTIENT($B$5,2^(A7+1)),0)</f>
        <v>0</v>
      </c>
      <c r="C7">
        <f>IFERROR(2*E6+B7*$C$5,0)</f>
        <v>0</v>
      </c>
      <c r="D7">
        <f>IFERROR(2*D6+QUOTIENT(C7,$D$5),0)</f>
        <v>0</v>
      </c>
      <c r="E7">
        <f>IFERROR(C7-$D$5*QUOTIENT(C7,$D$5),0)</f>
        <v>0</v>
      </c>
      <c r="I7" t="b">
        <f>IFERROR(OR(inp_class="該当",inp_class="非該当"),0)</f>
        <v>0</v>
      </c>
      <c r="J7" t="s">
        <v>632</v>
      </c>
      <c r="K7" t="b">
        <f>IFERROR(AND(ISNUMBER(inp_prev_div),inp_prev_div=INT(inp_prev_div),inp_prev_div&gt;=0,ABS(inp_prev_div)&lt;=999999999999999),FALSE)</f>
        <v>1</v>
      </c>
      <c r="L7">
        <f>IFERROR(ABS(inp_prev_div),0)</f>
        <v>0</v>
      </c>
      <c r="M7" t="s">
        <v>263</v>
      </c>
    </row>
    <row r="8" spans="1:13">
      <c r="A8">
        <v>51</v>
      </c>
      <c r="B8">
        <f>IFERROR(QUOTIENT($B$5,2^A8)-2*QUOTIENT($B$5,2^(A8+1)),0)</f>
        <v>0</v>
      </c>
      <c r="C8">
        <f>IFERROR(2*E7+B8*$C$5,0)</f>
        <v>0</v>
      </c>
      <c r="D8">
        <f>IFERROR(2*D7+QUOTIENT(C8,$D$5),0)</f>
        <v>0</v>
      </c>
      <c r="E8">
        <f>IFERROR(C8-$D$5*QUOTIENT(C8,$D$5),0)</f>
        <v>0</v>
      </c>
      <c r="I8" t="b">
        <f>IFERROR(OR(inp_group="はい",inp_group="いいえ"),0)</f>
        <v>0</v>
      </c>
      <c r="J8" t="s">
        <v>633</v>
      </c>
      <c r="K8" t="b">
        <f>IFERROR(AND(ISNUMBER(inp_curr_div),inp_curr_div=INT(inp_curr_div),inp_curr_div&gt;=0,ABS(inp_curr_div)&lt;=999999999999999),FALSE)</f>
        <v>1</v>
      </c>
      <c r="L8">
        <f>IFERROR(ABS(inp_curr_div),0)</f>
        <v>0</v>
      </c>
      <c r="M8" t="s">
        <v>264</v>
      </c>
    </row>
    <row r="9" spans="1:13">
      <c r="A9">
        <v>50</v>
      </c>
      <c r="B9">
        <f>IFERROR(QUOTIENT($B$5,2^A9)-2*QUOTIENT($B$5,2^(A9+1)),0)</f>
        <v>0</v>
      </c>
      <c r="C9">
        <f>IFERROR(2*E8+B9*$C$5,0)</f>
        <v>0</v>
      </c>
      <c r="D9">
        <f>IFERROR(2*D8+QUOTIENT(C9,$D$5),0)</f>
        <v>0</v>
      </c>
      <c r="E9">
        <f>IFERROR(C9-$D$5*QUOTIENT(C9,$D$5),0)</f>
        <v>0</v>
      </c>
      <c r="I9" t="b">
        <f>IFERROR(AND(cfg_period_input_valid,cfg_applicable,cfg_special_applicable,cfg_class_selected,cfg_group_selected,cfg_f2_period_ok,cfg_f2_input_valid,cfg_exact_domain_ok,cfg_exact_math_valid),FALSE)</f>
        <v>0</v>
      </c>
      <c r="J9" t="s">
        <v>635</v>
      </c>
      <c r="K9" t="b">
        <f>IFERROR(AND(ISNUMBER(inp_b1_2),inp_b1_2=INT(inp_b1_2),inp_b1_2&gt;=0,ABS(inp_b1_2)&lt;=999999999999999),FALSE)</f>
        <v>1</v>
      </c>
      <c r="L9">
        <f>IFERROR(ABS(inp_b1_2),0)</f>
        <v>0</v>
      </c>
      <c r="M9" t="s">
        <v>265</v>
      </c>
    </row>
    <row r="10" spans="1:13">
      <c r="A10">
        <v>49</v>
      </c>
      <c r="B10">
        <f>IFERROR(QUOTIENT($B$5,2^A10)-2*QUOTIENT($B$5,2^(A10+1)),0)</f>
        <v>0</v>
      </c>
      <c r="C10">
        <f>IFERROR(2*E9+B10*$C$5,0)</f>
        <v>0</v>
      </c>
      <c r="D10">
        <f>IFERROR(2*D9+QUOTIENT(C10,$D$5),0)</f>
        <v>0</v>
      </c>
      <c r="E10">
        <f>IFERROR(C10-$D$5*QUOTIENT(C10,$D$5),0)</f>
        <v>0</v>
      </c>
      <c r="I10" t="b">
        <f>IFERROR(AND(ISNUMBER(inp_start),inp_start=INT(inp_start),inp_start&gt;=DATE(1900,1,1),inp_start&lt;=DATE(2100,12,31),ISNUMBER(inp_end),inp_end=INT(inp_end),inp_end&gt;=DATE(1900,1,1),inp_end&lt;=DATE(2100,12,31),inp_end&gt;=inp_start,inp_end&lt;=IF(DAY(EDATE(inp_start,12))&lt;DAY(inp_start),EDATE(inp_start,12),EDATE(inp_start,12)-1),ISNUMBER(inp_months),inp_months=INT(inp_months),inp_months&gt;=1,inp_months&lt;=12),FALSE)</f>
        <v>1</v>
      </c>
      <c r="J10" t="s">
        <v>634</v>
      </c>
      <c r="K10" t="b">
        <f>IFERROR(AND(ISNUMBER(inp_b1_3),inp_b1_3=INT(inp_b1_3),inp_b1_3&gt;=0,ABS(inp_b1_3)&lt;=999999999999999),FALSE)</f>
        <v>1</v>
      </c>
      <c r="L10">
        <f>IFERROR(ABS(inp_b1_3),0)</f>
        <v>0</v>
      </c>
      <c r="M10" t="s">
        <v>266</v>
      </c>
    </row>
    <row r="11" spans="1:13">
      <c r="A11">
        <v>48</v>
      </c>
      <c r="B11">
        <f>IFERROR(QUOTIENT($B$5,2^A11)-2*QUOTIENT($B$5,2^(A11+1)),0)</f>
        <v>0</v>
      </c>
      <c r="C11">
        <f>IFERROR(2*E10+B11*$C$5,0)</f>
        <v>0</v>
      </c>
      <c r="D11">
        <f>IFERROR(2*D10+QUOTIENT(C11,$D$5),0)</f>
        <v>0</v>
      </c>
      <c r="E11">
        <f>IFERROR(C11-$D$5*QUOTIENT(C11,$D$5),0)</f>
        <v>0</v>
      </c>
      <c r="K11" t="b">
        <f>IFERROR(AND(ISNUMBER(inp_b1_4),inp_b1_4=INT(inp_b1_4),inp_b1_4&gt;=0,ABS(inp_b1_4)&lt;=999999999999999),FALSE)</f>
        <v>1</v>
      </c>
      <c r="L11">
        <f>IFERROR(ABS(inp_b1_4),0)</f>
        <v>0</v>
      </c>
      <c r="M11" t="s">
        <v>267</v>
      </c>
    </row>
    <row r="12" spans="1:13">
      <c r="A12">
        <v>47</v>
      </c>
      <c r="B12">
        <f>IFERROR(QUOTIENT($B$5,2^A12)-2*QUOTIENT($B$5,2^(A12+1)),0)</f>
        <v>0</v>
      </c>
      <c r="C12">
        <f>IFERROR(2*E11+B12*$C$5,0)</f>
        <v>0</v>
      </c>
      <c r="D12">
        <f>IFERROR(2*D11+QUOTIENT(C12,$D$5),0)</f>
        <v>0</v>
      </c>
      <c r="E12">
        <f>IFERROR(C12-$D$5*QUOTIENT(C12,$D$5),0)</f>
        <v>0</v>
      </c>
      <c r="K12" t="b">
        <f>IFERROR(AND(ISNUMBER(inp_b1_6),inp_b1_6=INT(inp_b1_6),inp_b1_6&gt;=0,ABS(inp_b1_6)&lt;=999999999999999),FALSE)</f>
        <v>1</v>
      </c>
      <c r="L12">
        <f>IFERROR(ABS(inp_b1_6),0)</f>
        <v>0</v>
      </c>
      <c r="M12" t="s">
        <v>268</v>
      </c>
    </row>
    <row r="13" spans="1:13">
      <c r="A13">
        <v>46</v>
      </c>
      <c r="B13">
        <f>IFERROR(QUOTIENT($B$5,2^A13)-2*QUOTIENT($B$5,2^(A13+1)),0)</f>
        <v>0</v>
      </c>
      <c r="C13">
        <f>IFERROR(2*E12+B13*$C$5,0)</f>
        <v>0</v>
      </c>
      <c r="D13">
        <f>IFERROR(2*D12+QUOTIENT(C13,$D$5),0)</f>
        <v>0</v>
      </c>
      <c r="E13">
        <f>IFERROR(C13-$D$5*QUOTIENT(C13,$D$5),0)</f>
        <v>0</v>
      </c>
      <c r="K13" t="b">
        <f>IFERROR(AND(ISNUMBER(inp_b1_9out),inp_b1_9out=INT(inp_b1_9out),inp_b1_9out&gt;=0,ABS(inp_b1_9out)&lt;=999999999999999),FALSE)</f>
        <v>1</v>
      </c>
      <c r="L13">
        <f>IFERROR(ABS(inp_b1_9out),0)</f>
        <v>0</v>
      </c>
      <c r="M13" t="s">
        <v>269</v>
      </c>
    </row>
    <row r="14" spans="1:13">
      <c r="A14">
        <v>45</v>
      </c>
      <c r="B14">
        <f>IFERROR(QUOTIENT($B$5,2^A14)-2*QUOTIENT($B$5,2^(A14+1)),0)</f>
        <v>0</v>
      </c>
      <c r="C14">
        <f>IFERROR(2*E13+B14*$C$5,0)</f>
        <v>0</v>
      </c>
      <c r="D14">
        <f>IFERROR(2*D13+QUOTIENT(C14,$D$5),0)</f>
        <v>0</v>
      </c>
      <c r="E14">
        <f>IFERROR(C14-$D$5*QUOTIENT(C14,$D$5),0)</f>
        <v>0</v>
      </c>
      <c r="K14" t="b">
        <f>IFERROR(AND(ISNUMBER(inp_b1_11),inp_b1_11=INT(inp_b1_11),inp_b1_11&gt;=0,ABS(inp_b1_11)&lt;=999999999999999),FALSE)</f>
        <v>1</v>
      </c>
      <c r="L14">
        <f>IFERROR(ABS(inp_b1_11),0)</f>
        <v>0</v>
      </c>
      <c r="M14" t="s">
        <v>270</v>
      </c>
    </row>
    <row r="15" spans="1:13">
      <c r="A15">
        <v>44</v>
      </c>
      <c r="B15">
        <f>IFERROR(QUOTIENT($B$5,2^A15)-2*QUOTIENT($B$5,2^(A15+1)),0)</f>
        <v>0</v>
      </c>
      <c r="C15">
        <f>IFERROR(2*E14+B15*$C$5,0)</f>
        <v>0</v>
      </c>
      <c r="D15">
        <f>IFERROR(2*D14+QUOTIENT(C15,$D$5),0)</f>
        <v>0</v>
      </c>
      <c r="E15">
        <f>IFERROR(C15-$D$5*QUOTIENT(C15,$D$5),0)</f>
        <v>0</v>
      </c>
      <c r="K15" t="b">
        <f>IFERROR(AND(ISNUMBER(inp_b1_17),inp_b1_17=INT(inp_b1_17),inp_b1_17&gt;=0,ABS(inp_b1_17)&lt;=999999999999999),FALSE)</f>
        <v>1</v>
      </c>
      <c r="L15">
        <f>IFERROR(ABS(inp_b1_17),0)</f>
        <v>0</v>
      </c>
      <c r="M15" t="s">
        <v>271</v>
      </c>
    </row>
    <row r="16" spans="1:13">
      <c r="A16">
        <v>43</v>
      </c>
      <c r="B16">
        <f>IFERROR(QUOTIENT($B$5,2^A16)-2*QUOTIENT($B$5,2^(A16+1)),0)</f>
        <v>0</v>
      </c>
      <c r="C16">
        <f>IFERROR(2*E15+B16*$C$5,0)</f>
        <v>0</v>
      </c>
      <c r="D16">
        <f>IFERROR(2*D15+QUOTIENT(C16,$D$5),0)</f>
        <v>0</v>
      </c>
      <c r="E16">
        <f>IFERROR(C16-$D$5*QUOTIENT(C16,$D$5),0)</f>
        <v>0</v>
      </c>
      <c r="K16" t="b">
        <f>IFERROR(AND(ISNUMBER(inp_b1_18),inp_b1_18=INT(inp_b1_18),inp_b1_18&gt;=0,ABS(inp_b1_18)&lt;=999999999999999),FALSE)</f>
        <v>1</v>
      </c>
      <c r="L16">
        <f>IFERROR(ABS(inp_b1_18),0)</f>
        <v>0</v>
      </c>
      <c r="M16" t="s">
        <v>272</v>
      </c>
    </row>
    <row r="17" spans="1:13">
      <c r="A17">
        <v>42</v>
      </c>
      <c r="B17">
        <f>IFERROR(QUOTIENT($B$5,2^A17)-2*QUOTIENT($B$5,2^(A17+1)),0)</f>
        <v>0</v>
      </c>
      <c r="C17">
        <f>IFERROR(2*E16+B17*$C$5,0)</f>
        <v>0</v>
      </c>
      <c r="D17">
        <f>IFERROR(2*D16+QUOTIENT(C17,$D$5),0)</f>
        <v>0</v>
      </c>
      <c r="E17">
        <f>IFERROR(C17-$D$5*QUOTIENT(C17,$D$5),0)</f>
        <v>0</v>
      </c>
      <c r="K17" t="b">
        <f>IFERROR(AND(ISNUMBER(inp_b1_31),inp_b1_31=INT(inp_b1_31),inp_b1_31&gt;=0,ABS(inp_b1_31)&lt;=999999999999999),FALSE)</f>
        <v>1</v>
      </c>
      <c r="L17">
        <f>IFERROR(ABS(inp_b1_31),0)</f>
        <v>0</v>
      </c>
      <c r="M17" t="s">
        <v>273</v>
      </c>
    </row>
    <row r="18" spans="1:13">
      <c r="A18">
        <v>41</v>
      </c>
      <c r="B18">
        <f>IFERROR(QUOTIENT($B$5,2^A18)-2*QUOTIENT($B$5,2^(A18+1)),0)</f>
        <v>0</v>
      </c>
      <c r="C18">
        <f>IFERROR(2*E17+B18*$C$5,0)</f>
        <v>0</v>
      </c>
      <c r="D18">
        <f>IFERROR(2*D17+QUOTIENT(C18,$D$5),0)</f>
        <v>0</v>
      </c>
      <c r="E18">
        <f>IFERROR(C18-$D$5*QUOTIENT(C18,$D$5),0)</f>
        <v>0</v>
      </c>
      <c r="K18" t="b">
        <f>IFERROR(AND(ISNUMBER(inp_b1_32),inp_b1_32=INT(inp_b1_32),inp_b1_32&gt;=0,ABS(inp_b1_32)&lt;=999999999999999),FALSE)</f>
        <v>1</v>
      </c>
      <c r="L18">
        <f>IFERROR(ABS(inp_b1_32),0)</f>
        <v>0</v>
      </c>
      <c r="M18" t="s">
        <v>274</v>
      </c>
    </row>
    <row r="19" spans="1:13">
      <c r="A19">
        <v>40</v>
      </c>
      <c r="B19">
        <f>IFERROR(QUOTIENT($B$5,2^A19)-2*QUOTIENT($B$5,2^(A19+1)),0)</f>
        <v>0</v>
      </c>
      <c r="C19">
        <f>IFERROR(2*E18+B19*$C$5,0)</f>
        <v>0</v>
      </c>
      <c r="D19">
        <f>IFERROR(2*D18+QUOTIENT(C19,$D$5),0)</f>
        <v>0</v>
      </c>
      <c r="E19">
        <f>IFERROR(C19-$D$5*QUOTIENT(C19,$D$5),0)</f>
        <v>0</v>
      </c>
      <c r="K19" t="b">
        <f>IFERROR(AND(ISNUMBER(inp_b1_36),inp_b1_36=INT(inp_b1_36),inp_b1_36&gt;=0,ABS(inp_b1_36)&lt;=999999999999999),FALSE)</f>
        <v>1</v>
      </c>
      <c r="L19">
        <f>IFERROR(ABS(inp_b1_36),0)</f>
        <v>0</v>
      </c>
      <c r="M19" t="s">
        <v>275</v>
      </c>
    </row>
    <row r="20" spans="1:13">
      <c r="A20">
        <v>39</v>
      </c>
      <c r="B20">
        <f>IFERROR(QUOTIENT($B$5,2^A20)-2*QUOTIENT($B$5,2^(A20+1)),0)</f>
        <v>0</v>
      </c>
      <c r="C20">
        <f>IFERROR(2*E19+B20*$C$5,0)</f>
        <v>0</v>
      </c>
      <c r="D20">
        <f>IFERROR(2*D19+QUOTIENT(C20,$D$5),0)</f>
        <v>0</v>
      </c>
      <c r="E20">
        <f>IFERROR(C20-$D$5*QUOTIENT(C20,$D$5),0)</f>
        <v>0</v>
      </c>
      <c r="K20" t="b">
        <f>IFERROR(AND(ISNUMBER(inp_b1_94),inp_b1_94=INT(inp_b1_94),inp_b1_94&gt;=0,ABS(inp_b1_94)&lt;=999999999999999),FALSE)</f>
        <v>1</v>
      </c>
      <c r="L20">
        <f>IFERROR(ABS(inp_b1_94),0)</f>
        <v>0</v>
      </c>
      <c r="M20" t="s">
        <v>276</v>
      </c>
    </row>
    <row r="21" spans="1:13">
      <c r="A21">
        <v>38</v>
      </c>
      <c r="B21">
        <f>IFERROR(QUOTIENT($B$5,2^A21)-2*QUOTIENT($B$5,2^(A21+1)),0)</f>
        <v>0</v>
      </c>
      <c r="C21">
        <f>IFERROR(2*E20+B21*$C$5,0)</f>
        <v>0</v>
      </c>
      <c r="D21">
        <f>IFERROR(2*D20+QUOTIENT(C21,$D$5),0)</f>
        <v>0</v>
      </c>
      <c r="E21">
        <f>IFERROR(C21-$D$5*QUOTIENT(C21,$D$5),0)</f>
        <v>0</v>
      </c>
      <c r="K21" t="b">
        <f>IFERROR(AND(ISNUMBER(inp_b1_50),inp_b1_50=INT(inp_b1_50),inp_b1_50&gt;=0,ABS(inp_b1_50)&lt;=999999999999999),FALSE)</f>
        <v>1</v>
      </c>
      <c r="L21">
        <f>IFERROR(ABS(inp_b1_50),0)</f>
        <v>0</v>
      </c>
      <c r="M21" t="s">
        <v>277</v>
      </c>
    </row>
    <row r="22" spans="1:13">
      <c r="A22">
        <v>37</v>
      </c>
      <c r="B22">
        <f>IFERROR(QUOTIENT($B$5,2^A22)-2*QUOTIENT($B$5,2^(A22+1)),0)</f>
        <v>0</v>
      </c>
      <c r="C22">
        <f>IFERROR(2*E21+B22*$C$5,0)</f>
        <v>0</v>
      </c>
      <c r="D22">
        <f>IFERROR(2*D21+QUOTIENT(C22,$D$5),0)</f>
        <v>0</v>
      </c>
      <c r="E22">
        <f>IFERROR(C22-$D$5*QUOTIENT(C22,$D$5),0)</f>
        <v>0</v>
      </c>
      <c r="K22" t="b">
        <f>IFERROR(AND(ISNUMBER(inp_b1_51),inp_b1_51=INT(inp_b1_51),inp_b1_51&gt;=0,ABS(inp_b1_51)&lt;=999999999999999),FALSE)</f>
        <v>1</v>
      </c>
      <c r="L22">
        <f>IFERROR(ABS(inp_b1_51),0)</f>
        <v>0</v>
      </c>
      <c r="M22" t="s">
        <v>278</v>
      </c>
    </row>
    <row r="23" spans="1:13">
      <c r="A23">
        <v>36</v>
      </c>
      <c r="B23">
        <f>IFERROR(QUOTIENT($B$5,2^A23)-2*QUOTIENT($B$5,2^(A23+1)),0)</f>
        <v>0</v>
      </c>
      <c r="C23">
        <f>IFERROR(2*E22+B23*$C$5,0)</f>
        <v>0</v>
      </c>
      <c r="D23">
        <f>IFERROR(2*D22+QUOTIENT(C23,$D$5),0)</f>
        <v>0</v>
      </c>
      <c r="E23">
        <f>IFERROR(C23-$D$5*QUOTIENT(C23,$D$5),0)</f>
        <v>0</v>
      </c>
      <c r="K23" t="b">
        <f>IFERROR(AND(ISNUMBER(inp_b1_55),inp_b1_55=INT(inp_b1_55),inp_b1_55&gt;=0,ABS(inp_b1_55)&lt;=999999999999999),FALSE)</f>
        <v>1</v>
      </c>
      <c r="L23">
        <f>IFERROR(ABS(inp_b1_55),0)</f>
        <v>0</v>
      </c>
      <c r="M23" t="s">
        <v>279</v>
      </c>
    </row>
    <row r="24" spans="1:13">
      <c r="A24">
        <v>35</v>
      </c>
      <c r="B24">
        <f>IFERROR(QUOTIENT($B$5,2^A24)-2*QUOTIENT($B$5,2^(A24+1)),0)</f>
        <v>0</v>
      </c>
      <c r="C24">
        <f>IFERROR(2*E23+B24*$C$5,0)</f>
        <v>0</v>
      </c>
      <c r="D24">
        <f>IFERROR(2*D23+QUOTIENT(C24,$D$5),0)</f>
        <v>0</v>
      </c>
      <c r="E24">
        <f>IFERROR(C24-$D$5*QUOTIENT(C24,$D$5),0)</f>
        <v>0</v>
      </c>
      <c r="K24" t="b">
        <f>IFERROR(AND(ISNUMBER(inp_b1_71),inp_b1_71=INT(inp_b1_71),inp_b1_71&gt;=0,ABS(inp_b1_71)&lt;=999999999999999),FALSE)</f>
        <v>1</v>
      </c>
      <c r="L24">
        <f>IFERROR(ABS(inp_b1_71),0)</f>
        <v>0</v>
      </c>
      <c r="M24" t="s">
        <v>280</v>
      </c>
    </row>
    <row r="25" spans="1:13">
      <c r="A25">
        <v>34</v>
      </c>
      <c r="B25">
        <f>IFERROR(QUOTIENT($B$5,2^A25)-2*QUOTIENT($B$5,2^(A25+1)),0)</f>
        <v>0</v>
      </c>
      <c r="C25">
        <f>IFERROR(2*E24+B25*$C$5,0)</f>
        <v>0</v>
      </c>
      <c r="D25">
        <f>IFERROR(2*D24+QUOTIENT(C25,$D$5),0)</f>
        <v>0</v>
      </c>
      <c r="E25">
        <f>IFERROR(C25-$D$5*QUOTIENT(C25,$D$5),0)</f>
        <v>0</v>
      </c>
      <c r="K25" t="b">
        <f>IFERROR(AND(ISNUMBER(inp_b6_5_2_5_3),inp_b6_5_2_5_3=INT(inp_b6_5_2_5_3),inp_b6_5_2_5_3&gt;=0,ABS(inp_b6_5_2_5_3)&lt;=999999999999999),FALSE)</f>
        <v>1</v>
      </c>
      <c r="L25">
        <f>IFERROR(ABS(inp_b6_5_2_5_3),0)</f>
        <v>0</v>
      </c>
      <c r="M25" t="s">
        <v>281</v>
      </c>
    </row>
    <row r="26" spans="1:13">
      <c r="A26">
        <v>33</v>
      </c>
      <c r="B26">
        <f>IFERROR(QUOTIENT($B$5,2^A26)-2*QUOTIENT($B$5,2^(A26+1)),0)</f>
        <v>0</v>
      </c>
      <c r="C26">
        <f>IFERROR(2*E25+B26*$C$5,0)</f>
        <v>0</v>
      </c>
      <c r="D26">
        <f>IFERROR(2*D25+QUOTIENT(C26,$D$5),0)</f>
        <v>0</v>
      </c>
      <c r="E26">
        <f>IFERROR(C26-$D$5*QUOTIENT(C26,$D$5),0)</f>
        <v>0</v>
      </c>
      <c r="K26" t="b">
        <f>IFERROR(AND(ISNUMBER(inp_b17_3_6_1),inp_b17_3_6_1=INT(inp_b17_3_6_1),inp_b17_3_6_1&gt;=0,ABS(inp_b17_3_6_1)&lt;=999999999999999),FALSE)</f>
        <v>1</v>
      </c>
      <c r="L26">
        <f>IFERROR(ABS(inp_b17_3_6_1),0)</f>
        <v>0</v>
      </c>
      <c r="M26" t="s">
        <v>282</v>
      </c>
    </row>
    <row r="27" spans="1:13">
      <c r="A27">
        <v>32</v>
      </c>
      <c r="B27">
        <f>IFERROR(QUOTIENT($B$5,2^A27)-2*QUOTIENT($B$5,2^(A27+1)),0)</f>
        <v>0</v>
      </c>
      <c r="C27">
        <f>IFERROR(2*E26+B27*$C$5,0)</f>
        <v>0</v>
      </c>
      <c r="D27">
        <f>IFERROR(2*D26+QUOTIENT(C27,$D$5),0)</f>
        <v>0</v>
      </c>
      <c r="E27">
        <f>IFERROR(C27-$D$5*QUOTIENT(C27,$D$5),0)</f>
        <v>0</v>
      </c>
      <c r="K27" t="b">
        <f>IFERROR(AND(ISNUMBER(inp_specific_donation_total),inp_specific_donation_total=INT(inp_specific_donation_total),inp_specific_donation_total&gt;=0,ABS(inp_specific_donation_total)&lt;=999999999999999),FALSE)</f>
        <v>1</v>
      </c>
      <c r="L27">
        <f>IFERROR(ABS(inp_specific_donation_total),0)</f>
        <v>0</v>
      </c>
      <c r="M27" t="s">
        <v>283</v>
      </c>
    </row>
    <row r="28" spans="1:13">
      <c r="A28">
        <v>31</v>
      </c>
      <c r="B28">
        <f>IFERROR(QUOTIENT($B$5,2^A28)-2*QUOTIENT($B$5,2^(A28+1)),0)</f>
        <v>0</v>
      </c>
      <c r="C28">
        <f>IFERROR(2*E27+B28*$C$5,0)</f>
        <v>0</v>
      </c>
      <c r="D28">
        <f>IFERROR(2*D27+QUOTIENT(C28,$D$5),0)</f>
        <v>0</v>
      </c>
      <c r="E28">
        <f>IFERROR(C28-$D$5*QUOTIENT(C28,$D$5),0)</f>
        <v>0</v>
      </c>
      <c r="K28" t="b">
        <f>IFERROR(AND(ISNUMBER(inp_b6_2_f6_7_total),inp_b6_2_f6_7_total=INT(inp_b6_2_f6_7_total),inp_b6_2_f6_7_total&gt;=0,ABS(inp_b6_2_f6_7_total)&lt;=999999999999999),FALSE)</f>
        <v>1</v>
      </c>
      <c r="L28">
        <f>IFERROR(ABS(inp_b6_2_f6_7_total),0)</f>
        <v>0</v>
      </c>
      <c r="M28" t="s">
        <v>284</v>
      </c>
    </row>
    <row r="29" spans="1:13">
      <c r="A29">
        <v>30</v>
      </c>
      <c r="B29">
        <f>IFERROR(QUOTIENT($B$5,2^A29)-2*QUOTIENT($B$5,2^(A29+1)),0)</f>
        <v>0</v>
      </c>
      <c r="C29">
        <f>IFERROR(2*E28+B29*$C$5,0)</f>
        <v>0</v>
      </c>
      <c r="D29">
        <f>IFERROR(2*D28+QUOTIENT(C29,$D$5),0)</f>
        <v>0</v>
      </c>
      <c r="E29">
        <f>IFERROR(C29-$D$5*QUOTIENT(C29,$D$5),0)</f>
        <v>0</v>
      </c>
      <c r="K29" t="b">
        <f>IFERROR(AND(ISNUMBER(inp_b6_6_3),inp_b6_6_3=INT(inp_b6_6_3),inp_b6_6_3&gt;=0,ABS(inp_b6_6_3)&lt;=999999999999999),FALSE)</f>
        <v>1</v>
      </c>
      <c r="L29">
        <f>IFERROR(ABS(inp_b6_6_3),0)</f>
        <v>0</v>
      </c>
      <c r="M29" t="s">
        <v>285</v>
      </c>
    </row>
    <row r="30" spans="1:13">
      <c r="A30">
        <v>29</v>
      </c>
      <c r="B30">
        <f>IFERROR(QUOTIENT($B$5,2^A30)-2*QUOTIENT($B$5,2^(A30+1)),0)</f>
        <v>0</v>
      </c>
      <c r="C30">
        <f>IFERROR(2*E29+B30*$C$5,0)</f>
        <v>0</v>
      </c>
      <c r="D30">
        <f>IFERROR(2*D29+QUOTIENT(C30,$D$5),0)</f>
        <v>0</v>
      </c>
      <c r="E30">
        <f>IFERROR(C30-$D$5*QUOTIENT(C30,$D$5),0)</f>
        <v>0</v>
      </c>
      <c r="K30" t="b">
        <f>IFERROR(AND(ISNUMBER(inp_b6_6_9_2),inp_b6_6_9_2=INT(inp_b6_6_9_2),inp_b6_6_9_2&gt;=0,ABS(inp_b6_6_9_2)&lt;=999999999999999),FALSE)</f>
        <v>1</v>
      </c>
      <c r="L30">
        <f>IFERROR(ABS(inp_b6_6_9_2),0)</f>
        <v>0</v>
      </c>
      <c r="M30" t="s">
        <v>286</v>
      </c>
    </row>
    <row r="31" spans="1:13">
      <c r="A31">
        <v>28</v>
      </c>
      <c r="B31">
        <f>IFERROR(QUOTIENT($B$5,2^A31)-2*QUOTIENT($B$5,2^(A31+1)),0)</f>
        <v>0</v>
      </c>
      <c r="C31">
        <f>IFERROR(2*E30+B31*$C$5,0)</f>
        <v>0</v>
      </c>
      <c r="D31">
        <f>IFERROR(2*D30+QUOTIENT(C31,$D$5),0)</f>
        <v>0</v>
      </c>
      <c r="E31">
        <f>IFERROR(C31-$D$5*QUOTIENT(C31,$D$5),0)</f>
        <v>0</v>
      </c>
      <c r="K31" t="b">
        <f>IFERROR(AND(ISNUMBER(inp_b6_6_9_3),inp_b6_6_9_3=INT(inp_b6_6_9_3),inp_b6_6_9_3&gt;=0,ABS(inp_b6_6_9_3)&lt;=999999999999999),FALSE)</f>
        <v>1</v>
      </c>
      <c r="L31">
        <f>IFERROR(ABS(inp_b6_6_9_3),0)</f>
        <v>0</v>
      </c>
      <c r="M31" t="s">
        <v>287</v>
      </c>
    </row>
    <row r="32" spans="1:13">
      <c r="A32">
        <v>27</v>
      </c>
      <c r="B32">
        <f>IFERROR(QUOTIENT($B$5,2^A32)-2*QUOTIENT($B$5,2^(A32+1)),0)</f>
        <v>0</v>
      </c>
      <c r="C32">
        <f>IFERROR(2*E31+B32*$C$5,0)</f>
        <v>0</v>
      </c>
      <c r="D32">
        <f>IFERROR(2*D31+QUOTIENT(C32,$D$5),0)</f>
        <v>0</v>
      </c>
      <c r="E32">
        <f>IFERROR(C32-$D$5*QUOTIENT(C32,$D$5),0)</f>
        <v>0</v>
      </c>
      <c r="K32" t="b">
        <f>IFERROR(AND(ISNUMBER(inp_b6_6_9_4),inp_b6_6_9_4=INT(inp_b6_6_9_4),inp_b6_6_9_4&gt;=0,ABS(inp_b6_6_9_4)&lt;=999999999999999),FALSE)</f>
        <v>1</v>
      </c>
      <c r="L32">
        <f>IFERROR(ABS(inp_b6_6_9_4),0)</f>
        <v>0</v>
      </c>
      <c r="M32" t="s">
        <v>288</v>
      </c>
    </row>
    <row r="33" spans="1:13">
      <c r="A33">
        <v>26</v>
      </c>
      <c r="B33">
        <f>IFERROR(QUOTIENT($B$5,2^A33)-2*QUOTIENT($B$5,2^(A33+1)),0)</f>
        <v>0</v>
      </c>
      <c r="C33">
        <f>IFERROR(2*E32+B33*$C$5,0)</f>
        <v>0</v>
      </c>
      <c r="D33">
        <f>IFERROR(2*D32+QUOTIENT(C33,$D$5),0)</f>
        <v>0</v>
      </c>
      <c r="E33">
        <f>IFERROR(C33-$D$5*QUOTIENT(C33,$D$5),0)</f>
        <v>0</v>
      </c>
      <c r="K33" t="b">
        <f>IFERROR(AND(ISNUMBER(inp_b6_6_9_5_8),inp_b6_6_9_5_8=INT(inp_b6_6_9_5_8),inp_b6_6_9_5_8&gt;=0,ABS(inp_b6_6_9_5_8)&lt;=999999999999999),FALSE)</f>
        <v>1</v>
      </c>
      <c r="L33">
        <f>IFERROR(ABS(inp_b6_6_9_5_8),0)</f>
        <v>0</v>
      </c>
      <c r="M33" t="s">
        <v>289</v>
      </c>
    </row>
    <row r="34" spans="1:13">
      <c r="A34">
        <v>25</v>
      </c>
      <c r="B34">
        <f>IFERROR(QUOTIENT($B$5,2^A34)-2*QUOTIENT($B$5,2^(A34+1)),0)</f>
        <v>0</v>
      </c>
      <c r="C34">
        <f>IFERROR(2*E33+B34*$C$5,0)</f>
        <v>0</v>
      </c>
      <c r="D34">
        <f>IFERROR(2*D33+QUOTIENT(C34,$D$5),0)</f>
        <v>0</v>
      </c>
      <c r="E34">
        <f>IFERROR(C34-$D$5*QUOTIENT(C34,$D$5),0)</f>
        <v>0</v>
      </c>
      <c r="K34" t="b">
        <f>IFERROR(AND(ISNUMBER(inp_b6_6_9_11_14),inp_b6_6_9_11_14=INT(inp_b6_6_9_11_14),inp_b6_6_9_11_14&gt;=0,ABS(inp_b6_6_9_11_14)&lt;=999999999999999),FALSE)</f>
        <v>1</v>
      </c>
      <c r="L34">
        <f>IFERROR(ABS(inp_b6_6_9_11_14),0)</f>
        <v>0</v>
      </c>
      <c r="M34" t="s">
        <v>290</v>
      </c>
    </row>
    <row r="35" spans="1:13">
      <c r="A35">
        <v>24</v>
      </c>
      <c r="B35">
        <f>IFERROR(QUOTIENT($B$5,2^A35)-2*QUOTIENT($B$5,2^(A35+1)),0)</f>
        <v>0</v>
      </c>
      <c r="C35">
        <f>IFERROR(2*E34+B35*$C$5,0)</f>
        <v>0</v>
      </c>
      <c r="D35">
        <f>IFERROR(2*D34+QUOTIENT(C35,$D$5),0)</f>
        <v>0</v>
      </c>
      <c r="E35">
        <f>IFERROR(C35-$D$5*QUOTIENT(C35,$D$5),0)</f>
        <v>0</v>
      </c>
      <c r="K35" t="b">
        <f>IFERROR(AND(ISNUMBER(inp_b6_6_9_16_18),inp_b6_6_9_16_18=INT(inp_b6_6_9_16_18),inp_b6_6_9_16_18&gt;=0,ABS(inp_b6_6_9_16_18)&lt;=999999999999999),FALSE)</f>
        <v>1</v>
      </c>
      <c r="L35">
        <f>IFERROR(ABS(inp_b6_6_9_16_18),0)</f>
        <v>0</v>
      </c>
      <c r="M35" t="s">
        <v>291</v>
      </c>
    </row>
    <row r="36" spans="1:13">
      <c r="A36">
        <v>23</v>
      </c>
      <c r="B36">
        <f>IFERROR(QUOTIENT($B$5,2^A36)-2*QUOTIENT($B$5,2^(A36+1)),0)</f>
        <v>0</v>
      </c>
      <c r="C36">
        <f>IFERROR(2*E35+B36*$C$5,0)</f>
        <v>0</v>
      </c>
      <c r="D36">
        <f>IFERROR(2*D35+QUOTIENT(C36,$D$5),0)</f>
        <v>0</v>
      </c>
      <c r="E36">
        <f>IFERROR(C36-$D$5*QUOTIENT(C36,$D$5),0)</f>
        <v>0</v>
      </c>
      <c r="K36" t="b">
        <f>IFERROR(AND(ISNUMBER(inp_b6_6_9_19_20),inp_b6_6_9_19_20=INT(inp_b6_6_9_19_20),inp_b6_6_9_19_20&gt;=0,ABS(inp_b6_6_9_19_20)&lt;=999999999999999),FALSE)</f>
        <v>1</v>
      </c>
      <c r="L36">
        <f>IFERROR(ABS(inp_b6_6_9_19_20),0)</f>
        <v>0</v>
      </c>
      <c r="M36" t="s">
        <v>292</v>
      </c>
    </row>
    <row r="37" spans="1:13">
      <c r="A37">
        <v>22</v>
      </c>
      <c r="B37">
        <f>IFERROR(QUOTIENT($B$5,2^A37)-2*QUOTIENT($B$5,2^(A37+1)),0)</f>
        <v>0</v>
      </c>
      <c r="C37">
        <f>IFERROR(2*E36+B37*$C$5,0)</f>
        <v>0</v>
      </c>
      <c r="D37">
        <f>IFERROR(2*D36+QUOTIENT(C37,$D$5),0)</f>
        <v>0</v>
      </c>
      <c r="E37">
        <f>IFERROR(C37-$D$5*QUOTIENT(C37,$D$5),0)</f>
        <v>0</v>
      </c>
      <c r="K37" t="b">
        <f>IFERROR(AND(ISNUMBER(inp_b6_6_9_25_26),inp_b6_6_9_25_26=INT(inp_b6_6_9_25_26),inp_b6_6_9_25_26&gt;=0,ABS(inp_b6_6_9_25_26)&lt;=999999999999999),FALSE)</f>
        <v>1</v>
      </c>
      <c r="L37">
        <f>IFERROR(ABS(inp_b6_6_9_25_26),0)</f>
        <v>0</v>
      </c>
      <c r="M37" t="s">
        <v>293</v>
      </c>
    </row>
    <row r="38" spans="1:13">
      <c r="A38">
        <v>21</v>
      </c>
      <c r="B38">
        <f>IFERROR(QUOTIENT($B$5,2^A38)-2*QUOTIENT($B$5,2^(A38+1)),0)</f>
        <v>0</v>
      </c>
      <c r="C38">
        <f>IFERROR(2*E37+B38*$C$5,0)</f>
        <v>0</v>
      </c>
      <c r="D38">
        <f>IFERROR(2*D37+QUOTIENT(C38,$D$5),0)</f>
        <v>0</v>
      </c>
      <c r="E38">
        <f>IFERROR(C38-$D$5*QUOTIENT(C38,$D$5),0)</f>
        <v>0</v>
      </c>
      <c r="K38" t="b">
        <f>IFERROR(AND(ISNUMBER(inp_b6_6_9_27_29),inp_b6_6_9_27_29=INT(inp_b6_6_9_27_29),inp_b6_6_9_27_29&gt;=0,ABS(inp_b6_6_9_27_29)&lt;=999999999999999),FALSE)</f>
        <v>1</v>
      </c>
      <c r="L38">
        <f>IFERROR(ABS(inp_b6_6_9_27_29),0)</f>
        <v>0</v>
      </c>
      <c r="M38" t="s">
        <v>294</v>
      </c>
    </row>
    <row r="39" spans="1:13">
      <c r="A39">
        <v>20</v>
      </c>
      <c r="B39">
        <f>IFERROR(QUOTIENT($B$5,2^A39)-2*QUOTIENT($B$5,2^(A39+1)),0)</f>
        <v>0</v>
      </c>
      <c r="C39">
        <f>IFERROR(2*E38+B39*$C$5,0)</f>
        <v>0</v>
      </c>
      <c r="D39">
        <f>IFERROR(2*D38+QUOTIENT(C39,$D$5),0)</f>
        <v>0</v>
      </c>
      <c r="E39">
        <f>IFERROR(C39-$D$5*QUOTIENT(C39,$D$5),0)</f>
        <v>0</v>
      </c>
      <c r="K39" t="b">
        <f>IFERROR(AND(ISNUMBER(inp_b6_9_f_40),inp_b6_9_f_40=INT(inp_b6_9_f_40),inp_b6_9_f_40&gt;=0,ABS(inp_b6_9_f_40)&lt;=999999999999999),FALSE)</f>
        <v>1</v>
      </c>
      <c r="L39">
        <f>IFERROR(ABS(inp_b6_9_f_40),0)</f>
        <v>0</v>
      </c>
      <c r="M39" t="s">
        <v>295</v>
      </c>
    </row>
    <row r="40" spans="1:13">
      <c r="A40">
        <v>19</v>
      </c>
      <c r="B40">
        <f>IFERROR(QUOTIENT($B$5,2^A40)-2*QUOTIENT($B$5,2^(A40+1)),0)</f>
        <v>0</v>
      </c>
      <c r="C40">
        <f>IFERROR(2*E39+B40*$C$5,0)</f>
        <v>0</v>
      </c>
      <c r="D40">
        <f>IFERROR(2*D39+QUOTIENT(C40,$D$5),0)</f>
        <v>0</v>
      </c>
      <c r="E40">
        <f>IFERROR(C40-$D$5*QUOTIENT(C40,$D$5),0)</f>
        <v>0</v>
      </c>
      <c r="K40" t="b">
        <f>IFERROR(AND(ISNUMBER(inp_b6_9_f_45),inp_b6_9_f_45=INT(inp_b6_9_f_45),inp_b6_9_f_45&gt;=0,ABS(inp_b6_9_f_45)&lt;=999999999999999),FALSE)</f>
        <v>1</v>
      </c>
      <c r="L40">
        <f>IFERROR(ABS(inp_b6_9_f_45),0)</f>
        <v>0</v>
      </c>
      <c r="M40" t="s">
        <v>296</v>
      </c>
    </row>
    <row r="41" spans="1:13">
      <c r="A41">
        <v>18</v>
      </c>
      <c r="B41">
        <f>IFERROR(QUOTIENT($B$5,2^A41)-2*QUOTIENT($B$5,2^(A41+1)),0)</f>
        <v>0</v>
      </c>
      <c r="C41">
        <f>IFERROR(2*E40+B41*$C$5,0)</f>
        <v>0</v>
      </c>
      <c r="D41">
        <f>IFERROR(2*D40+QUOTIENT(C41,$D$5),0)</f>
        <v>0</v>
      </c>
      <c r="E41">
        <f>IFERROR(C41-$D$5*QUOTIENT(C41,$D$5),0)</f>
        <v>0</v>
      </c>
      <c r="K41" t="b">
        <f>IFERROR(AND(ISNUMBER(inp_b6_12_f2_19),inp_b6_12_f2_19=INT(inp_b6_12_f2_19),inp_b6_12_f2_19&gt;=0,ABS(inp_b6_12_f2_19)&lt;=999999999999999),FALSE)</f>
        <v>1</v>
      </c>
      <c r="L41">
        <f>IFERROR(ABS(inp_b6_12_f2_19),0)</f>
        <v>0</v>
      </c>
      <c r="M41" t="s">
        <v>297</v>
      </c>
    </row>
    <row r="42" spans="1:13">
      <c r="A42">
        <v>17</v>
      </c>
      <c r="B42">
        <f>IFERROR(QUOTIENT($B$5,2^A42)-2*QUOTIENT($B$5,2^(A42+1)),0)</f>
        <v>0</v>
      </c>
      <c r="C42">
        <f>IFERROR(2*E41+B42*$C$5,0)</f>
        <v>0</v>
      </c>
      <c r="D42">
        <f>IFERROR(2*D41+QUOTIENT(C42,$D$5),0)</f>
        <v>0</v>
      </c>
      <c r="E42">
        <f>IFERROR(C42-$D$5*QUOTIENT(C42,$D$5),0)</f>
        <v>0</v>
      </c>
      <c r="K42" t="b">
        <f>IFERROR(AND(ISNUMBER(inp_b6_12_f2_24),inp_b6_12_f2_24=INT(inp_b6_12_f2_24),inp_b6_12_f2_24&gt;=0,ABS(inp_b6_12_f2_24)&lt;=999999999999999),FALSE)</f>
        <v>1</v>
      </c>
      <c r="L42">
        <f>IFERROR(ABS(inp_b6_12_f2_24),0)</f>
        <v>0</v>
      </c>
      <c r="M42" t="s">
        <v>298</v>
      </c>
    </row>
    <row r="43" spans="1:13">
      <c r="A43">
        <v>16</v>
      </c>
      <c r="B43">
        <f>IFERROR(QUOTIENT($B$5,2^A43)-2*QUOTIENT($B$5,2^(A43+1)),0)</f>
        <v>0</v>
      </c>
      <c r="C43">
        <f>IFERROR(2*E42+B43*$C$5,0)</f>
        <v>0</v>
      </c>
      <c r="D43">
        <f>IFERROR(2*D42+QUOTIENT(C43,$D$5),0)</f>
        <v>0</v>
      </c>
      <c r="E43">
        <f>IFERROR(C43-$D$5*QUOTIENT(C43,$D$5),0)</f>
        <v>0</v>
      </c>
      <c r="K43" t="b">
        <f>IFERROR(AND(ISNUMBER(inp_f1_capital),inp_f1_capital=INT(inp_f1_capital),inp_f1_capital&gt;=0,ABS(inp_f1_capital)&lt;=999999999999999),FALSE)</f>
        <v>1</v>
      </c>
      <c r="L43">
        <f>IFERROR(ABS(inp_f1_capital),0)</f>
        <v>0</v>
      </c>
      <c r="M43" t="s">
        <v>299</v>
      </c>
    </row>
    <row r="44" spans="1:13">
      <c r="A44">
        <v>15</v>
      </c>
      <c r="B44">
        <f>IFERROR(QUOTIENT($B$5,2^A44)-2*QUOTIENT($B$5,2^(A44+1)),0)</f>
        <v>0</v>
      </c>
      <c r="C44">
        <f>IFERROR(2*E43+B44*$C$5,0)</f>
        <v>0</v>
      </c>
      <c r="D44">
        <f>IFERROR(2*D43+QUOTIENT(C44,$D$5),0)</f>
        <v>0</v>
      </c>
      <c r="E44">
        <f>IFERROR(C44-$D$5*QUOTIENT(C44,$D$5),0)</f>
        <v>0</v>
      </c>
      <c r="K44" t="b">
        <f>IFERROR(AND(ISNUMBER(inp_f1_b5_1_31_1),inp_f1_b5_1_31_1=INT(inp_f1_b5_1_31_1),inp_f1_b5_1_31_1&gt;=0,ABS(inp_f1_b5_1_31_1)&lt;=999999999999999),FALSE)</f>
        <v>1</v>
      </c>
      <c r="L44">
        <f>IFERROR(ABS(inp_f1_b5_1_31_1),0)</f>
        <v>0</v>
      </c>
      <c r="M44" t="s">
        <v>300</v>
      </c>
    </row>
    <row r="45" spans="1:13">
      <c r="A45">
        <v>14</v>
      </c>
      <c r="B45">
        <f>IFERROR(QUOTIENT($B$5,2^A45)-2*QUOTIENT($B$5,2^(A45+1)),0)</f>
        <v>0</v>
      </c>
      <c r="C45">
        <f>IFERROR(2*E44+B45*$C$5,0)</f>
        <v>0</v>
      </c>
      <c r="D45">
        <f>IFERROR(2*D44+QUOTIENT(C45,$D$5),0)</f>
        <v>0</v>
      </c>
      <c r="E45">
        <f>IFERROR(C45-$D$5*QUOTIENT(C45,$D$5),0)</f>
        <v>0</v>
      </c>
      <c r="K45" t="b">
        <f>IFERROR(AND(ISNUMBER(inp_f1_merger_inc),inp_f1_merger_inc=INT(inp_f1_merger_inc),inp_f1_merger_inc&gt;=0,ABS(inp_f1_merger_inc)&lt;=999999999999999),FALSE)</f>
        <v>1</v>
      </c>
      <c r="L45">
        <f>IFERROR(ABS(inp_f1_merger_inc),0)</f>
        <v>0</v>
      </c>
      <c r="M45" t="s">
        <v>301</v>
      </c>
    </row>
    <row r="46" spans="1:13">
      <c r="A46">
        <v>13</v>
      </c>
      <c r="B46">
        <f>IFERROR(QUOTIENT($B$5,2^A46)-2*QUOTIENT($B$5,2^(A46+1)),0)</f>
        <v>0</v>
      </c>
      <c r="C46">
        <f>IFERROR(2*E45+B46*$C$5,0)</f>
        <v>0</v>
      </c>
      <c r="D46">
        <f>IFERROR(2*D45+QUOTIENT(C46,$D$5),0)</f>
        <v>0</v>
      </c>
      <c r="E46">
        <f>IFERROR(C46-$D$5*QUOTIENT(C46,$D$5),0)</f>
        <v>0</v>
      </c>
      <c r="K46" t="b">
        <f>IFERROR(AND(ISNUMBER(inp_f1_split_dec),inp_f1_split_dec=INT(inp_f1_split_dec),inp_f1_split_dec&gt;=0,ABS(inp_f1_split_dec)&lt;=999999999999999),FALSE)</f>
        <v>1</v>
      </c>
      <c r="L46">
        <f>IFERROR(ABS(inp_f1_split_dec),0)</f>
        <v>0</v>
      </c>
      <c r="M46" t="s">
        <v>302</v>
      </c>
    </row>
    <row r="47" spans="1:13">
      <c r="A47">
        <v>12</v>
      </c>
      <c r="B47">
        <f>IFERROR(QUOTIENT($B$5,2^A47)-2*QUOTIENT($B$5,2^(A47+1)),0)</f>
        <v>0</v>
      </c>
      <c r="C47">
        <f>IFERROR(2*E46+B47*$C$5,0)</f>
        <v>0</v>
      </c>
      <c r="D47">
        <f>IFERROR(2*D46+QUOTIENT(C47,$D$5),0)</f>
        <v>0</v>
      </c>
      <c r="E47">
        <f>IFERROR(C47-$D$5*QUOTIENT(C47,$D$5),0)</f>
        <v>0</v>
      </c>
      <c r="K47" t="b">
        <f>IFERROR(AND(ISNUMBER(inp_f1_b4_52_1),inp_f1_b4_52_1=INT(inp_f1_b4_52_1),inp_f1_b4_52_1&gt;=0,ABS(inp_f1_b4_52_1)&lt;=999999999999999),FALSE)</f>
        <v>1</v>
      </c>
      <c r="L47">
        <f>IFERROR(ABS(inp_f1_b4_52_1),0)</f>
        <v>0</v>
      </c>
      <c r="M47" t="s">
        <v>303</v>
      </c>
    </row>
    <row r="48" spans="1:13">
      <c r="A48">
        <v>11</v>
      </c>
      <c r="B48">
        <f>IFERROR(QUOTIENT($B$5,2^A48)-2*QUOTIENT($B$5,2^(A48+1)),0)</f>
        <v>0</v>
      </c>
      <c r="C48">
        <f>IFERROR(2*E47+B48*$C$5,0)</f>
        <v>0</v>
      </c>
      <c r="D48">
        <f>IFERROR(2*D47+QUOTIENT(C48,$D$5),0)</f>
        <v>0</v>
      </c>
      <c r="E48">
        <f>IFERROR(C48-$D$5*QUOTIENT(C48,$D$5),0)</f>
        <v>0</v>
      </c>
      <c r="K48" t="b">
        <f>IFERROR(AND(ISNUMBER(inp_f1_b4_38),inp_f1_b4_38=INT(inp_f1_b4_38),ABS(inp_f1_b4_38)&lt;=999999999999999,ABS(inp_f1_b4_38)&lt;=999999999999999),FALSE)</f>
        <v>1</v>
      </c>
      <c r="L48">
        <f>IFERROR(ABS(inp_f1_b4_38),0)</f>
        <v>0</v>
      </c>
      <c r="M48" t="s">
        <v>304</v>
      </c>
    </row>
    <row r="49" spans="1:13">
      <c r="A49">
        <v>10</v>
      </c>
      <c r="B49">
        <f>IFERROR(QUOTIENT($B$5,2^A49)-2*QUOTIENT($B$5,2^(A49+1)),0)</f>
        <v>0</v>
      </c>
      <c r="C49">
        <f>IFERROR(2*E48+B49*$C$5,0)</f>
        <v>0</v>
      </c>
      <c r="D49">
        <f>IFERROR(2*D48+QUOTIENT(C49,$D$5),0)</f>
        <v>0</v>
      </c>
      <c r="E49">
        <f>IFERROR(C49-$D$5*QUOTIENT(C49,$D$5),0)</f>
        <v>0</v>
      </c>
      <c r="K49" t="b">
        <f>IFERROR(AND(ISNUMBER(inp_f1_b8_1_5),inp_f1_b8_1_5=INT(inp_f1_b8_1_5),inp_f1_b8_1_5&gt;=0,ABS(inp_f1_b8_1_5)&lt;=999999999999999),FALSE)</f>
        <v>1</v>
      </c>
      <c r="L49">
        <f>IFERROR(ABS(inp_f1_b8_1_5),0)</f>
        <v>0</v>
      </c>
      <c r="M49" t="s">
        <v>305</v>
      </c>
    </row>
    <row r="50" spans="1:13">
      <c r="A50">
        <v>9</v>
      </c>
      <c r="B50">
        <f>IFERROR(QUOTIENT($B$5,2^A50)-2*QUOTIENT($B$5,2^(A50+1)),0)</f>
        <v>0</v>
      </c>
      <c r="C50">
        <f>IFERROR(2*E49+B50*$C$5,0)</f>
        <v>0</v>
      </c>
      <c r="D50">
        <f>IFERROR(2*D49+QUOTIENT(C50,$D$5),0)</f>
        <v>0</v>
      </c>
      <c r="E50">
        <f>IFERROR(C50-$D$5*QUOTIENT(C50,$D$5),0)</f>
        <v>0</v>
      </c>
      <c r="K50" t="b">
        <f>IFERROR(AND(ISNUMBER(inp_f1_b8_2_26),inp_f1_b8_2_26=INT(inp_f1_b8_2_26),inp_f1_b8_2_26&gt;=0,ABS(inp_f1_b8_2_26)&lt;=999999999999999),FALSE)</f>
        <v>1</v>
      </c>
      <c r="L50">
        <f>IFERROR(ABS(inp_f1_b8_2_26),0)</f>
        <v>0</v>
      </c>
      <c r="M50" t="s">
        <v>306</v>
      </c>
    </row>
    <row r="51" spans="1:13">
      <c r="A51">
        <v>8</v>
      </c>
      <c r="B51">
        <f>IFERROR(QUOTIENT($B$5,2^A51)-2*QUOTIENT($B$5,2^(A51+1)),0)</f>
        <v>0</v>
      </c>
      <c r="C51">
        <f>IFERROR(2*E50+B51*$C$5,0)</f>
        <v>0</v>
      </c>
      <c r="D51">
        <f>IFERROR(2*D50+QUOTIENT(C51,$D$5),0)</f>
        <v>0</v>
      </c>
      <c r="E51">
        <f>IFERROR(C51-$D$5*QUOTIENT(C51,$D$5),0)</f>
        <v>0</v>
      </c>
      <c r="K51" t="b">
        <f>IFERROR(AND(ISNUMBER(inp_f1_b17_3_7_27),inp_f1_b17_3_7_27=INT(inp_f1_b17_3_7_27),inp_f1_b17_3_7_27&gt;=0,ABS(inp_f1_b17_3_7_27)&lt;=999999999999999),FALSE)</f>
        <v>1</v>
      </c>
      <c r="L51">
        <f>IFERROR(ABS(inp_f1_b17_3_7_27),0)</f>
        <v>0</v>
      </c>
      <c r="M51" t="s">
        <v>307</v>
      </c>
    </row>
    <row r="52" spans="1:13">
      <c r="A52">
        <v>7</v>
      </c>
      <c r="B52">
        <f>IFERROR(QUOTIENT($B$5,2^A52)-2*QUOTIENT($B$5,2^(A52+1)),0)</f>
        <v>0</v>
      </c>
      <c r="C52">
        <f>IFERROR(2*E51+B52*$C$5,0)</f>
        <v>0</v>
      </c>
      <c r="D52">
        <f>IFERROR(2*D51+QUOTIENT(C52,$D$5),0)</f>
        <v>0</v>
      </c>
      <c r="E52">
        <f>IFERROR(C52-$D$5*QUOTIENT(C52,$D$5),0)</f>
        <v>0</v>
      </c>
      <c r="K52" t="b">
        <f>IFERROR(AND(ISNUMBER(inp_f1_b4_16),inp_f1_b4_16=INT(inp_f1_b4_16),inp_f1_b4_16&gt;=0,ABS(inp_f1_b4_16)&lt;=999999999999999),FALSE)</f>
        <v>1</v>
      </c>
      <c r="L52">
        <f>IFERROR(ABS(inp_f1_b4_16),0)</f>
        <v>0</v>
      </c>
      <c r="M52" t="s">
        <v>308</v>
      </c>
    </row>
    <row r="53" spans="1:13">
      <c r="A53">
        <v>6</v>
      </c>
      <c r="B53">
        <f>IFERROR(QUOTIENT($B$5,2^A53)-2*QUOTIENT($B$5,2^(A53+1)),0)</f>
        <v>0</v>
      </c>
      <c r="C53">
        <f>IFERROR(2*E52+B53*$C$5,0)</f>
        <v>0</v>
      </c>
      <c r="D53">
        <f>IFERROR(2*D52+QUOTIENT(C53,$D$5),0)</f>
        <v>0</v>
      </c>
      <c r="E53">
        <f>IFERROR(C53-$D$5*QUOTIENT(C53,$D$5),0)</f>
        <v>0</v>
      </c>
      <c r="K53" t="b">
        <f>IFERROR(AND(ISNUMBER(inp_f1_b4_19),inp_f1_b4_19=INT(inp_f1_b4_19),inp_f1_b4_19&gt;=0,ABS(inp_f1_b4_19)&lt;=999999999999999),FALSE)</f>
        <v>1</v>
      </c>
      <c r="L53">
        <f>IFERROR(ABS(inp_f1_b4_19),0)</f>
        <v>0</v>
      </c>
      <c r="M53" t="s">
        <v>309</v>
      </c>
    </row>
    <row r="54" spans="1:13">
      <c r="A54">
        <v>5</v>
      </c>
      <c r="B54">
        <f>IFERROR(QUOTIENT($B$5,2^A54)-2*QUOTIENT($B$5,2^(A54+1)),0)</f>
        <v>0</v>
      </c>
      <c r="C54">
        <f>IFERROR(2*E53+B54*$C$5,0)</f>
        <v>0</v>
      </c>
      <c r="D54">
        <f>IFERROR(2*D53+QUOTIENT(C54,$D$5),0)</f>
        <v>0</v>
      </c>
      <c r="E54">
        <f>IFERROR(C54-$D$5*QUOTIENT(C54,$D$5),0)</f>
        <v>0</v>
      </c>
      <c r="K54" t="b">
        <f>IFERROR(AND(ISNUMBER(inp_f1_b4f_7),inp_f1_b4f_7=INT(inp_f1_b4f_7),inp_f1_b4f_7&gt;=0,ABS(inp_f1_b4f_7)&lt;=999999999999999),FALSE)</f>
        <v>1</v>
      </c>
      <c r="L54">
        <f>IFERROR(ABS(inp_f1_b4f_7),0)</f>
        <v>0</v>
      </c>
      <c r="M54" t="s">
        <v>310</v>
      </c>
    </row>
    <row r="55" spans="1:13">
      <c r="A55">
        <v>4</v>
      </c>
      <c r="B55">
        <f>IFERROR(QUOTIENT($B$5,2^A55)-2*QUOTIENT($B$5,2^(A55+1)),0)</f>
        <v>0</v>
      </c>
      <c r="C55">
        <f>IFERROR(2*E54+B55*$C$5,0)</f>
        <v>0</v>
      </c>
      <c r="D55">
        <f>IFERROR(2*D54+QUOTIENT(C55,$D$5),0)</f>
        <v>0</v>
      </c>
      <c r="E55">
        <f>IFERROR(C55-$D$5*QUOTIENT(C55,$D$5),0)</f>
        <v>0</v>
      </c>
      <c r="K55" t="b">
        <f>IFERROR(AND(ISNUMBER(inp_f1_b7_1_4),inp_f1_b7_1_4=INT(inp_f1_b7_1_4),inp_f1_b7_1_4&gt;=0,ABS(inp_f1_b7_1_4)&lt;=999999999999999),FALSE)</f>
        <v>1</v>
      </c>
      <c r="L55">
        <f>IFERROR(ABS(inp_f1_b7_1_4),0)</f>
        <v>0</v>
      </c>
      <c r="M55" t="s">
        <v>311</v>
      </c>
    </row>
    <row r="56" spans="1:13">
      <c r="A56">
        <v>3</v>
      </c>
      <c r="B56">
        <f>IFERROR(QUOTIENT($B$5,2^A56)-2*QUOTIENT($B$5,2^(A56+1)),0)</f>
        <v>0</v>
      </c>
      <c r="C56">
        <f>IFERROR(2*E55+B56*$C$5,0)</f>
        <v>0</v>
      </c>
      <c r="D56">
        <f>IFERROR(2*D55+QUOTIENT(C56,$D$5),0)</f>
        <v>0</v>
      </c>
      <c r="E56">
        <f>IFERROR(C56-$D$5*QUOTIENT(C56,$D$5),0)</f>
        <v>0</v>
      </c>
      <c r="K56" t="b">
        <f>IFERROR(AND(ISNUMBER(inp_f1_b7_other),inp_f1_b7_other=INT(inp_f1_b7_other),inp_f1_b7_other&gt;=0,ABS(inp_f1_b7_other)&lt;=999999999999999),FALSE)</f>
        <v>1</v>
      </c>
      <c r="L56">
        <f>IFERROR(ABS(inp_f1_b7_other),0)</f>
        <v>0</v>
      </c>
      <c r="M56" t="s">
        <v>312</v>
      </c>
    </row>
    <row r="57" spans="1:13">
      <c r="A57">
        <v>2</v>
      </c>
      <c r="B57">
        <f>IFERROR(QUOTIENT($B$5,2^A57)-2*QUOTIENT($B$5,2^(A57+1)),0)</f>
        <v>0</v>
      </c>
      <c r="C57">
        <f>IFERROR(2*E56+B57*$C$5,0)</f>
        <v>0</v>
      </c>
      <c r="D57">
        <f>IFERROR(2*D56+QUOTIENT(C57,$D$5),0)</f>
        <v>0</v>
      </c>
      <c r="E57">
        <f>IFERROR(C57-$D$5*QUOTIENT(C57,$D$5),0)</f>
        <v>0</v>
      </c>
      <c r="K57" t="b">
        <f>IFERROR(AND(ISNUMBER(inp_f1_b4_37),inp_f1_b4_37=INT(inp_f1_b4_37),inp_f1_b4_37&gt;=0,ABS(inp_f1_b4_37)&lt;=999999999999999),FALSE)</f>
        <v>1</v>
      </c>
      <c r="L57">
        <f>IFERROR(ABS(inp_f1_b4_37),0)</f>
        <v>0</v>
      </c>
      <c r="M57" t="s">
        <v>313</v>
      </c>
    </row>
    <row r="58" spans="1:13">
      <c r="A58">
        <v>1</v>
      </c>
      <c r="B58">
        <f>IFERROR(QUOTIENT($B$5,2^A58)-2*QUOTIENT($B$5,2^(A58+1)),0)</f>
        <v>0</v>
      </c>
      <c r="C58">
        <f>IFERROR(2*E57+B58*$C$5,0)</f>
        <v>0</v>
      </c>
      <c r="D58">
        <f>IFERROR(2*D57+QUOTIENT(C58,$D$5),0)</f>
        <v>0</v>
      </c>
      <c r="E58">
        <f>IFERROR(C58-$D$5*QUOTIENT(C58,$D$5),0)</f>
        <v>0</v>
      </c>
      <c r="K58" t="b">
        <f>IFERROR(AND(ISNUMBER(inp_f1_b8_3_13),inp_f1_b8_3_13=INT(inp_f1_b8_3_13),inp_f1_b8_3_13&gt;=0,ABS(inp_f1_b8_3_13)&lt;=999999999999999),FALSE)</f>
        <v>1</v>
      </c>
      <c r="L58">
        <f>IFERROR(ABS(inp_f1_b8_3_13),0)</f>
        <v>0</v>
      </c>
      <c r="M58" t="s">
        <v>314</v>
      </c>
    </row>
    <row r="59" spans="1:13">
      <c r="A59">
        <v>0</v>
      </c>
      <c r="B59">
        <f>IFERROR(QUOTIENT($B$5,2^A59)-2*QUOTIENT($B$5,2^(A59+1)),0)</f>
        <v>0</v>
      </c>
      <c r="C59">
        <f>IFERROR(2*E58+B59*$C$5,0)</f>
        <v>0</v>
      </c>
      <c r="D59">
        <f>IFERROR(2*D58+QUOTIENT(C59,$D$5),0)</f>
        <v>0</v>
      </c>
      <c r="E59">
        <f>IFERROR(C59-$D$5*QUOTIENT(C59,$D$5),0)</f>
        <v>0</v>
      </c>
      <c r="K59" t="b">
        <f>IFERROR(AND(ISNUMBER(inp_f1_b10_3_47),inp_f1_b10_3_47=INT(inp_f1_b10_3_47),inp_f1_b10_3_47&gt;=0,ABS(inp_f1_b10_3_47)&lt;=999999999999999),FALSE)</f>
        <v>1</v>
      </c>
      <c r="L59">
        <f>IFERROR(ABS(inp_f1_b10_3_47),0)</f>
        <v>0</v>
      </c>
      <c r="M59" t="s">
        <v>315</v>
      </c>
    </row>
    <row r="60" spans="1:13">
      <c r="A60" t="s">
        <v>556</v>
      </c>
      <c r="B60">
        <f>IFERROR(E5*D59,0)</f>
        <v>0</v>
      </c>
      <c r="C60">
        <f>IFERROR(E59,0)</f>
        <v>0</v>
      </c>
      <c r="D60">
        <f>IFERROR(B60-IF(E5&lt;0,IF(C60=0,0,1),0),0)</f>
        <v>0</v>
      </c>
      <c r="E60">
        <f>IFERROR(IF(E5&lt;0,IF(C60=0,0,D5-C60),C60),0)</f>
        <v>0</v>
      </c>
      <c r="F60" t="b">
        <f>IFERROR(OR(F5=0,AND(B5&lt;=9007199254740990,C5&lt;=9007199254740990,F5&gt;0,F5&lt;=9007199254740990,2*D5+C5&lt;=9007199254740990,ABS(B60)&lt;=9007199254740990)),0)</f>
        <v>1</v>
      </c>
      <c r="K60" t="b">
        <f>IFERROR(AND(ISNUMBER(inp_f1_b10_4_20),inp_f1_b10_4_20=INT(inp_f1_b10_4_20),inp_f1_b10_4_20&gt;=0,ABS(inp_f1_b10_4_20)&lt;=999999999999999),FALSE)</f>
        <v>1</v>
      </c>
      <c r="L60">
        <f>IFERROR(ABS(inp_f1_b10_4_20),0)</f>
        <v>0</v>
      </c>
      <c r="M60" t="s">
        <v>316</v>
      </c>
    </row>
    <row r="61" spans="1:13">
      <c r="K61" t="b">
        <f>IFERROR(AND(ISNUMBER(inp_f1_b10_4_21_23),inp_f1_b10_4_21_23=INT(inp_f1_b10_4_21_23),inp_f1_b10_4_21_23&gt;=0,ABS(inp_f1_b10_4_21_23)&lt;=999999999999999),FALSE)</f>
        <v>1</v>
      </c>
      <c r="L61">
        <f>IFERROR(ABS(inp_f1_b10_4_21_23),0)</f>
        <v>0</v>
      </c>
      <c r="M61" t="s">
        <v>317</v>
      </c>
    </row>
    <row r="62" spans="1:13">
      <c r="A62" s="2" t="s">
        <v>549</v>
      </c>
      <c r="B62" s="2" t="s">
        <v>550</v>
      </c>
      <c r="C62" s="2" t="s">
        <v>551</v>
      </c>
      <c r="D62" s="2" t="s">
        <v>552</v>
      </c>
      <c r="E62" s="2" t="s">
        <v>553</v>
      </c>
      <c r="F62" s="2"/>
      <c r="G62" s="2"/>
      <c r="H62" s="2"/>
      <c r="K62" t="b">
        <f>IFERROR(AND(ISNUMBER(inp_f1_b10_5_12),inp_f1_b10_5_12=INT(inp_f1_b10_5_12),inp_f1_b10_5_12&gt;=0,ABS(inp_f1_b10_5_12)&lt;=999999999999999),FALSE)</f>
        <v>1</v>
      </c>
      <c r="L62">
        <f>IFERROR(ABS(inp_f1_b10_5_12),0)</f>
        <v>0</v>
      </c>
      <c r="M62" t="s">
        <v>318</v>
      </c>
    </row>
    <row r="63" spans="1:13">
      <c r="A63" t="s">
        <v>590</v>
      </c>
      <c r="B63">
        <f>IFERROR(ABS(f1_32),0)</f>
        <v>0</v>
      </c>
      <c r="C63">
        <f>IFERROR(ABS(2),0)</f>
        <v>2</v>
      </c>
      <c r="D63">
        <f>IFERROR(MAX(1,IFERROR(ABS(5),0)),0)</f>
        <v>5</v>
      </c>
      <c r="E63">
        <f>IFERROR(SIGN(f1_32)*SIGN(2)*SIGN(5),0)</f>
        <v>0</v>
      </c>
      <c r="F63">
        <f>IFERROR(ABS(5),0)</f>
        <v>5</v>
      </c>
      <c r="G63" t="b">
        <f>IFERROR(F118,0)</f>
        <v>1</v>
      </c>
      <c r="H63" s="4" t="s">
        <v>591</v>
      </c>
      <c r="K63" t="b">
        <f>IFERROR(AND(ISNUMBER(inp_f1_b10_1_15_or_10_2_10),inp_f1_b10_1_15_or_10_2_10=INT(inp_f1_b10_1_15_or_10_2_10),inp_f1_b10_1_15_or_10_2_10&gt;=0,ABS(inp_f1_b10_1_15_or_10_2_10)&lt;=999999999999999),FALSE)</f>
        <v>1</v>
      </c>
      <c r="L63">
        <f>IFERROR(ABS(inp_f1_b10_1_15_or_10_2_10),0)</f>
        <v>0</v>
      </c>
      <c r="M63" t="s">
        <v>319</v>
      </c>
    </row>
    <row r="64" spans="1:13">
      <c r="D64">
        <v>0</v>
      </c>
      <c r="E64">
        <v>0</v>
      </c>
      <c r="K64" t="b">
        <f>IFERROR(AND(ISNUMBER(inp_f1_b10_1_16_or_10_2_11),inp_f1_b10_1_16_or_10_2_11=INT(inp_f1_b10_1_16_or_10_2_11),inp_f1_b10_1_16_or_10_2_11&gt;=0,ABS(inp_f1_b10_1_16_or_10_2_11)&lt;=999999999999999),FALSE)</f>
        <v>1</v>
      </c>
      <c r="L64">
        <f>IFERROR(ABS(inp_f1_b10_1_16_or_10_2_11),0)</f>
        <v>0</v>
      </c>
      <c r="M64" t="s">
        <v>320</v>
      </c>
    </row>
    <row r="65" spans="1:13">
      <c r="A65">
        <v>52</v>
      </c>
      <c r="B65">
        <f>IFERROR(QUOTIENT($B$63,2^A65)-2*QUOTIENT($B$63,2^(A65+1)),0)</f>
        <v>0</v>
      </c>
      <c r="C65">
        <f>IFERROR(2*E64+B65*$C$63,0)</f>
        <v>0</v>
      </c>
      <c r="D65">
        <f>IFERROR(2*D64+QUOTIENT(C65,$D$63),0)</f>
        <v>0</v>
      </c>
      <c r="E65">
        <f>IFERROR(C65-$D$63*QUOTIENT(C65,$D$63),0)</f>
        <v>0</v>
      </c>
      <c r="K65" t="b">
        <f>IFERROR(AND(ISNUMBER(inp_f1_b10_6_sum),inp_f1_b10_6_sum=INT(inp_f1_b10_6_sum),inp_f1_b10_6_sum&gt;=0,ABS(inp_f1_b10_6_sum)&lt;=999999999999999),FALSE)</f>
        <v>1</v>
      </c>
      <c r="L65">
        <f>IFERROR(ABS(inp_f1_b10_6_sum),0)</f>
        <v>0</v>
      </c>
      <c r="M65" t="s">
        <v>321</v>
      </c>
    </row>
    <row r="66" spans="1:13">
      <c r="A66">
        <v>51</v>
      </c>
      <c r="B66">
        <f>IFERROR(QUOTIENT($B$63,2^A66)-2*QUOTIENT($B$63,2^(A66+1)),0)</f>
        <v>0</v>
      </c>
      <c r="C66">
        <f>IFERROR(2*E65+B66*$C$63,0)</f>
        <v>0</v>
      </c>
      <c r="D66">
        <f>IFERROR(2*D65+QUOTIENT(C66,$D$63),0)</f>
        <v>0</v>
      </c>
      <c r="E66">
        <f>IFERROR(C66-$D$63*QUOTIENT(C66,$D$63),0)</f>
        <v>0</v>
      </c>
      <c r="K66" t="b">
        <f>IFERROR(AND(ISNUMBER(inp_f1_b10_7_12),inp_f1_b10_7_12=INT(inp_f1_b10_7_12),inp_f1_b10_7_12&gt;=0,ABS(inp_f1_b10_7_12)&lt;=999999999999999),FALSE)</f>
        <v>1</v>
      </c>
      <c r="L66">
        <f>IFERROR(ABS(inp_f1_b10_7_12),0)</f>
        <v>0</v>
      </c>
      <c r="M66" t="s">
        <v>322</v>
      </c>
    </row>
    <row r="67" spans="1:13">
      <c r="A67">
        <v>50</v>
      </c>
      <c r="B67">
        <f>IFERROR(QUOTIENT($B$63,2^A67)-2*QUOTIENT($B$63,2^(A67+1)),0)</f>
        <v>0</v>
      </c>
      <c r="C67">
        <f>IFERROR(2*E66+B67*$C$63,0)</f>
        <v>0</v>
      </c>
      <c r="D67">
        <f>IFERROR(2*D66+QUOTIENT(C67,$D$63),0)</f>
        <v>0</v>
      </c>
      <c r="E67">
        <f>IFERROR(C67-$D$63*QUOTIENT(C67,$D$63),0)</f>
        <v>0</v>
      </c>
      <c r="K67" t="b">
        <f>IFERROR(AND(ISNUMBER(inp_f1_b10_7_20_22),inp_f1_b10_7_20_22=INT(inp_f1_b10_7_20_22),inp_f1_b10_7_20_22&gt;=0,ABS(inp_f1_b10_7_20_22)&lt;=999999999999999),FALSE)</f>
        <v>1</v>
      </c>
      <c r="L67">
        <f>IFERROR(ABS(inp_f1_b10_7_20_22),0)</f>
        <v>0</v>
      </c>
      <c r="M67" t="s">
        <v>323</v>
      </c>
    </row>
    <row r="68" spans="1:13">
      <c r="A68">
        <v>49</v>
      </c>
      <c r="B68">
        <f>IFERROR(QUOTIENT($B$63,2^A68)-2*QUOTIENT($B$63,2^(A68+1)),0)</f>
        <v>0</v>
      </c>
      <c r="C68">
        <f>IFERROR(2*E67+B68*$C$63,0)</f>
        <v>0</v>
      </c>
      <c r="D68">
        <f>IFERROR(2*D67+QUOTIENT(C68,$D$63),0)</f>
        <v>0</v>
      </c>
      <c r="E68">
        <f>IFERROR(C68-$D$63*QUOTIENT(C68,$D$63),0)</f>
        <v>0</v>
      </c>
      <c r="K68" t="b">
        <f>IFERROR(AND(ISNUMBER(inp_f1_b10_8_22),inp_f1_b10_8_22=INT(inp_f1_b10_8_22),inp_f1_b10_8_22&gt;=0,ABS(inp_f1_b10_8_22)&lt;=999999999999999),FALSE)</f>
        <v>1</v>
      </c>
      <c r="L68">
        <f>IFERROR(ABS(inp_f1_b10_8_22),0)</f>
        <v>0</v>
      </c>
      <c r="M68" t="s">
        <v>324</v>
      </c>
    </row>
    <row r="69" spans="1:13">
      <c r="A69">
        <v>48</v>
      </c>
      <c r="B69">
        <f>IFERROR(QUOTIENT($B$63,2^A69)-2*QUOTIENT($B$63,2^(A69+1)),0)</f>
        <v>0</v>
      </c>
      <c r="C69">
        <f>IFERROR(2*E68+B69*$C$63,0)</f>
        <v>0</v>
      </c>
      <c r="D69">
        <f>IFERROR(2*D68+QUOTIENT(C69,$D$63),0)</f>
        <v>0</v>
      </c>
      <c r="E69">
        <f>IFERROR(C69-$D$63*QUOTIENT(C69,$D$63),0)</f>
        <v>0</v>
      </c>
      <c r="K69" t="b">
        <f>IFERROR(AND(ISNUMBER(inp_f1_b17_2_3_10),inp_f1_b17_2_3_10=INT(inp_f1_b17_2_3_10),inp_f1_b17_2_3_10&gt;=0,ABS(inp_f1_b17_2_3_10)&lt;=999999999999999),FALSE)</f>
        <v>1</v>
      </c>
      <c r="L69">
        <f>IFERROR(ABS(inp_f1_b17_2_3_10),0)</f>
        <v>0</v>
      </c>
      <c r="M69" t="s">
        <v>325</v>
      </c>
    </row>
    <row r="70" spans="1:13">
      <c r="A70">
        <v>47</v>
      </c>
      <c r="B70">
        <f>IFERROR(QUOTIENT($B$63,2^A70)-2*QUOTIENT($B$63,2^(A70+1)),0)</f>
        <v>0</v>
      </c>
      <c r="C70">
        <f>IFERROR(2*E69+B70*$C$63,0)</f>
        <v>0</v>
      </c>
      <c r="D70">
        <f>IFERROR(2*D69+QUOTIENT(C70,$D$63),0)</f>
        <v>0</v>
      </c>
      <c r="E70">
        <f>IFERROR(C70-$D$63*QUOTIENT(C70,$D$63),0)</f>
        <v>0</v>
      </c>
      <c r="K70" t="b">
        <f>IFERROR(AND(ISNUMBER(inp_f1_b17_3_income_sum),inp_f1_b17_3_income_sum=INT(inp_f1_b17_3_income_sum),inp_f1_b17_3_income_sum&gt;=0,ABS(inp_f1_b17_3_income_sum)&lt;=999999999999999),FALSE)</f>
        <v>1</v>
      </c>
      <c r="L70">
        <f>IFERROR(ABS(inp_f1_b17_3_income_sum),0)</f>
        <v>0</v>
      </c>
      <c r="M70" t="s">
        <v>326</v>
      </c>
    </row>
    <row r="71" spans="1:13">
      <c r="A71">
        <v>46</v>
      </c>
      <c r="B71">
        <f>IFERROR(QUOTIENT($B$63,2^A71)-2*QUOTIENT($B$63,2^(A71+1)),0)</f>
        <v>0</v>
      </c>
      <c r="C71">
        <f>IFERROR(2*E70+B71*$C$63,0)</f>
        <v>0</v>
      </c>
      <c r="D71">
        <f>IFERROR(2*D70+QUOTIENT(C71,$D$63),0)</f>
        <v>0</v>
      </c>
      <c r="E71">
        <f>IFERROR(C71-$D$63*QUOTIENT(C71,$D$63),0)</f>
        <v>0</v>
      </c>
      <c r="K71" t="b">
        <f>IFERROR(AND(ISNUMBER(inp_f2_b4f_3),inp_f2_b4f_3=INT(inp_f2_b4f_3),inp_f2_b4f_3&gt;=0,ABS(inp_f2_b4f_3)&lt;=999999999999999),FALSE)</f>
        <v>1</v>
      </c>
      <c r="L71">
        <f>IFERROR(ABS(inp_f2_b4f_3),0)</f>
        <v>0</v>
      </c>
      <c r="M71" t="s">
        <v>327</v>
      </c>
    </row>
    <row r="72" spans="1:13">
      <c r="A72">
        <v>45</v>
      </c>
      <c r="B72">
        <f>IFERROR(QUOTIENT($B$63,2^A72)-2*QUOTIENT($B$63,2^(A72+1)),0)</f>
        <v>0</v>
      </c>
      <c r="C72">
        <f>IFERROR(2*E71+B72*$C$63,0)</f>
        <v>0</v>
      </c>
      <c r="D72">
        <f>IFERROR(2*D71+QUOTIENT(C72,$D$63),0)</f>
        <v>0</v>
      </c>
      <c r="E72">
        <f>IFERROR(C72-$D$63*QUOTIENT(C72,$D$63),0)</f>
        <v>0</v>
      </c>
      <c r="K72" t="b">
        <f>IFERROR(AND(ISNUMBER(inp_f2_b7_2_11),inp_f2_b7_2_11=INT(inp_f2_b7_2_11),inp_f2_b7_2_11&gt;=0,ABS(inp_f2_b7_2_11)&lt;=999999999999999),FALSE)</f>
        <v>1</v>
      </c>
      <c r="L72">
        <f>IFERROR(ABS(inp_f2_b7_2_11),0)</f>
        <v>0</v>
      </c>
      <c r="M72" t="s">
        <v>328</v>
      </c>
    </row>
    <row r="73" spans="1:13">
      <c r="A73">
        <v>44</v>
      </c>
      <c r="B73">
        <f>IFERROR(QUOTIENT($B$63,2^A73)-2*QUOTIENT($B$63,2^(A73+1)),0)</f>
        <v>0</v>
      </c>
      <c r="C73">
        <f>IFERROR(2*E72+B73*$C$63,0)</f>
        <v>0</v>
      </c>
      <c r="D73">
        <f>IFERROR(2*D72+QUOTIENT(C73,$D$63),0)</f>
        <v>0</v>
      </c>
      <c r="E73">
        <f>IFERROR(C73-$D$63*QUOTIENT(C73,$D$63),0)</f>
        <v>0</v>
      </c>
      <c r="K73" t="b">
        <f>IFERROR(AND(ISNUMBER(inp_f2_out_div_outflow),inp_f2_out_div_outflow=INT(inp_f2_out_div_outflow),inp_f2_out_div_outflow&gt;=0,ABS(inp_f2_out_div_outflow)&lt;=999999999999999),FALSE)</f>
        <v>1</v>
      </c>
      <c r="L73">
        <f>IFERROR(ABS(inp_f2_out_div_outflow),0)</f>
        <v>0</v>
      </c>
      <c r="M73" t="s">
        <v>329</v>
      </c>
    </row>
    <row r="74" spans="1:13">
      <c r="A74">
        <v>43</v>
      </c>
      <c r="B74">
        <f>IFERROR(QUOTIENT($B$63,2^A74)-2*QUOTIENT($B$63,2^(A74+1)),0)</f>
        <v>0</v>
      </c>
      <c r="C74">
        <f>IFERROR(2*E73+B74*$C$63,0)</f>
        <v>0</v>
      </c>
      <c r="D74">
        <f>IFERROR(2*D73+QUOTIENT(C74,$D$63),0)</f>
        <v>0</v>
      </c>
      <c r="E74">
        <f>IFERROR(C74-$D$63*QUOTIENT(C74,$D$63),0)</f>
        <v>0</v>
      </c>
      <c r="K74" t="b">
        <f>IFERROR(AND(ISNUMBER(inp_f2_in_div_amount),inp_f2_in_div_amount=INT(inp_f2_in_div_amount),inp_f2_in_div_amount&gt;=0,ABS(inp_f2_in_div_amount)&lt;=999999999999999),FALSE)</f>
        <v>1</v>
      </c>
      <c r="L74">
        <f>IFERROR(ABS(inp_f2_in_div_amount),0)</f>
        <v>0</v>
      </c>
      <c r="M74" t="s">
        <v>330</v>
      </c>
    </row>
    <row r="75" spans="1:13">
      <c r="A75">
        <v>42</v>
      </c>
      <c r="B75">
        <f>IFERROR(QUOTIENT($B$63,2^A75)-2*QUOTIENT($B$63,2^(A75+1)),0)</f>
        <v>0</v>
      </c>
      <c r="C75">
        <f>IFERROR(2*E74+B75*$C$63,0)</f>
        <v>0</v>
      </c>
      <c r="D75">
        <f>IFERROR(2*D74+QUOTIENT(C75,$D$63),0)</f>
        <v>0</v>
      </c>
      <c r="E75">
        <f>IFERROR(C75-$D$63*QUOTIENT(C75,$D$63),0)</f>
        <v>0</v>
      </c>
      <c r="K75" t="b">
        <f>IFERROR(AND(ISNUMBER(inp_f2_b4f_8),inp_f2_b4f_8=INT(inp_f2_b4f_8),inp_f2_b4f_8&gt;=0,ABS(inp_f2_b4f_8)&lt;=999999999999999),FALSE)</f>
        <v>1</v>
      </c>
      <c r="L75">
        <f>IFERROR(ABS(inp_f2_b4f_8),0)</f>
        <v>0</v>
      </c>
      <c r="M75" t="s">
        <v>331</v>
      </c>
    </row>
    <row r="76" spans="1:13">
      <c r="A76">
        <v>41</v>
      </c>
      <c r="B76">
        <f>IFERROR(QUOTIENT($B$63,2^A76)-2*QUOTIENT($B$63,2^(A76+1)),0)</f>
        <v>0</v>
      </c>
      <c r="C76">
        <f>IFERROR(2*E75+B76*$C$63,0)</f>
        <v>0</v>
      </c>
      <c r="D76">
        <f>IFERROR(2*D75+QUOTIENT(C76,$D$63),0)</f>
        <v>0</v>
      </c>
      <c r="E76">
        <f>IFERROR(C76-$D$63*QUOTIENT(C76,$D$63),0)</f>
        <v>0</v>
      </c>
      <c r="K76" t="b">
        <f>IFERROR(AND(ISNUMBER(inp_f2_b7_2_5),inp_f2_b7_2_5=INT(inp_f2_b7_2_5),inp_f2_b7_2_5&gt;=0,ABS(inp_f2_b7_2_5)&lt;=999999999999999),FALSE)</f>
        <v>1</v>
      </c>
      <c r="L76">
        <f>IFERROR(ABS(inp_f2_b7_2_5),0)</f>
        <v>0</v>
      </c>
      <c r="M76" t="s">
        <v>332</v>
      </c>
    </row>
    <row r="77" spans="1:13">
      <c r="A77">
        <v>40</v>
      </c>
      <c r="B77">
        <f>IFERROR(QUOTIENT($B$63,2^A77)-2*QUOTIENT($B$63,2^(A77+1)),0)</f>
        <v>0</v>
      </c>
      <c r="C77">
        <f>IFERROR(2*E76+B77*$C$63,0)</f>
        <v>0</v>
      </c>
      <c r="D77">
        <f>IFERROR(2*D76+QUOTIENT(C77,$D$63),0)</f>
        <v>0</v>
      </c>
      <c r="E77">
        <f>IFERROR(C77-$D$63*QUOTIENT(C77,$D$63),0)</f>
        <v>0</v>
      </c>
      <c r="K77" t="b">
        <f>IFERROR(AND(ISNUMBER(inp_f2_group_div_received),inp_f2_group_div_received=INT(inp_f2_group_div_received),inp_f2_group_div_received&gt;=0,ABS(inp_f2_group_div_received)&lt;=999999999999999),FALSE)</f>
        <v>1</v>
      </c>
      <c r="L77">
        <f>IFERROR(ABS(inp_f2_group_div_received),0)</f>
        <v>0</v>
      </c>
      <c r="M77" t="s">
        <v>333</v>
      </c>
    </row>
    <row r="78" spans="1:13">
      <c r="A78">
        <v>39</v>
      </c>
      <c r="B78">
        <f>IFERROR(QUOTIENT($B$63,2^A78)-2*QUOTIENT($B$63,2^(A78+1)),0)</f>
        <v>0</v>
      </c>
      <c r="C78">
        <f>IFERROR(2*E77+B78*$C$63,0)</f>
        <v>0</v>
      </c>
      <c r="D78">
        <f>IFERROR(2*D77+QUOTIENT(C78,$D$63),0)</f>
        <v>0</v>
      </c>
      <c r="E78">
        <f>IFERROR(C78-$D$63*QUOTIENT(C78,$D$63),0)</f>
        <v>0</v>
      </c>
      <c r="K78" t="b">
        <f>IFERROR(AND(ISNUMBER(inp_f2_b4f_9),inp_f2_b4f_9=INT(inp_f2_b4f_9),inp_f2_b4f_9&gt;=0,ABS(inp_f2_b4f_9)&lt;=999999999999999),FALSE)</f>
        <v>1</v>
      </c>
      <c r="L78">
        <f>IFERROR(ABS(inp_f2_b4f_9),0)</f>
        <v>0</v>
      </c>
      <c r="M78" t="s">
        <v>334</v>
      </c>
    </row>
    <row r="79" spans="1:13">
      <c r="A79">
        <v>38</v>
      </c>
      <c r="B79">
        <f>IFERROR(QUOTIENT($B$63,2^A79)-2*QUOTIENT($B$63,2^(A79+1)),0)</f>
        <v>0</v>
      </c>
      <c r="C79">
        <f>IFERROR(2*E78+B79*$C$63,0)</f>
        <v>0</v>
      </c>
      <c r="D79">
        <f>IFERROR(2*D78+QUOTIENT(C79,$D$63),0)</f>
        <v>0</v>
      </c>
      <c r="E79">
        <f>IFERROR(C79-$D$63*QUOTIENT(C79,$D$63),0)</f>
        <v>0</v>
      </c>
      <c r="K79" t="b">
        <f>IFERROR(AND(ISNUMBER(inp_f2_b7_2_f1_23),inp_f2_b7_2_f1_23=INT(inp_f2_b7_2_f1_23),inp_f2_b7_2_f1_23&gt;=0,ABS(inp_f2_b7_2_f1_23)&lt;=999999999999999),FALSE)</f>
        <v>1</v>
      </c>
      <c r="L79">
        <f>IFERROR(ABS(inp_f2_b7_2_f1_23),0)</f>
        <v>0</v>
      </c>
      <c r="M79" t="s">
        <v>335</v>
      </c>
    </row>
    <row r="80" spans="1:13">
      <c r="A80">
        <v>37</v>
      </c>
      <c r="B80">
        <f>IFERROR(QUOTIENT($B$63,2^A80)-2*QUOTIENT($B$63,2^(A80+1)),0)</f>
        <v>0</v>
      </c>
      <c r="C80">
        <f>IFERROR(2*E79+B80*$C$63,0)</f>
        <v>0</v>
      </c>
      <c r="D80">
        <f>IFERROR(2*D79+QUOTIENT(C80,$D$63),0)</f>
        <v>0</v>
      </c>
      <c r="E80">
        <f>IFERROR(C80-$D$63*QUOTIENT(C80,$D$63),0)</f>
        <v>0</v>
      </c>
      <c r="K80" t="b">
        <f>IFERROR(AND(ISNUMBER(inp_f2_b8_1_f_24),inp_f2_b8_1_f_24=INT(inp_f2_b8_1_f_24),inp_f2_b8_1_f_24&gt;=0,ABS(inp_f2_b8_1_f_24)&lt;=999999999999999),FALSE)</f>
        <v>1</v>
      </c>
      <c r="L80">
        <f>IFERROR(ABS(inp_f2_b8_1_f_24),0)</f>
        <v>0</v>
      </c>
      <c r="M80" t="s">
        <v>336</v>
      </c>
    </row>
    <row r="81" spans="1:13">
      <c r="A81">
        <v>36</v>
      </c>
      <c r="B81">
        <f>IFERROR(QUOTIENT($B$63,2^A81)-2*QUOTIENT($B$63,2^(A81+1)),0)</f>
        <v>0</v>
      </c>
      <c r="C81">
        <f>IFERROR(2*E80+B81*$C$63,0)</f>
        <v>0</v>
      </c>
      <c r="D81">
        <f>IFERROR(2*D80+QUOTIENT(C81,$D$63),0)</f>
        <v>0</v>
      </c>
      <c r="E81">
        <f>IFERROR(C81-$D$63*QUOTIENT(C81,$D$63),0)</f>
        <v>0</v>
      </c>
      <c r="K81" t="b">
        <f>IFERROR(AND(ISNUMBER(inp_f2_b18_1_5_total),inp_f2_b18_1_5_total=INT(inp_f2_b18_1_5_total),inp_f2_b18_1_5_total&gt;=0,ABS(inp_f2_b18_1_5_total)&lt;=999999999999999),FALSE)</f>
        <v>1</v>
      </c>
      <c r="L81">
        <f>IFERROR(ABS(inp_f2_b18_1_5_total),0)</f>
        <v>0</v>
      </c>
      <c r="M81" t="s">
        <v>337</v>
      </c>
    </row>
    <row r="82" spans="1:13">
      <c r="A82">
        <v>35</v>
      </c>
      <c r="B82">
        <f>IFERROR(QUOTIENT($B$63,2^A82)-2*QUOTIENT($B$63,2^(A82+1)),0)</f>
        <v>0</v>
      </c>
      <c r="C82">
        <f>IFERROR(2*E81+B82*$C$63,0)</f>
        <v>0</v>
      </c>
      <c r="D82">
        <f>IFERROR(2*D81+QUOTIENT(C82,$D$63),0)</f>
        <v>0</v>
      </c>
      <c r="E82">
        <f>IFERROR(C82-$D$63*QUOTIENT(C82,$D$63),0)</f>
        <v>0</v>
      </c>
      <c r="K82" t="b">
        <f>IFERROR(AND(ISNUMBER(inp_f2_b18_1_6_total),inp_f2_b18_1_6_total=INT(inp_f2_b18_1_6_total),inp_f2_b18_1_6_total&gt;=0,ABS(inp_f2_b18_1_6_total)&lt;=999999999999999),FALSE)</f>
        <v>1</v>
      </c>
      <c r="L82">
        <f>IFERROR(ABS(inp_f2_b18_1_6_total),0)</f>
        <v>0</v>
      </c>
      <c r="M82" t="s">
        <v>338</v>
      </c>
    </row>
    <row r="83" spans="1:13">
      <c r="A83">
        <v>34</v>
      </c>
      <c r="B83">
        <f>IFERROR(QUOTIENT($B$63,2^A83)-2*QUOTIENT($B$63,2^(A83+1)),0)</f>
        <v>0</v>
      </c>
      <c r="C83">
        <f>IFERROR(2*E82+B83*$C$63,0)</f>
        <v>0</v>
      </c>
      <c r="D83">
        <f>IFERROR(2*D82+QUOTIENT(C83,$D$63),0)</f>
        <v>0</v>
      </c>
      <c r="E83">
        <f>IFERROR(C83-$D$63*QUOTIENT(C83,$D$63),0)</f>
        <v>0</v>
      </c>
    </row>
    <row r="84" spans="1:13">
      <c r="A84">
        <v>33</v>
      </c>
      <c r="B84">
        <f>IFERROR(QUOTIENT($B$63,2^A84)-2*QUOTIENT($B$63,2^(A84+1)),0)</f>
        <v>0</v>
      </c>
      <c r="C84">
        <f>IFERROR(2*E83+B84*$C$63,0)</f>
        <v>0</v>
      </c>
      <c r="D84">
        <f>IFERROR(2*D83+QUOTIENT(C84,$D$63),0)</f>
        <v>0</v>
      </c>
      <c r="E84">
        <f>IFERROR(C84-$D$63*QUOTIENT(C84,$D$63),0)</f>
        <v>0</v>
      </c>
    </row>
    <row r="85" spans="1:13">
      <c r="A85">
        <v>32</v>
      </c>
      <c r="B85">
        <f>IFERROR(QUOTIENT($B$63,2^A85)-2*QUOTIENT($B$63,2^(A85+1)),0)</f>
        <v>0</v>
      </c>
      <c r="C85">
        <f>IFERROR(2*E84+B85*$C$63,0)</f>
        <v>0</v>
      </c>
      <c r="D85">
        <f>IFERROR(2*D84+QUOTIENT(C85,$D$63),0)</f>
        <v>0</v>
      </c>
      <c r="E85">
        <f>IFERROR(C85-$D$63*QUOTIENT(C85,$D$63),0)</f>
        <v>0</v>
      </c>
    </row>
    <row r="86" spans="1:13">
      <c r="A86">
        <v>31</v>
      </c>
      <c r="B86">
        <f>IFERROR(QUOTIENT($B$63,2^A86)-2*QUOTIENT($B$63,2^(A86+1)),0)</f>
        <v>0</v>
      </c>
      <c r="C86">
        <f>IFERROR(2*E85+B86*$C$63,0)</f>
        <v>0</v>
      </c>
      <c r="D86">
        <f>IFERROR(2*D85+QUOTIENT(C86,$D$63),0)</f>
        <v>0</v>
      </c>
      <c r="E86">
        <f>IFERROR(C86-$D$63*QUOTIENT(C86,$D$63),0)</f>
        <v>0</v>
      </c>
    </row>
    <row r="87" spans="1:13">
      <c r="A87">
        <v>30</v>
      </c>
      <c r="B87">
        <f>IFERROR(QUOTIENT($B$63,2^A87)-2*QUOTIENT($B$63,2^(A87+1)),0)</f>
        <v>0</v>
      </c>
      <c r="C87">
        <f>IFERROR(2*E86+B87*$C$63,0)</f>
        <v>0</v>
      </c>
      <c r="D87">
        <f>IFERROR(2*D86+QUOTIENT(C87,$D$63),0)</f>
        <v>0</v>
      </c>
      <c r="E87">
        <f>IFERROR(C87-$D$63*QUOTIENT(C87,$D$63),0)</f>
        <v>0</v>
      </c>
    </row>
    <row r="88" spans="1:13">
      <c r="A88">
        <v>29</v>
      </c>
      <c r="B88">
        <f>IFERROR(QUOTIENT($B$63,2^A88)-2*QUOTIENT($B$63,2^(A88+1)),0)</f>
        <v>0</v>
      </c>
      <c r="C88">
        <f>IFERROR(2*E87+B88*$C$63,0)</f>
        <v>0</v>
      </c>
      <c r="D88">
        <f>IFERROR(2*D87+QUOTIENT(C88,$D$63),0)</f>
        <v>0</v>
      </c>
      <c r="E88">
        <f>IFERROR(C88-$D$63*QUOTIENT(C88,$D$63),0)</f>
        <v>0</v>
      </c>
    </row>
    <row r="89" spans="1:13">
      <c r="A89">
        <v>28</v>
      </c>
      <c r="B89">
        <f>IFERROR(QUOTIENT($B$63,2^A89)-2*QUOTIENT($B$63,2^(A89+1)),0)</f>
        <v>0</v>
      </c>
      <c r="C89">
        <f>IFERROR(2*E88+B89*$C$63,0)</f>
        <v>0</v>
      </c>
      <c r="D89">
        <f>IFERROR(2*D88+QUOTIENT(C89,$D$63),0)</f>
        <v>0</v>
      </c>
      <c r="E89">
        <f>IFERROR(C89-$D$63*QUOTIENT(C89,$D$63),0)</f>
        <v>0</v>
      </c>
    </row>
    <row r="90" spans="1:13">
      <c r="A90">
        <v>27</v>
      </c>
      <c r="B90">
        <f>IFERROR(QUOTIENT($B$63,2^A90)-2*QUOTIENT($B$63,2^(A90+1)),0)</f>
        <v>0</v>
      </c>
      <c r="C90">
        <f>IFERROR(2*E89+B90*$C$63,0)</f>
        <v>0</v>
      </c>
      <c r="D90">
        <f>IFERROR(2*D89+QUOTIENT(C90,$D$63),0)</f>
        <v>0</v>
      </c>
      <c r="E90">
        <f>IFERROR(C90-$D$63*QUOTIENT(C90,$D$63),0)</f>
        <v>0</v>
      </c>
    </row>
    <row r="91" spans="1:13">
      <c r="A91">
        <v>26</v>
      </c>
      <c r="B91">
        <f>IFERROR(QUOTIENT($B$63,2^A91)-2*QUOTIENT($B$63,2^(A91+1)),0)</f>
        <v>0</v>
      </c>
      <c r="C91">
        <f>IFERROR(2*E90+B91*$C$63,0)</f>
        <v>0</v>
      </c>
      <c r="D91">
        <f>IFERROR(2*D90+QUOTIENT(C91,$D$63),0)</f>
        <v>0</v>
      </c>
      <c r="E91">
        <f>IFERROR(C91-$D$63*QUOTIENT(C91,$D$63),0)</f>
        <v>0</v>
      </c>
    </row>
    <row r="92" spans="1:13">
      <c r="A92">
        <v>25</v>
      </c>
      <c r="B92">
        <f>IFERROR(QUOTIENT($B$63,2^A92)-2*QUOTIENT($B$63,2^(A92+1)),0)</f>
        <v>0</v>
      </c>
      <c r="C92">
        <f>IFERROR(2*E91+B92*$C$63,0)</f>
        <v>0</v>
      </c>
      <c r="D92">
        <f>IFERROR(2*D91+QUOTIENT(C92,$D$63),0)</f>
        <v>0</v>
      </c>
      <c r="E92">
        <f>IFERROR(C92-$D$63*QUOTIENT(C92,$D$63),0)</f>
        <v>0</v>
      </c>
    </row>
    <row r="93" spans="1:13">
      <c r="A93">
        <v>24</v>
      </c>
      <c r="B93">
        <f>IFERROR(QUOTIENT($B$63,2^A93)-2*QUOTIENT($B$63,2^(A93+1)),0)</f>
        <v>0</v>
      </c>
      <c r="C93">
        <f>IFERROR(2*E92+B93*$C$63,0)</f>
        <v>0</v>
      </c>
      <c r="D93">
        <f>IFERROR(2*D92+QUOTIENT(C93,$D$63),0)</f>
        <v>0</v>
      </c>
      <c r="E93">
        <f>IFERROR(C93-$D$63*QUOTIENT(C93,$D$63),0)</f>
        <v>0</v>
      </c>
    </row>
    <row r="94" spans="1:13">
      <c r="A94">
        <v>23</v>
      </c>
      <c r="B94">
        <f>IFERROR(QUOTIENT($B$63,2^A94)-2*QUOTIENT($B$63,2^(A94+1)),0)</f>
        <v>0</v>
      </c>
      <c r="C94">
        <f>IFERROR(2*E93+B94*$C$63,0)</f>
        <v>0</v>
      </c>
      <c r="D94">
        <f>IFERROR(2*D93+QUOTIENT(C94,$D$63),0)</f>
        <v>0</v>
      </c>
      <c r="E94">
        <f>IFERROR(C94-$D$63*QUOTIENT(C94,$D$63),0)</f>
        <v>0</v>
      </c>
    </row>
    <row r="95" spans="1:13">
      <c r="A95">
        <v>22</v>
      </c>
      <c r="B95">
        <f>IFERROR(QUOTIENT($B$63,2^A95)-2*QUOTIENT($B$63,2^(A95+1)),0)</f>
        <v>0</v>
      </c>
      <c r="C95">
        <f>IFERROR(2*E94+B95*$C$63,0)</f>
        <v>0</v>
      </c>
      <c r="D95">
        <f>IFERROR(2*D94+QUOTIENT(C95,$D$63),0)</f>
        <v>0</v>
      </c>
      <c r="E95">
        <f>IFERROR(C95-$D$63*QUOTIENT(C95,$D$63),0)</f>
        <v>0</v>
      </c>
    </row>
    <row r="96" spans="1:13">
      <c r="A96">
        <v>21</v>
      </c>
      <c r="B96">
        <f>IFERROR(QUOTIENT($B$63,2^A96)-2*QUOTIENT($B$63,2^(A96+1)),0)</f>
        <v>0</v>
      </c>
      <c r="C96">
        <f>IFERROR(2*E95+B96*$C$63,0)</f>
        <v>0</v>
      </c>
      <c r="D96">
        <f>IFERROR(2*D95+QUOTIENT(C96,$D$63),0)</f>
        <v>0</v>
      </c>
      <c r="E96">
        <f>IFERROR(C96-$D$63*QUOTIENT(C96,$D$63),0)</f>
        <v>0</v>
      </c>
    </row>
    <row r="97" spans="1:5">
      <c r="A97">
        <v>20</v>
      </c>
      <c r="B97">
        <f>IFERROR(QUOTIENT($B$63,2^A97)-2*QUOTIENT($B$63,2^(A97+1)),0)</f>
        <v>0</v>
      </c>
      <c r="C97">
        <f>IFERROR(2*E96+B97*$C$63,0)</f>
        <v>0</v>
      </c>
      <c r="D97">
        <f>IFERROR(2*D96+QUOTIENT(C97,$D$63),0)</f>
        <v>0</v>
      </c>
      <c r="E97">
        <f>IFERROR(C97-$D$63*QUOTIENT(C97,$D$63),0)</f>
        <v>0</v>
      </c>
    </row>
    <row r="98" spans="1:5">
      <c r="A98">
        <v>19</v>
      </c>
      <c r="B98">
        <f>IFERROR(QUOTIENT($B$63,2^A98)-2*QUOTIENT($B$63,2^(A98+1)),0)</f>
        <v>0</v>
      </c>
      <c r="C98">
        <f>IFERROR(2*E97+B98*$C$63,0)</f>
        <v>0</v>
      </c>
      <c r="D98">
        <f>IFERROR(2*D97+QUOTIENT(C98,$D$63),0)</f>
        <v>0</v>
      </c>
      <c r="E98">
        <f>IFERROR(C98-$D$63*QUOTIENT(C98,$D$63),0)</f>
        <v>0</v>
      </c>
    </row>
    <row r="99" spans="1:5">
      <c r="A99">
        <v>18</v>
      </c>
      <c r="B99">
        <f>IFERROR(QUOTIENT($B$63,2^A99)-2*QUOTIENT($B$63,2^(A99+1)),0)</f>
        <v>0</v>
      </c>
      <c r="C99">
        <f>IFERROR(2*E98+B99*$C$63,0)</f>
        <v>0</v>
      </c>
      <c r="D99">
        <f>IFERROR(2*D98+QUOTIENT(C99,$D$63),0)</f>
        <v>0</v>
      </c>
      <c r="E99">
        <f>IFERROR(C99-$D$63*QUOTIENT(C99,$D$63),0)</f>
        <v>0</v>
      </c>
    </row>
    <row r="100" spans="1:5">
      <c r="A100">
        <v>17</v>
      </c>
      <c r="B100">
        <f>IFERROR(QUOTIENT($B$63,2^A100)-2*QUOTIENT($B$63,2^(A100+1)),0)</f>
        <v>0</v>
      </c>
      <c r="C100">
        <f>IFERROR(2*E99+B100*$C$63,0)</f>
        <v>0</v>
      </c>
      <c r="D100">
        <f>IFERROR(2*D99+QUOTIENT(C100,$D$63),0)</f>
        <v>0</v>
      </c>
      <c r="E100">
        <f>IFERROR(C100-$D$63*QUOTIENT(C100,$D$63),0)</f>
        <v>0</v>
      </c>
    </row>
    <row r="101" spans="1:5">
      <c r="A101">
        <v>16</v>
      </c>
      <c r="B101">
        <f>IFERROR(QUOTIENT($B$63,2^A101)-2*QUOTIENT($B$63,2^(A101+1)),0)</f>
        <v>0</v>
      </c>
      <c r="C101">
        <f>IFERROR(2*E100+B101*$C$63,0)</f>
        <v>0</v>
      </c>
      <c r="D101">
        <f>IFERROR(2*D100+QUOTIENT(C101,$D$63),0)</f>
        <v>0</v>
      </c>
      <c r="E101">
        <f>IFERROR(C101-$D$63*QUOTIENT(C101,$D$63),0)</f>
        <v>0</v>
      </c>
    </row>
    <row r="102" spans="1:5">
      <c r="A102">
        <v>15</v>
      </c>
      <c r="B102">
        <f>IFERROR(QUOTIENT($B$63,2^A102)-2*QUOTIENT($B$63,2^(A102+1)),0)</f>
        <v>0</v>
      </c>
      <c r="C102">
        <f>IFERROR(2*E101+B102*$C$63,0)</f>
        <v>0</v>
      </c>
      <c r="D102">
        <f>IFERROR(2*D101+QUOTIENT(C102,$D$63),0)</f>
        <v>0</v>
      </c>
      <c r="E102">
        <f>IFERROR(C102-$D$63*QUOTIENT(C102,$D$63),0)</f>
        <v>0</v>
      </c>
    </row>
    <row r="103" spans="1:5">
      <c r="A103">
        <v>14</v>
      </c>
      <c r="B103">
        <f>IFERROR(QUOTIENT($B$63,2^A103)-2*QUOTIENT($B$63,2^(A103+1)),0)</f>
        <v>0</v>
      </c>
      <c r="C103">
        <f>IFERROR(2*E102+B103*$C$63,0)</f>
        <v>0</v>
      </c>
      <c r="D103">
        <f>IFERROR(2*D102+QUOTIENT(C103,$D$63),0)</f>
        <v>0</v>
      </c>
      <c r="E103">
        <f>IFERROR(C103-$D$63*QUOTIENT(C103,$D$63),0)</f>
        <v>0</v>
      </c>
    </row>
    <row r="104" spans="1:5">
      <c r="A104">
        <v>13</v>
      </c>
      <c r="B104">
        <f>IFERROR(QUOTIENT($B$63,2^A104)-2*QUOTIENT($B$63,2^(A104+1)),0)</f>
        <v>0</v>
      </c>
      <c r="C104">
        <f>IFERROR(2*E103+B104*$C$63,0)</f>
        <v>0</v>
      </c>
      <c r="D104">
        <f>IFERROR(2*D103+QUOTIENT(C104,$D$63),0)</f>
        <v>0</v>
      </c>
      <c r="E104">
        <f>IFERROR(C104-$D$63*QUOTIENT(C104,$D$63),0)</f>
        <v>0</v>
      </c>
    </row>
    <row r="105" spans="1:5">
      <c r="A105">
        <v>12</v>
      </c>
      <c r="B105">
        <f>IFERROR(QUOTIENT($B$63,2^A105)-2*QUOTIENT($B$63,2^(A105+1)),0)</f>
        <v>0</v>
      </c>
      <c r="C105">
        <f>IFERROR(2*E104+B105*$C$63,0)</f>
        <v>0</v>
      </c>
      <c r="D105">
        <f>IFERROR(2*D104+QUOTIENT(C105,$D$63),0)</f>
        <v>0</v>
      </c>
      <c r="E105">
        <f>IFERROR(C105-$D$63*QUOTIENT(C105,$D$63),0)</f>
        <v>0</v>
      </c>
    </row>
    <row r="106" spans="1:5">
      <c r="A106">
        <v>11</v>
      </c>
      <c r="B106">
        <f>IFERROR(QUOTIENT($B$63,2^A106)-2*QUOTIENT($B$63,2^(A106+1)),0)</f>
        <v>0</v>
      </c>
      <c r="C106">
        <f>IFERROR(2*E105+B106*$C$63,0)</f>
        <v>0</v>
      </c>
      <c r="D106">
        <f>IFERROR(2*D105+QUOTIENT(C106,$D$63),0)</f>
        <v>0</v>
      </c>
      <c r="E106">
        <f>IFERROR(C106-$D$63*QUOTIENT(C106,$D$63),0)</f>
        <v>0</v>
      </c>
    </row>
    <row r="107" spans="1:5">
      <c r="A107">
        <v>10</v>
      </c>
      <c r="B107">
        <f>IFERROR(QUOTIENT($B$63,2^A107)-2*QUOTIENT($B$63,2^(A107+1)),0)</f>
        <v>0</v>
      </c>
      <c r="C107">
        <f>IFERROR(2*E106+B107*$C$63,0)</f>
        <v>0</v>
      </c>
      <c r="D107">
        <f>IFERROR(2*D106+QUOTIENT(C107,$D$63),0)</f>
        <v>0</v>
      </c>
      <c r="E107">
        <f>IFERROR(C107-$D$63*QUOTIENT(C107,$D$63),0)</f>
        <v>0</v>
      </c>
    </row>
    <row r="108" spans="1:5">
      <c r="A108">
        <v>9</v>
      </c>
      <c r="B108">
        <f>IFERROR(QUOTIENT($B$63,2^A108)-2*QUOTIENT($B$63,2^(A108+1)),0)</f>
        <v>0</v>
      </c>
      <c r="C108">
        <f>IFERROR(2*E107+B108*$C$63,0)</f>
        <v>0</v>
      </c>
      <c r="D108">
        <f>IFERROR(2*D107+QUOTIENT(C108,$D$63),0)</f>
        <v>0</v>
      </c>
      <c r="E108">
        <f>IFERROR(C108-$D$63*QUOTIENT(C108,$D$63),0)</f>
        <v>0</v>
      </c>
    </row>
    <row r="109" spans="1:5">
      <c r="A109">
        <v>8</v>
      </c>
      <c r="B109">
        <f>IFERROR(QUOTIENT($B$63,2^A109)-2*QUOTIENT($B$63,2^(A109+1)),0)</f>
        <v>0</v>
      </c>
      <c r="C109">
        <f>IFERROR(2*E108+B109*$C$63,0)</f>
        <v>0</v>
      </c>
      <c r="D109">
        <f>IFERROR(2*D108+QUOTIENT(C109,$D$63),0)</f>
        <v>0</v>
      </c>
      <c r="E109">
        <f>IFERROR(C109-$D$63*QUOTIENT(C109,$D$63),0)</f>
        <v>0</v>
      </c>
    </row>
    <row r="110" spans="1:5">
      <c r="A110">
        <v>7</v>
      </c>
      <c r="B110">
        <f>IFERROR(QUOTIENT($B$63,2^A110)-2*QUOTIENT($B$63,2^(A110+1)),0)</f>
        <v>0</v>
      </c>
      <c r="C110">
        <f>IFERROR(2*E109+B110*$C$63,0)</f>
        <v>0</v>
      </c>
      <c r="D110">
        <f>IFERROR(2*D109+QUOTIENT(C110,$D$63),0)</f>
        <v>0</v>
      </c>
      <c r="E110">
        <f>IFERROR(C110-$D$63*QUOTIENT(C110,$D$63),0)</f>
        <v>0</v>
      </c>
    </row>
    <row r="111" spans="1:5">
      <c r="A111">
        <v>6</v>
      </c>
      <c r="B111">
        <f>IFERROR(QUOTIENT($B$63,2^A111)-2*QUOTIENT($B$63,2^(A111+1)),0)</f>
        <v>0</v>
      </c>
      <c r="C111">
        <f>IFERROR(2*E110+B111*$C$63,0)</f>
        <v>0</v>
      </c>
      <c r="D111">
        <f>IFERROR(2*D110+QUOTIENT(C111,$D$63),0)</f>
        <v>0</v>
      </c>
      <c r="E111">
        <f>IFERROR(C111-$D$63*QUOTIENT(C111,$D$63),0)</f>
        <v>0</v>
      </c>
    </row>
    <row r="112" spans="1:5">
      <c r="A112">
        <v>5</v>
      </c>
      <c r="B112">
        <f>IFERROR(QUOTIENT($B$63,2^A112)-2*QUOTIENT($B$63,2^(A112+1)),0)</f>
        <v>0</v>
      </c>
      <c r="C112">
        <f>IFERROR(2*E111+B112*$C$63,0)</f>
        <v>0</v>
      </c>
      <c r="D112">
        <f>IFERROR(2*D111+QUOTIENT(C112,$D$63),0)</f>
        <v>0</v>
      </c>
      <c r="E112">
        <f>IFERROR(C112-$D$63*QUOTIENT(C112,$D$63),0)</f>
        <v>0</v>
      </c>
    </row>
    <row r="113" spans="1:8">
      <c r="A113">
        <v>4</v>
      </c>
      <c r="B113">
        <f>IFERROR(QUOTIENT($B$63,2^A113)-2*QUOTIENT($B$63,2^(A113+1)),0)</f>
        <v>0</v>
      </c>
      <c r="C113">
        <f>IFERROR(2*E112+B113*$C$63,0)</f>
        <v>0</v>
      </c>
      <c r="D113">
        <f>IFERROR(2*D112+QUOTIENT(C113,$D$63),0)</f>
        <v>0</v>
      </c>
      <c r="E113">
        <f>IFERROR(C113-$D$63*QUOTIENT(C113,$D$63),0)</f>
        <v>0</v>
      </c>
    </row>
    <row r="114" spans="1:8">
      <c r="A114">
        <v>3</v>
      </c>
      <c r="B114">
        <f>IFERROR(QUOTIENT($B$63,2^A114)-2*QUOTIENT($B$63,2^(A114+1)),0)</f>
        <v>0</v>
      </c>
      <c r="C114">
        <f>IFERROR(2*E113+B114*$C$63,0)</f>
        <v>0</v>
      </c>
      <c r="D114">
        <f>IFERROR(2*D113+QUOTIENT(C114,$D$63),0)</f>
        <v>0</v>
      </c>
      <c r="E114">
        <f>IFERROR(C114-$D$63*QUOTIENT(C114,$D$63),0)</f>
        <v>0</v>
      </c>
    </row>
    <row r="115" spans="1:8">
      <c r="A115">
        <v>2</v>
      </c>
      <c r="B115">
        <f>IFERROR(QUOTIENT($B$63,2^A115)-2*QUOTIENT($B$63,2^(A115+1)),0)</f>
        <v>0</v>
      </c>
      <c r="C115">
        <f>IFERROR(2*E114+B115*$C$63,0)</f>
        <v>0</v>
      </c>
      <c r="D115">
        <f>IFERROR(2*D114+QUOTIENT(C115,$D$63),0)</f>
        <v>0</v>
      </c>
      <c r="E115">
        <f>IFERROR(C115-$D$63*QUOTIENT(C115,$D$63),0)</f>
        <v>0</v>
      </c>
    </row>
    <row r="116" spans="1:8">
      <c r="A116">
        <v>1</v>
      </c>
      <c r="B116">
        <f>IFERROR(QUOTIENT($B$63,2^A116)-2*QUOTIENT($B$63,2^(A116+1)),0)</f>
        <v>0</v>
      </c>
      <c r="C116">
        <f>IFERROR(2*E115+B116*$C$63,0)</f>
        <v>0</v>
      </c>
      <c r="D116">
        <f>IFERROR(2*D115+QUOTIENT(C116,$D$63),0)</f>
        <v>0</v>
      </c>
      <c r="E116">
        <f>IFERROR(C116-$D$63*QUOTIENT(C116,$D$63),0)</f>
        <v>0</v>
      </c>
    </row>
    <row r="117" spans="1:8">
      <c r="A117">
        <v>0</v>
      </c>
      <c r="B117">
        <f>IFERROR(QUOTIENT($B$63,2^A117)-2*QUOTIENT($B$63,2^(A117+1)),0)</f>
        <v>0</v>
      </c>
      <c r="C117">
        <f>IFERROR(2*E116+B117*$C$63,0)</f>
        <v>0</v>
      </c>
      <c r="D117">
        <f>IFERROR(2*D116+QUOTIENT(C117,$D$63),0)</f>
        <v>0</v>
      </c>
      <c r="E117">
        <f>IFERROR(C117-$D$63*QUOTIENT(C117,$D$63),0)</f>
        <v>0</v>
      </c>
    </row>
    <row r="118" spans="1:8">
      <c r="A118" t="s">
        <v>556</v>
      </c>
      <c r="B118">
        <f>IFERROR(E63*D117,0)</f>
        <v>0</v>
      </c>
      <c r="C118">
        <f>IFERROR(E117,0)</f>
        <v>0</v>
      </c>
      <c r="D118">
        <f>IFERROR(B118-IF(E63&lt;0,IF(C118=0,0,1),0),0)</f>
        <v>0</v>
      </c>
      <c r="E118">
        <f>IFERROR(IF(E63&lt;0,IF(C118=0,0,D63-C118),C118),0)</f>
        <v>0</v>
      </c>
      <c r="F118" t="b">
        <f>IFERROR(AND(B63&lt;=9007199254740990,C63&lt;=9007199254740990,F63&gt;0,F63&lt;=9007199254740990,2*D63+C63&lt;=9007199254740990,ABS(B118)&lt;=9007199254740990),0)</f>
        <v>1</v>
      </c>
    </row>
    <row r="120" spans="1:8">
      <c r="A120" s="2" t="s">
        <v>549</v>
      </c>
      <c r="B120" s="2" t="s">
        <v>550</v>
      </c>
      <c r="C120" s="2" t="s">
        <v>551</v>
      </c>
      <c r="D120" s="2" t="s">
        <v>552</v>
      </c>
      <c r="E120" s="2" t="s">
        <v>553</v>
      </c>
      <c r="F120" s="2"/>
      <c r="G120" s="2"/>
      <c r="H120" s="2"/>
    </row>
    <row r="121" spans="1:8">
      <c r="A121" t="s">
        <v>617</v>
      </c>
      <c r="B121">
        <f>IFERROR(ABS(MAX(0,IF(inp_class="該当",m_23,m_22))),0)</f>
        <v>0</v>
      </c>
      <c r="C121">
        <f>IFERROR(ABS(13),0)</f>
        <v>13</v>
      </c>
      <c r="D121">
        <f>IFERROR(MAX(1,IFERROR(ABS(125),0)),0)</f>
        <v>125</v>
      </c>
      <c r="E121">
        <f>IFERROR(SIGN(MAX(0,IF(inp_class="該当",m_23,m_22)))*SIGN(13)*SIGN(125),0)</f>
        <v>0</v>
      </c>
      <c r="F121">
        <f>IFERROR(ABS(125),0)</f>
        <v>125</v>
      </c>
      <c r="G121" t="b">
        <f>IFERROR(F176,0)</f>
        <v>1</v>
      </c>
      <c r="H121" s="4" t="s">
        <v>618</v>
      </c>
    </row>
    <row r="122" spans="1:8">
      <c r="D122">
        <v>0</v>
      </c>
      <c r="E122">
        <v>0</v>
      </c>
    </row>
    <row r="123" spans="1:8">
      <c r="A123">
        <v>52</v>
      </c>
      <c r="B123">
        <f>IFERROR(QUOTIENT($B$121,2^A123)-2*QUOTIENT($B$121,2^(A123+1)),0)</f>
        <v>0</v>
      </c>
      <c r="C123">
        <f>IFERROR(2*E122+B123*$C$121,0)</f>
        <v>0</v>
      </c>
      <c r="D123">
        <f>IFERROR(2*D122+QUOTIENT(C123,$D$121),0)</f>
        <v>0</v>
      </c>
      <c r="E123">
        <f>IFERROR(C123-$D$121*QUOTIENT(C123,$D$121),0)</f>
        <v>0</v>
      </c>
    </row>
    <row r="124" spans="1:8">
      <c r="A124">
        <v>51</v>
      </c>
      <c r="B124">
        <f>IFERROR(QUOTIENT($B$121,2^A124)-2*QUOTIENT($B$121,2^(A124+1)),0)</f>
        <v>0</v>
      </c>
      <c r="C124">
        <f>IFERROR(2*E123+B124*$C$121,0)</f>
        <v>0</v>
      </c>
      <c r="D124">
        <f>IFERROR(2*D123+QUOTIENT(C124,$D$121),0)</f>
        <v>0</v>
      </c>
      <c r="E124">
        <f>IFERROR(C124-$D$121*QUOTIENT(C124,$D$121),0)</f>
        <v>0</v>
      </c>
    </row>
    <row r="125" spans="1:8">
      <c r="A125">
        <v>50</v>
      </c>
      <c r="B125">
        <f>IFERROR(QUOTIENT($B$121,2^A125)-2*QUOTIENT($B$121,2^(A125+1)),0)</f>
        <v>0</v>
      </c>
      <c r="C125">
        <f>IFERROR(2*E124+B125*$C$121,0)</f>
        <v>0</v>
      </c>
      <c r="D125">
        <f>IFERROR(2*D124+QUOTIENT(C125,$D$121),0)</f>
        <v>0</v>
      </c>
      <c r="E125">
        <f>IFERROR(C125-$D$121*QUOTIENT(C125,$D$121),0)</f>
        <v>0</v>
      </c>
    </row>
    <row r="126" spans="1:8">
      <c r="A126">
        <v>49</v>
      </c>
      <c r="B126">
        <f>IFERROR(QUOTIENT($B$121,2^A126)-2*QUOTIENT($B$121,2^(A126+1)),0)</f>
        <v>0</v>
      </c>
      <c r="C126">
        <f>IFERROR(2*E125+B126*$C$121,0)</f>
        <v>0</v>
      </c>
      <c r="D126">
        <f>IFERROR(2*D125+QUOTIENT(C126,$D$121),0)</f>
        <v>0</v>
      </c>
      <c r="E126">
        <f>IFERROR(C126-$D$121*QUOTIENT(C126,$D$121),0)</f>
        <v>0</v>
      </c>
    </row>
    <row r="127" spans="1:8">
      <c r="A127">
        <v>48</v>
      </c>
      <c r="B127">
        <f>IFERROR(QUOTIENT($B$121,2^A127)-2*QUOTIENT($B$121,2^(A127+1)),0)</f>
        <v>0</v>
      </c>
      <c r="C127">
        <f>IFERROR(2*E126+B127*$C$121,0)</f>
        <v>0</v>
      </c>
      <c r="D127">
        <f>IFERROR(2*D126+QUOTIENT(C127,$D$121),0)</f>
        <v>0</v>
      </c>
      <c r="E127">
        <f>IFERROR(C127-$D$121*QUOTIENT(C127,$D$121),0)</f>
        <v>0</v>
      </c>
    </row>
    <row r="128" spans="1:8">
      <c r="A128">
        <v>47</v>
      </c>
      <c r="B128">
        <f>IFERROR(QUOTIENT($B$121,2^A128)-2*QUOTIENT($B$121,2^(A128+1)),0)</f>
        <v>0</v>
      </c>
      <c r="C128">
        <f>IFERROR(2*E127+B128*$C$121,0)</f>
        <v>0</v>
      </c>
      <c r="D128">
        <f>IFERROR(2*D127+QUOTIENT(C128,$D$121),0)</f>
        <v>0</v>
      </c>
      <c r="E128">
        <f>IFERROR(C128-$D$121*QUOTIENT(C128,$D$121),0)</f>
        <v>0</v>
      </c>
    </row>
    <row r="129" spans="1:5">
      <c r="A129">
        <v>46</v>
      </c>
      <c r="B129">
        <f>IFERROR(QUOTIENT($B$121,2^A129)-2*QUOTIENT($B$121,2^(A129+1)),0)</f>
        <v>0</v>
      </c>
      <c r="C129">
        <f>IFERROR(2*E128+B129*$C$121,0)</f>
        <v>0</v>
      </c>
      <c r="D129">
        <f>IFERROR(2*D128+QUOTIENT(C129,$D$121),0)</f>
        <v>0</v>
      </c>
      <c r="E129">
        <f>IFERROR(C129-$D$121*QUOTIENT(C129,$D$121),0)</f>
        <v>0</v>
      </c>
    </row>
    <row r="130" spans="1:5">
      <c r="A130">
        <v>45</v>
      </c>
      <c r="B130">
        <f>IFERROR(QUOTIENT($B$121,2^A130)-2*QUOTIENT($B$121,2^(A130+1)),0)</f>
        <v>0</v>
      </c>
      <c r="C130">
        <f>IFERROR(2*E129+B130*$C$121,0)</f>
        <v>0</v>
      </c>
      <c r="D130">
        <f>IFERROR(2*D129+QUOTIENT(C130,$D$121),0)</f>
        <v>0</v>
      </c>
      <c r="E130">
        <f>IFERROR(C130-$D$121*QUOTIENT(C130,$D$121),0)</f>
        <v>0</v>
      </c>
    </row>
    <row r="131" spans="1:5">
      <c r="A131">
        <v>44</v>
      </c>
      <c r="B131">
        <f>IFERROR(QUOTIENT($B$121,2^A131)-2*QUOTIENT($B$121,2^(A131+1)),0)</f>
        <v>0</v>
      </c>
      <c r="C131">
        <f>IFERROR(2*E130+B131*$C$121,0)</f>
        <v>0</v>
      </c>
      <c r="D131">
        <f>IFERROR(2*D130+QUOTIENT(C131,$D$121),0)</f>
        <v>0</v>
      </c>
      <c r="E131">
        <f>IFERROR(C131-$D$121*QUOTIENT(C131,$D$121),0)</f>
        <v>0</v>
      </c>
    </row>
    <row r="132" spans="1:5">
      <c r="A132">
        <v>43</v>
      </c>
      <c r="B132">
        <f>IFERROR(QUOTIENT($B$121,2^A132)-2*QUOTIENT($B$121,2^(A132+1)),0)</f>
        <v>0</v>
      </c>
      <c r="C132">
        <f>IFERROR(2*E131+B132*$C$121,0)</f>
        <v>0</v>
      </c>
      <c r="D132">
        <f>IFERROR(2*D131+QUOTIENT(C132,$D$121),0)</f>
        <v>0</v>
      </c>
      <c r="E132">
        <f>IFERROR(C132-$D$121*QUOTIENT(C132,$D$121),0)</f>
        <v>0</v>
      </c>
    </row>
    <row r="133" spans="1:5">
      <c r="A133">
        <v>42</v>
      </c>
      <c r="B133">
        <f>IFERROR(QUOTIENT($B$121,2^A133)-2*QUOTIENT($B$121,2^(A133+1)),0)</f>
        <v>0</v>
      </c>
      <c r="C133">
        <f>IFERROR(2*E132+B133*$C$121,0)</f>
        <v>0</v>
      </c>
      <c r="D133">
        <f>IFERROR(2*D132+QUOTIENT(C133,$D$121),0)</f>
        <v>0</v>
      </c>
      <c r="E133">
        <f>IFERROR(C133-$D$121*QUOTIENT(C133,$D$121),0)</f>
        <v>0</v>
      </c>
    </row>
    <row r="134" spans="1:5">
      <c r="A134">
        <v>41</v>
      </c>
      <c r="B134">
        <f>IFERROR(QUOTIENT($B$121,2^A134)-2*QUOTIENT($B$121,2^(A134+1)),0)</f>
        <v>0</v>
      </c>
      <c r="C134">
        <f>IFERROR(2*E133+B134*$C$121,0)</f>
        <v>0</v>
      </c>
      <c r="D134">
        <f>IFERROR(2*D133+QUOTIENT(C134,$D$121),0)</f>
        <v>0</v>
      </c>
      <c r="E134">
        <f>IFERROR(C134-$D$121*QUOTIENT(C134,$D$121),0)</f>
        <v>0</v>
      </c>
    </row>
    <row r="135" spans="1:5">
      <c r="A135">
        <v>40</v>
      </c>
      <c r="B135">
        <f>IFERROR(QUOTIENT($B$121,2^A135)-2*QUOTIENT($B$121,2^(A135+1)),0)</f>
        <v>0</v>
      </c>
      <c r="C135">
        <f>IFERROR(2*E134+B135*$C$121,0)</f>
        <v>0</v>
      </c>
      <c r="D135">
        <f>IFERROR(2*D134+QUOTIENT(C135,$D$121),0)</f>
        <v>0</v>
      </c>
      <c r="E135">
        <f>IFERROR(C135-$D$121*QUOTIENT(C135,$D$121),0)</f>
        <v>0</v>
      </c>
    </row>
    <row r="136" spans="1:5">
      <c r="A136">
        <v>39</v>
      </c>
      <c r="B136">
        <f>IFERROR(QUOTIENT($B$121,2^A136)-2*QUOTIENT($B$121,2^(A136+1)),0)</f>
        <v>0</v>
      </c>
      <c r="C136">
        <f>IFERROR(2*E135+B136*$C$121,0)</f>
        <v>0</v>
      </c>
      <c r="D136">
        <f>IFERROR(2*D135+QUOTIENT(C136,$D$121),0)</f>
        <v>0</v>
      </c>
      <c r="E136">
        <f>IFERROR(C136-$D$121*QUOTIENT(C136,$D$121),0)</f>
        <v>0</v>
      </c>
    </row>
    <row r="137" spans="1:5">
      <c r="A137">
        <v>38</v>
      </c>
      <c r="B137">
        <f>IFERROR(QUOTIENT($B$121,2^A137)-2*QUOTIENT($B$121,2^(A137+1)),0)</f>
        <v>0</v>
      </c>
      <c r="C137">
        <f>IFERROR(2*E136+B137*$C$121,0)</f>
        <v>0</v>
      </c>
      <c r="D137">
        <f>IFERROR(2*D136+QUOTIENT(C137,$D$121),0)</f>
        <v>0</v>
      </c>
      <c r="E137">
        <f>IFERROR(C137-$D$121*QUOTIENT(C137,$D$121),0)</f>
        <v>0</v>
      </c>
    </row>
    <row r="138" spans="1:5">
      <c r="A138">
        <v>37</v>
      </c>
      <c r="B138">
        <f>IFERROR(QUOTIENT($B$121,2^A138)-2*QUOTIENT($B$121,2^(A138+1)),0)</f>
        <v>0</v>
      </c>
      <c r="C138">
        <f>IFERROR(2*E137+B138*$C$121,0)</f>
        <v>0</v>
      </c>
      <c r="D138">
        <f>IFERROR(2*D137+QUOTIENT(C138,$D$121),0)</f>
        <v>0</v>
      </c>
      <c r="E138">
        <f>IFERROR(C138-$D$121*QUOTIENT(C138,$D$121),0)</f>
        <v>0</v>
      </c>
    </row>
    <row r="139" spans="1:5">
      <c r="A139">
        <v>36</v>
      </c>
      <c r="B139">
        <f>IFERROR(QUOTIENT($B$121,2^A139)-2*QUOTIENT($B$121,2^(A139+1)),0)</f>
        <v>0</v>
      </c>
      <c r="C139">
        <f>IFERROR(2*E138+B139*$C$121,0)</f>
        <v>0</v>
      </c>
      <c r="D139">
        <f>IFERROR(2*D138+QUOTIENT(C139,$D$121),0)</f>
        <v>0</v>
      </c>
      <c r="E139">
        <f>IFERROR(C139-$D$121*QUOTIENT(C139,$D$121),0)</f>
        <v>0</v>
      </c>
    </row>
    <row r="140" spans="1:5">
      <c r="A140">
        <v>35</v>
      </c>
      <c r="B140">
        <f>IFERROR(QUOTIENT($B$121,2^A140)-2*QUOTIENT($B$121,2^(A140+1)),0)</f>
        <v>0</v>
      </c>
      <c r="C140">
        <f>IFERROR(2*E139+B140*$C$121,0)</f>
        <v>0</v>
      </c>
      <c r="D140">
        <f>IFERROR(2*D139+QUOTIENT(C140,$D$121),0)</f>
        <v>0</v>
      </c>
      <c r="E140">
        <f>IFERROR(C140-$D$121*QUOTIENT(C140,$D$121),0)</f>
        <v>0</v>
      </c>
    </row>
    <row r="141" spans="1:5">
      <c r="A141">
        <v>34</v>
      </c>
      <c r="B141">
        <f>IFERROR(QUOTIENT($B$121,2^A141)-2*QUOTIENT($B$121,2^(A141+1)),0)</f>
        <v>0</v>
      </c>
      <c r="C141">
        <f>IFERROR(2*E140+B141*$C$121,0)</f>
        <v>0</v>
      </c>
      <c r="D141">
        <f>IFERROR(2*D140+QUOTIENT(C141,$D$121),0)</f>
        <v>0</v>
      </c>
      <c r="E141">
        <f>IFERROR(C141-$D$121*QUOTIENT(C141,$D$121),0)</f>
        <v>0</v>
      </c>
    </row>
    <row r="142" spans="1:5">
      <c r="A142">
        <v>33</v>
      </c>
      <c r="B142">
        <f>IFERROR(QUOTIENT($B$121,2^A142)-2*QUOTIENT($B$121,2^(A142+1)),0)</f>
        <v>0</v>
      </c>
      <c r="C142">
        <f>IFERROR(2*E141+B142*$C$121,0)</f>
        <v>0</v>
      </c>
      <c r="D142">
        <f>IFERROR(2*D141+QUOTIENT(C142,$D$121),0)</f>
        <v>0</v>
      </c>
      <c r="E142">
        <f>IFERROR(C142-$D$121*QUOTIENT(C142,$D$121),0)</f>
        <v>0</v>
      </c>
    </row>
    <row r="143" spans="1:5">
      <c r="A143">
        <v>32</v>
      </c>
      <c r="B143">
        <f>IFERROR(QUOTIENT($B$121,2^A143)-2*QUOTIENT($B$121,2^(A143+1)),0)</f>
        <v>0</v>
      </c>
      <c r="C143">
        <f>IFERROR(2*E142+B143*$C$121,0)</f>
        <v>0</v>
      </c>
      <c r="D143">
        <f>IFERROR(2*D142+QUOTIENT(C143,$D$121),0)</f>
        <v>0</v>
      </c>
      <c r="E143">
        <f>IFERROR(C143-$D$121*QUOTIENT(C143,$D$121),0)</f>
        <v>0</v>
      </c>
    </row>
    <row r="144" spans="1:5">
      <c r="A144">
        <v>31</v>
      </c>
      <c r="B144">
        <f>IFERROR(QUOTIENT($B$121,2^A144)-2*QUOTIENT($B$121,2^(A144+1)),0)</f>
        <v>0</v>
      </c>
      <c r="C144">
        <f>IFERROR(2*E143+B144*$C$121,0)</f>
        <v>0</v>
      </c>
      <c r="D144">
        <f>IFERROR(2*D143+QUOTIENT(C144,$D$121),0)</f>
        <v>0</v>
      </c>
      <c r="E144">
        <f>IFERROR(C144-$D$121*QUOTIENT(C144,$D$121),0)</f>
        <v>0</v>
      </c>
    </row>
    <row r="145" spans="1:5">
      <c r="A145">
        <v>30</v>
      </c>
      <c r="B145">
        <f>IFERROR(QUOTIENT($B$121,2^A145)-2*QUOTIENT($B$121,2^(A145+1)),0)</f>
        <v>0</v>
      </c>
      <c r="C145">
        <f>IFERROR(2*E144+B145*$C$121,0)</f>
        <v>0</v>
      </c>
      <c r="D145">
        <f>IFERROR(2*D144+QUOTIENT(C145,$D$121),0)</f>
        <v>0</v>
      </c>
      <c r="E145">
        <f>IFERROR(C145-$D$121*QUOTIENT(C145,$D$121),0)</f>
        <v>0</v>
      </c>
    </row>
    <row r="146" spans="1:5">
      <c r="A146">
        <v>29</v>
      </c>
      <c r="B146">
        <f>IFERROR(QUOTIENT($B$121,2^A146)-2*QUOTIENT($B$121,2^(A146+1)),0)</f>
        <v>0</v>
      </c>
      <c r="C146">
        <f>IFERROR(2*E145+B146*$C$121,0)</f>
        <v>0</v>
      </c>
      <c r="D146">
        <f>IFERROR(2*D145+QUOTIENT(C146,$D$121),0)</f>
        <v>0</v>
      </c>
      <c r="E146">
        <f>IFERROR(C146-$D$121*QUOTIENT(C146,$D$121),0)</f>
        <v>0</v>
      </c>
    </row>
    <row r="147" spans="1:5">
      <c r="A147">
        <v>28</v>
      </c>
      <c r="B147">
        <f>IFERROR(QUOTIENT($B$121,2^A147)-2*QUOTIENT($B$121,2^(A147+1)),0)</f>
        <v>0</v>
      </c>
      <c r="C147">
        <f>IFERROR(2*E146+B147*$C$121,0)</f>
        <v>0</v>
      </c>
      <c r="D147">
        <f>IFERROR(2*D146+QUOTIENT(C147,$D$121),0)</f>
        <v>0</v>
      </c>
      <c r="E147">
        <f>IFERROR(C147-$D$121*QUOTIENT(C147,$D$121),0)</f>
        <v>0</v>
      </c>
    </row>
    <row r="148" spans="1:5">
      <c r="A148">
        <v>27</v>
      </c>
      <c r="B148">
        <f>IFERROR(QUOTIENT($B$121,2^A148)-2*QUOTIENT($B$121,2^(A148+1)),0)</f>
        <v>0</v>
      </c>
      <c r="C148">
        <f>IFERROR(2*E147+B148*$C$121,0)</f>
        <v>0</v>
      </c>
      <c r="D148">
        <f>IFERROR(2*D147+QUOTIENT(C148,$D$121),0)</f>
        <v>0</v>
      </c>
      <c r="E148">
        <f>IFERROR(C148-$D$121*QUOTIENT(C148,$D$121),0)</f>
        <v>0</v>
      </c>
    </row>
    <row r="149" spans="1:5">
      <c r="A149">
        <v>26</v>
      </c>
      <c r="B149">
        <f>IFERROR(QUOTIENT($B$121,2^A149)-2*QUOTIENT($B$121,2^(A149+1)),0)</f>
        <v>0</v>
      </c>
      <c r="C149">
        <f>IFERROR(2*E148+B149*$C$121,0)</f>
        <v>0</v>
      </c>
      <c r="D149">
        <f>IFERROR(2*D148+QUOTIENT(C149,$D$121),0)</f>
        <v>0</v>
      </c>
      <c r="E149">
        <f>IFERROR(C149-$D$121*QUOTIENT(C149,$D$121),0)</f>
        <v>0</v>
      </c>
    </row>
    <row r="150" spans="1:5">
      <c r="A150">
        <v>25</v>
      </c>
      <c r="B150">
        <f>IFERROR(QUOTIENT($B$121,2^A150)-2*QUOTIENT($B$121,2^(A150+1)),0)</f>
        <v>0</v>
      </c>
      <c r="C150">
        <f>IFERROR(2*E149+B150*$C$121,0)</f>
        <v>0</v>
      </c>
      <c r="D150">
        <f>IFERROR(2*D149+QUOTIENT(C150,$D$121),0)</f>
        <v>0</v>
      </c>
      <c r="E150">
        <f>IFERROR(C150-$D$121*QUOTIENT(C150,$D$121),0)</f>
        <v>0</v>
      </c>
    </row>
    <row r="151" spans="1:5">
      <c r="A151">
        <v>24</v>
      </c>
      <c r="B151">
        <f>IFERROR(QUOTIENT($B$121,2^A151)-2*QUOTIENT($B$121,2^(A151+1)),0)</f>
        <v>0</v>
      </c>
      <c r="C151">
        <f>IFERROR(2*E150+B151*$C$121,0)</f>
        <v>0</v>
      </c>
      <c r="D151">
        <f>IFERROR(2*D150+QUOTIENT(C151,$D$121),0)</f>
        <v>0</v>
      </c>
      <c r="E151">
        <f>IFERROR(C151-$D$121*QUOTIENT(C151,$D$121),0)</f>
        <v>0</v>
      </c>
    </row>
    <row r="152" spans="1:5">
      <c r="A152">
        <v>23</v>
      </c>
      <c r="B152">
        <f>IFERROR(QUOTIENT($B$121,2^A152)-2*QUOTIENT($B$121,2^(A152+1)),0)</f>
        <v>0</v>
      </c>
      <c r="C152">
        <f>IFERROR(2*E151+B152*$C$121,0)</f>
        <v>0</v>
      </c>
      <c r="D152">
        <f>IFERROR(2*D151+QUOTIENT(C152,$D$121),0)</f>
        <v>0</v>
      </c>
      <c r="E152">
        <f>IFERROR(C152-$D$121*QUOTIENT(C152,$D$121),0)</f>
        <v>0</v>
      </c>
    </row>
    <row r="153" spans="1:5">
      <c r="A153">
        <v>22</v>
      </c>
      <c r="B153">
        <f>IFERROR(QUOTIENT($B$121,2^A153)-2*QUOTIENT($B$121,2^(A153+1)),0)</f>
        <v>0</v>
      </c>
      <c r="C153">
        <f>IFERROR(2*E152+B153*$C$121,0)</f>
        <v>0</v>
      </c>
      <c r="D153">
        <f>IFERROR(2*D152+QUOTIENT(C153,$D$121),0)</f>
        <v>0</v>
      </c>
      <c r="E153">
        <f>IFERROR(C153-$D$121*QUOTIENT(C153,$D$121),0)</f>
        <v>0</v>
      </c>
    </row>
    <row r="154" spans="1:5">
      <c r="A154">
        <v>21</v>
      </c>
      <c r="B154">
        <f>IFERROR(QUOTIENT($B$121,2^A154)-2*QUOTIENT($B$121,2^(A154+1)),0)</f>
        <v>0</v>
      </c>
      <c r="C154">
        <f>IFERROR(2*E153+B154*$C$121,0)</f>
        <v>0</v>
      </c>
      <c r="D154">
        <f>IFERROR(2*D153+QUOTIENT(C154,$D$121),0)</f>
        <v>0</v>
      </c>
      <c r="E154">
        <f>IFERROR(C154-$D$121*QUOTIENT(C154,$D$121),0)</f>
        <v>0</v>
      </c>
    </row>
    <row r="155" spans="1:5">
      <c r="A155">
        <v>20</v>
      </c>
      <c r="B155">
        <f>IFERROR(QUOTIENT($B$121,2^A155)-2*QUOTIENT($B$121,2^(A155+1)),0)</f>
        <v>0</v>
      </c>
      <c r="C155">
        <f>IFERROR(2*E154+B155*$C$121,0)</f>
        <v>0</v>
      </c>
      <c r="D155">
        <f>IFERROR(2*D154+QUOTIENT(C155,$D$121),0)</f>
        <v>0</v>
      </c>
      <c r="E155">
        <f>IFERROR(C155-$D$121*QUOTIENT(C155,$D$121),0)</f>
        <v>0</v>
      </c>
    </row>
    <row r="156" spans="1:5">
      <c r="A156">
        <v>19</v>
      </c>
      <c r="B156">
        <f>IFERROR(QUOTIENT($B$121,2^A156)-2*QUOTIENT($B$121,2^(A156+1)),0)</f>
        <v>0</v>
      </c>
      <c r="C156">
        <f>IFERROR(2*E155+B156*$C$121,0)</f>
        <v>0</v>
      </c>
      <c r="D156">
        <f>IFERROR(2*D155+QUOTIENT(C156,$D$121),0)</f>
        <v>0</v>
      </c>
      <c r="E156">
        <f>IFERROR(C156-$D$121*QUOTIENT(C156,$D$121),0)</f>
        <v>0</v>
      </c>
    </row>
    <row r="157" spans="1:5">
      <c r="A157">
        <v>18</v>
      </c>
      <c r="B157">
        <f>IFERROR(QUOTIENT($B$121,2^A157)-2*QUOTIENT($B$121,2^(A157+1)),0)</f>
        <v>0</v>
      </c>
      <c r="C157">
        <f>IFERROR(2*E156+B157*$C$121,0)</f>
        <v>0</v>
      </c>
      <c r="D157">
        <f>IFERROR(2*D156+QUOTIENT(C157,$D$121),0)</f>
        <v>0</v>
      </c>
      <c r="E157">
        <f>IFERROR(C157-$D$121*QUOTIENT(C157,$D$121),0)</f>
        <v>0</v>
      </c>
    </row>
    <row r="158" spans="1:5">
      <c r="A158">
        <v>17</v>
      </c>
      <c r="B158">
        <f>IFERROR(QUOTIENT($B$121,2^A158)-2*QUOTIENT($B$121,2^(A158+1)),0)</f>
        <v>0</v>
      </c>
      <c r="C158">
        <f>IFERROR(2*E157+B158*$C$121,0)</f>
        <v>0</v>
      </c>
      <c r="D158">
        <f>IFERROR(2*D157+QUOTIENT(C158,$D$121),0)</f>
        <v>0</v>
      </c>
      <c r="E158">
        <f>IFERROR(C158-$D$121*QUOTIENT(C158,$D$121),0)</f>
        <v>0</v>
      </c>
    </row>
    <row r="159" spans="1:5">
      <c r="A159">
        <v>16</v>
      </c>
      <c r="B159">
        <f>IFERROR(QUOTIENT($B$121,2^A159)-2*QUOTIENT($B$121,2^(A159+1)),0)</f>
        <v>0</v>
      </c>
      <c r="C159">
        <f>IFERROR(2*E158+B159*$C$121,0)</f>
        <v>0</v>
      </c>
      <c r="D159">
        <f>IFERROR(2*D158+QUOTIENT(C159,$D$121),0)</f>
        <v>0</v>
      </c>
      <c r="E159">
        <f>IFERROR(C159-$D$121*QUOTIENT(C159,$D$121),0)</f>
        <v>0</v>
      </c>
    </row>
    <row r="160" spans="1:5">
      <c r="A160">
        <v>15</v>
      </c>
      <c r="B160">
        <f>IFERROR(QUOTIENT($B$121,2^A160)-2*QUOTIENT($B$121,2^(A160+1)),0)</f>
        <v>0</v>
      </c>
      <c r="C160">
        <f>IFERROR(2*E159+B160*$C$121,0)</f>
        <v>0</v>
      </c>
      <c r="D160">
        <f>IFERROR(2*D159+QUOTIENT(C160,$D$121),0)</f>
        <v>0</v>
      </c>
      <c r="E160">
        <f>IFERROR(C160-$D$121*QUOTIENT(C160,$D$121),0)</f>
        <v>0</v>
      </c>
    </row>
    <row r="161" spans="1:6">
      <c r="A161">
        <v>14</v>
      </c>
      <c r="B161">
        <f>IFERROR(QUOTIENT($B$121,2^A161)-2*QUOTIENT($B$121,2^(A161+1)),0)</f>
        <v>0</v>
      </c>
      <c r="C161">
        <f>IFERROR(2*E160+B161*$C$121,0)</f>
        <v>0</v>
      </c>
      <c r="D161">
        <f>IFERROR(2*D160+QUOTIENT(C161,$D$121),0)</f>
        <v>0</v>
      </c>
      <c r="E161">
        <f>IFERROR(C161-$D$121*QUOTIENT(C161,$D$121),0)</f>
        <v>0</v>
      </c>
    </row>
    <row r="162" spans="1:6">
      <c r="A162">
        <v>13</v>
      </c>
      <c r="B162">
        <f>IFERROR(QUOTIENT($B$121,2^A162)-2*QUOTIENT($B$121,2^(A162+1)),0)</f>
        <v>0</v>
      </c>
      <c r="C162">
        <f>IFERROR(2*E161+B162*$C$121,0)</f>
        <v>0</v>
      </c>
      <c r="D162">
        <f>IFERROR(2*D161+QUOTIENT(C162,$D$121),0)</f>
        <v>0</v>
      </c>
      <c r="E162">
        <f>IFERROR(C162-$D$121*QUOTIENT(C162,$D$121),0)</f>
        <v>0</v>
      </c>
    </row>
    <row r="163" spans="1:6">
      <c r="A163">
        <v>12</v>
      </c>
      <c r="B163">
        <f>IFERROR(QUOTIENT($B$121,2^A163)-2*QUOTIENT($B$121,2^(A163+1)),0)</f>
        <v>0</v>
      </c>
      <c r="C163">
        <f>IFERROR(2*E162+B163*$C$121,0)</f>
        <v>0</v>
      </c>
      <c r="D163">
        <f>IFERROR(2*D162+QUOTIENT(C163,$D$121),0)</f>
        <v>0</v>
      </c>
      <c r="E163">
        <f>IFERROR(C163-$D$121*QUOTIENT(C163,$D$121),0)</f>
        <v>0</v>
      </c>
    </row>
    <row r="164" spans="1:6">
      <c r="A164">
        <v>11</v>
      </c>
      <c r="B164">
        <f>IFERROR(QUOTIENT($B$121,2^A164)-2*QUOTIENT($B$121,2^(A164+1)),0)</f>
        <v>0</v>
      </c>
      <c r="C164">
        <f>IFERROR(2*E163+B164*$C$121,0)</f>
        <v>0</v>
      </c>
      <c r="D164">
        <f>IFERROR(2*D163+QUOTIENT(C164,$D$121),0)</f>
        <v>0</v>
      </c>
      <c r="E164">
        <f>IFERROR(C164-$D$121*QUOTIENT(C164,$D$121),0)</f>
        <v>0</v>
      </c>
    </row>
    <row r="165" spans="1:6">
      <c r="A165">
        <v>10</v>
      </c>
      <c r="B165">
        <f>IFERROR(QUOTIENT($B$121,2^A165)-2*QUOTIENT($B$121,2^(A165+1)),0)</f>
        <v>0</v>
      </c>
      <c r="C165">
        <f>IFERROR(2*E164+B165*$C$121,0)</f>
        <v>0</v>
      </c>
      <c r="D165">
        <f>IFERROR(2*D164+QUOTIENT(C165,$D$121),0)</f>
        <v>0</v>
      </c>
      <c r="E165">
        <f>IFERROR(C165-$D$121*QUOTIENT(C165,$D$121),0)</f>
        <v>0</v>
      </c>
    </row>
    <row r="166" spans="1:6">
      <c r="A166">
        <v>9</v>
      </c>
      <c r="B166">
        <f>IFERROR(QUOTIENT($B$121,2^A166)-2*QUOTIENT($B$121,2^(A166+1)),0)</f>
        <v>0</v>
      </c>
      <c r="C166">
        <f>IFERROR(2*E165+B166*$C$121,0)</f>
        <v>0</v>
      </c>
      <c r="D166">
        <f>IFERROR(2*D165+QUOTIENT(C166,$D$121),0)</f>
        <v>0</v>
      </c>
      <c r="E166">
        <f>IFERROR(C166-$D$121*QUOTIENT(C166,$D$121),0)</f>
        <v>0</v>
      </c>
    </row>
    <row r="167" spans="1:6">
      <c r="A167">
        <v>8</v>
      </c>
      <c r="B167">
        <f>IFERROR(QUOTIENT($B$121,2^A167)-2*QUOTIENT($B$121,2^(A167+1)),0)</f>
        <v>0</v>
      </c>
      <c r="C167">
        <f>IFERROR(2*E166+B167*$C$121,0)</f>
        <v>0</v>
      </c>
      <c r="D167">
        <f>IFERROR(2*D166+QUOTIENT(C167,$D$121),0)</f>
        <v>0</v>
      </c>
      <c r="E167">
        <f>IFERROR(C167-$D$121*QUOTIENT(C167,$D$121),0)</f>
        <v>0</v>
      </c>
    </row>
    <row r="168" spans="1:6">
      <c r="A168">
        <v>7</v>
      </c>
      <c r="B168">
        <f>IFERROR(QUOTIENT($B$121,2^A168)-2*QUOTIENT($B$121,2^(A168+1)),0)</f>
        <v>0</v>
      </c>
      <c r="C168">
        <f>IFERROR(2*E167+B168*$C$121,0)</f>
        <v>0</v>
      </c>
      <c r="D168">
        <f>IFERROR(2*D167+QUOTIENT(C168,$D$121),0)</f>
        <v>0</v>
      </c>
      <c r="E168">
        <f>IFERROR(C168-$D$121*QUOTIENT(C168,$D$121),0)</f>
        <v>0</v>
      </c>
    </row>
    <row r="169" spans="1:6">
      <c r="A169">
        <v>6</v>
      </c>
      <c r="B169">
        <f>IFERROR(QUOTIENT($B$121,2^A169)-2*QUOTIENT($B$121,2^(A169+1)),0)</f>
        <v>0</v>
      </c>
      <c r="C169">
        <f>IFERROR(2*E168+B169*$C$121,0)</f>
        <v>0</v>
      </c>
      <c r="D169">
        <f>IFERROR(2*D168+QUOTIENT(C169,$D$121),0)</f>
        <v>0</v>
      </c>
      <c r="E169">
        <f>IFERROR(C169-$D$121*QUOTIENT(C169,$D$121),0)</f>
        <v>0</v>
      </c>
    </row>
    <row r="170" spans="1:6">
      <c r="A170">
        <v>5</v>
      </c>
      <c r="B170">
        <f>IFERROR(QUOTIENT($B$121,2^A170)-2*QUOTIENT($B$121,2^(A170+1)),0)</f>
        <v>0</v>
      </c>
      <c r="C170">
        <f>IFERROR(2*E169+B170*$C$121,0)</f>
        <v>0</v>
      </c>
      <c r="D170">
        <f>IFERROR(2*D169+QUOTIENT(C170,$D$121),0)</f>
        <v>0</v>
      </c>
      <c r="E170">
        <f>IFERROR(C170-$D$121*QUOTIENT(C170,$D$121),0)</f>
        <v>0</v>
      </c>
    </row>
    <row r="171" spans="1:6">
      <c r="A171">
        <v>4</v>
      </c>
      <c r="B171">
        <f>IFERROR(QUOTIENT($B$121,2^A171)-2*QUOTIENT($B$121,2^(A171+1)),0)</f>
        <v>0</v>
      </c>
      <c r="C171">
        <f>IFERROR(2*E170+B171*$C$121,0)</f>
        <v>0</v>
      </c>
      <c r="D171">
        <f>IFERROR(2*D170+QUOTIENT(C171,$D$121),0)</f>
        <v>0</v>
      </c>
      <c r="E171">
        <f>IFERROR(C171-$D$121*QUOTIENT(C171,$D$121),0)</f>
        <v>0</v>
      </c>
    </row>
    <row r="172" spans="1:6">
      <c r="A172">
        <v>3</v>
      </c>
      <c r="B172">
        <f>IFERROR(QUOTIENT($B$121,2^A172)-2*QUOTIENT($B$121,2^(A172+1)),0)</f>
        <v>0</v>
      </c>
      <c r="C172">
        <f>IFERROR(2*E171+B172*$C$121,0)</f>
        <v>0</v>
      </c>
      <c r="D172">
        <f>IFERROR(2*D171+QUOTIENT(C172,$D$121),0)</f>
        <v>0</v>
      </c>
      <c r="E172">
        <f>IFERROR(C172-$D$121*QUOTIENT(C172,$D$121),0)</f>
        <v>0</v>
      </c>
    </row>
    <row r="173" spans="1:6">
      <c r="A173">
        <v>2</v>
      </c>
      <c r="B173">
        <f>IFERROR(QUOTIENT($B$121,2^A173)-2*QUOTIENT($B$121,2^(A173+1)),0)</f>
        <v>0</v>
      </c>
      <c r="C173">
        <f>IFERROR(2*E172+B173*$C$121,0)</f>
        <v>0</v>
      </c>
      <c r="D173">
        <f>IFERROR(2*D172+QUOTIENT(C173,$D$121),0)</f>
        <v>0</v>
      </c>
      <c r="E173">
        <f>IFERROR(C173-$D$121*QUOTIENT(C173,$D$121),0)</f>
        <v>0</v>
      </c>
    </row>
    <row r="174" spans="1:6">
      <c r="A174">
        <v>1</v>
      </c>
      <c r="B174">
        <f>IFERROR(QUOTIENT($B$121,2^A174)-2*QUOTIENT($B$121,2^(A174+1)),0)</f>
        <v>0</v>
      </c>
      <c r="C174">
        <f>IFERROR(2*E173+B174*$C$121,0)</f>
        <v>0</v>
      </c>
      <c r="D174">
        <f>IFERROR(2*D173+QUOTIENT(C174,$D$121),0)</f>
        <v>0</v>
      </c>
      <c r="E174">
        <f>IFERROR(C174-$D$121*QUOTIENT(C174,$D$121),0)</f>
        <v>0</v>
      </c>
    </row>
    <row r="175" spans="1:6">
      <c r="A175">
        <v>0</v>
      </c>
      <c r="B175">
        <f>IFERROR(QUOTIENT($B$121,2^A175)-2*QUOTIENT($B$121,2^(A175+1)),0)</f>
        <v>0</v>
      </c>
      <c r="C175">
        <f>IFERROR(2*E174+B175*$C$121,0)</f>
        <v>0</v>
      </c>
      <c r="D175">
        <f>IFERROR(2*D174+QUOTIENT(C175,$D$121),0)</f>
        <v>0</v>
      </c>
      <c r="E175">
        <f>IFERROR(C175-$D$121*QUOTIENT(C175,$D$121),0)</f>
        <v>0</v>
      </c>
    </row>
    <row r="176" spans="1:6">
      <c r="A176" t="s">
        <v>556</v>
      </c>
      <c r="B176">
        <f>IFERROR(E121*D175,0)</f>
        <v>0</v>
      </c>
      <c r="C176">
        <f>IFERROR(E175,0)</f>
        <v>0</v>
      </c>
      <c r="D176">
        <f>IFERROR(B176-IF(E121&lt;0,IF(C176=0,0,1),0),0)</f>
        <v>0</v>
      </c>
      <c r="E176">
        <f>IFERROR(IF(E121&lt;0,IF(C176=0,0,D121-C176),C176),0)</f>
        <v>0</v>
      </c>
      <c r="F176" t="b">
        <f>IFERROR(AND(B121&lt;=9007199254740990,C121&lt;=9007199254740990,F121&gt;0,F121&lt;=9007199254740990,2*D121+C121&lt;=9007199254740990,ABS(B176)&lt;=9007199254740990),0)</f>
        <v>1</v>
      </c>
    </row>
    <row r="178" spans="1:8">
      <c r="A178" s="2" t="s">
        <v>549</v>
      </c>
      <c r="B178" s="2" t="s">
        <v>550</v>
      </c>
      <c r="C178" s="2" t="s">
        <v>551</v>
      </c>
      <c r="D178" s="2" t="s">
        <v>552</v>
      </c>
      <c r="E178" s="2" t="s">
        <v>553</v>
      </c>
      <c r="F178" s="2"/>
      <c r="G178" s="2"/>
      <c r="H178" s="2"/>
    </row>
    <row r="179" spans="1:8">
      <c r="A179" t="s">
        <v>621</v>
      </c>
      <c r="B179">
        <f>IFERROR(ABS(m_24),0)</f>
        <v>0</v>
      </c>
      <c r="C179">
        <f>IFERROR(ABS(125),0)</f>
        <v>125</v>
      </c>
      <c r="D179">
        <f>IFERROR(MAX(1,IFERROR(ABS(625),0)),0)</f>
        <v>625</v>
      </c>
      <c r="E179">
        <f>IFERROR(SIGN(m_24)*SIGN(125)*SIGN(625),0)</f>
        <v>0</v>
      </c>
      <c r="F179">
        <f>IFERROR(ABS(625),0)</f>
        <v>625</v>
      </c>
      <c r="G179" t="b">
        <f>IFERROR(F234,0)</f>
        <v>1</v>
      </c>
      <c r="H179" s="4" t="s">
        <v>622</v>
      </c>
    </row>
    <row r="180" spans="1:8">
      <c r="D180">
        <v>0</v>
      </c>
      <c r="E180">
        <v>0</v>
      </c>
    </row>
    <row r="181" spans="1:8">
      <c r="A181">
        <v>52</v>
      </c>
      <c r="B181">
        <f>IFERROR(QUOTIENT($B$179,2^A181)-2*QUOTIENT($B$179,2^(A181+1)),0)</f>
        <v>0</v>
      </c>
      <c r="C181">
        <f>IFERROR(2*E180+B181*$C$179,0)</f>
        <v>0</v>
      </c>
      <c r="D181">
        <f>IFERROR(2*D180+QUOTIENT(C181,$D$179),0)</f>
        <v>0</v>
      </c>
      <c r="E181">
        <f>IFERROR(C181-$D$179*QUOTIENT(C181,$D$179),0)</f>
        <v>0</v>
      </c>
    </row>
    <row r="182" spans="1:8">
      <c r="A182">
        <v>51</v>
      </c>
      <c r="B182">
        <f>IFERROR(QUOTIENT($B$179,2^A182)-2*QUOTIENT($B$179,2^(A182+1)),0)</f>
        <v>0</v>
      </c>
      <c r="C182">
        <f>IFERROR(2*E181+B182*$C$179,0)</f>
        <v>0</v>
      </c>
      <c r="D182">
        <f>IFERROR(2*D181+QUOTIENT(C182,$D$179),0)</f>
        <v>0</v>
      </c>
      <c r="E182">
        <f>IFERROR(C182-$D$179*QUOTIENT(C182,$D$179),0)</f>
        <v>0</v>
      </c>
    </row>
    <row r="183" spans="1:8">
      <c r="A183">
        <v>50</v>
      </c>
      <c r="B183">
        <f>IFERROR(QUOTIENT($B$179,2^A183)-2*QUOTIENT($B$179,2^(A183+1)),0)</f>
        <v>0</v>
      </c>
      <c r="C183">
        <f>IFERROR(2*E182+B183*$C$179,0)</f>
        <v>0</v>
      </c>
      <c r="D183">
        <f>IFERROR(2*D182+QUOTIENT(C183,$D$179),0)</f>
        <v>0</v>
      </c>
      <c r="E183">
        <f>IFERROR(C183-$D$179*QUOTIENT(C183,$D$179),0)</f>
        <v>0</v>
      </c>
    </row>
    <row r="184" spans="1:8">
      <c r="A184">
        <v>49</v>
      </c>
      <c r="B184">
        <f>IFERROR(QUOTIENT($B$179,2^A184)-2*QUOTIENT($B$179,2^(A184+1)),0)</f>
        <v>0</v>
      </c>
      <c r="C184">
        <f>IFERROR(2*E183+B184*$C$179,0)</f>
        <v>0</v>
      </c>
      <c r="D184">
        <f>IFERROR(2*D183+QUOTIENT(C184,$D$179),0)</f>
        <v>0</v>
      </c>
      <c r="E184">
        <f>IFERROR(C184-$D$179*QUOTIENT(C184,$D$179),0)</f>
        <v>0</v>
      </c>
    </row>
    <row r="185" spans="1:8">
      <c r="A185">
        <v>48</v>
      </c>
      <c r="B185">
        <f>IFERROR(QUOTIENT($B$179,2^A185)-2*QUOTIENT($B$179,2^(A185+1)),0)</f>
        <v>0</v>
      </c>
      <c r="C185">
        <f>IFERROR(2*E184+B185*$C$179,0)</f>
        <v>0</v>
      </c>
      <c r="D185">
        <f>IFERROR(2*D184+QUOTIENT(C185,$D$179),0)</f>
        <v>0</v>
      </c>
      <c r="E185">
        <f>IFERROR(C185-$D$179*QUOTIENT(C185,$D$179),0)</f>
        <v>0</v>
      </c>
    </row>
    <row r="186" spans="1:8">
      <c r="A186">
        <v>47</v>
      </c>
      <c r="B186">
        <f>IFERROR(QUOTIENT($B$179,2^A186)-2*QUOTIENT($B$179,2^(A186+1)),0)</f>
        <v>0</v>
      </c>
      <c r="C186">
        <f>IFERROR(2*E185+B186*$C$179,0)</f>
        <v>0</v>
      </c>
      <c r="D186">
        <f>IFERROR(2*D185+QUOTIENT(C186,$D$179),0)</f>
        <v>0</v>
      </c>
      <c r="E186">
        <f>IFERROR(C186-$D$179*QUOTIENT(C186,$D$179),0)</f>
        <v>0</v>
      </c>
    </row>
    <row r="187" spans="1:8">
      <c r="A187">
        <v>46</v>
      </c>
      <c r="B187">
        <f>IFERROR(QUOTIENT($B$179,2^A187)-2*QUOTIENT($B$179,2^(A187+1)),0)</f>
        <v>0</v>
      </c>
      <c r="C187">
        <f>IFERROR(2*E186+B187*$C$179,0)</f>
        <v>0</v>
      </c>
      <c r="D187">
        <f>IFERROR(2*D186+QUOTIENT(C187,$D$179),0)</f>
        <v>0</v>
      </c>
      <c r="E187">
        <f>IFERROR(C187-$D$179*QUOTIENT(C187,$D$179),0)</f>
        <v>0</v>
      </c>
    </row>
    <row r="188" spans="1:8">
      <c r="A188">
        <v>45</v>
      </c>
      <c r="B188">
        <f>IFERROR(QUOTIENT($B$179,2^A188)-2*QUOTIENT($B$179,2^(A188+1)),0)</f>
        <v>0</v>
      </c>
      <c r="C188">
        <f>IFERROR(2*E187+B188*$C$179,0)</f>
        <v>0</v>
      </c>
      <c r="D188">
        <f>IFERROR(2*D187+QUOTIENT(C188,$D$179),0)</f>
        <v>0</v>
      </c>
      <c r="E188">
        <f>IFERROR(C188-$D$179*QUOTIENT(C188,$D$179),0)</f>
        <v>0</v>
      </c>
    </row>
    <row r="189" spans="1:8">
      <c r="A189">
        <v>44</v>
      </c>
      <c r="B189">
        <f>IFERROR(QUOTIENT($B$179,2^A189)-2*QUOTIENT($B$179,2^(A189+1)),0)</f>
        <v>0</v>
      </c>
      <c r="C189">
        <f>IFERROR(2*E188+B189*$C$179,0)</f>
        <v>0</v>
      </c>
      <c r="D189">
        <f>IFERROR(2*D188+QUOTIENT(C189,$D$179),0)</f>
        <v>0</v>
      </c>
      <c r="E189">
        <f>IFERROR(C189-$D$179*QUOTIENT(C189,$D$179),0)</f>
        <v>0</v>
      </c>
    </row>
    <row r="190" spans="1:8">
      <c r="A190">
        <v>43</v>
      </c>
      <c r="B190">
        <f>IFERROR(QUOTIENT($B$179,2^A190)-2*QUOTIENT($B$179,2^(A190+1)),0)</f>
        <v>0</v>
      </c>
      <c r="C190">
        <f>IFERROR(2*E189+B190*$C$179,0)</f>
        <v>0</v>
      </c>
      <c r="D190">
        <f>IFERROR(2*D189+QUOTIENT(C190,$D$179),0)</f>
        <v>0</v>
      </c>
      <c r="E190">
        <f>IFERROR(C190-$D$179*QUOTIENT(C190,$D$179),0)</f>
        <v>0</v>
      </c>
    </row>
    <row r="191" spans="1:8">
      <c r="A191">
        <v>42</v>
      </c>
      <c r="B191">
        <f>IFERROR(QUOTIENT($B$179,2^A191)-2*QUOTIENT($B$179,2^(A191+1)),0)</f>
        <v>0</v>
      </c>
      <c r="C191">
        <f>IFERROR(2*E190+B191*$C$179,0)</f>
        <v>0</v>
      </c>
      <c r="D191">
        <f>IFERROR(2*D190+QUOTIENT(C191,$D$179),0)</f>
        <v>0</v>
      </c>
      <c r="E191">
        <f>IFERROR(C191-$D$179*QUOTIENT(C191,$D$179),0)</f>
        <v>0</v>
      </c>
    </row>
    <row r="192" spans="1:8">
      <c r="A192">
        <v>41</v>
      </c>
      <c r="B192">
        <f>IFERROR(QUOTIENT($B$179,2^A192)-2*QUOTIENT($B$179,2^(A192+1)),0)</f>
        <v>0</v>
      </c>
      <c r="C192">
        <f>IFERROR(2*E191+B192*$C$179,0)</f>
        <v>0</v>
      </c>
      <c r="D192">
        <f>IFERROR(2*D191+QUOTIENT(C192,$D$179),0)</f>
        <v>0</v>
      </c>
      <c r="E192">
        <f>IFERROR(C192-$D$179*QUOTIENT(C192,$D$179),0)</f>
        <v>0</v>
      </c>
    </row>
    <row r="193" spans="1:5">
      <c r="A193">
        <v>40</v>
      </c>
      <c r="B193">
        <f>IFERROR(QUOTIENT($B$179,2^A193)-2*QUOTIENT($B$179,2^(A193+1)),0)</f>
        <v>0</v>
      </c>
      <c r="C193">
        <f>IFERROR(2*E192+B193*$C$179,0)</f>
        <v>0</v>
      </c>
      <c r="D193">
        <f>IFERROR(2*D192+QUOTIENT(C193,$D$179),0)</f>
        <v>0</v>
      </c>
      <c r="E193">
        <f>IFERROR(C193-$D$179*QUOTIENT(C193,$D$179),0)</f>
        <v>0</v>
      </c>
    </row>
    <row r="194" spans="1:5">
      <c r="A194">
        <v>39</v>
      </c>
      <c r="B194">
        <f>IFERROR(QUOTIENT($B$179,2^A194)-2*QUOTIENT($B$179,2^(A194+1)),0)</f>
        <v>0</v>
      </c>
      <c r="C194">
        <f>IFERROR(2*E193+B194*$C$179,0)</f>
        <v>0</v>
      </c>
      <c r="D194">
        <f>IFERROR(2*D193+QUOTIENT(C194,$D$179),0)</f>
        <v>0</v>
      </c>
      <c r="E194">
        <f>IFERROR(C194-$D$179*QUOTIENT(C194,$D$179),0)</f>
        <v>0</v>
      </c>
    </row>
    <row r="195" spans="1:5">
      <c r="A195">
        <v>38</v>
      </c>
      <c r="B195">
        <f>IFERROR(QUOTIENT($B$179,2^A195)-2*QUOTIENT($B$179,2^(A195+1)),0)</f>
        <v>0</v>
      </c>
      <c r="C195">
        <f>IFERROR(2*E194+B195*$C$179,0)</f>
        <v>0</v>
      </c>
      <c r="D195">
        <f>IFERROR(2*D194+QUOTIENT(C195,$D$179),0)</f>
        <v>0</v>
      </c>
      <c r="E195">
        <f>IFERROR(C195-$D$179*QUOTIENT(C195,$D$179),0)</f>
        <v>0</v>
      </c>
    </row>
    <row r="196" spans="1:5">
      <c r="A196">
        <v>37</v>
      </c>
      <c r="B196">
        <f>IFERROR(QUOTIENT($B$179,2^A196)-2*QUOTIENT($B$179,2^(A196+1)),0)</f>
        <v>0</v>
      </c>
      <c r="C196">
        <f>IFERROR(2*E195+B196*$C$179,0)</f>
        <v>0</v>
      </c>
      <c r="D196">
        <f>IFERROR(2*D195+QUOTIENT(C196,$D$179),0)</f>
        <v>0</v>
      </c>
      <c r="E196">
        <f>IFERROR(C196-$D$179*QUOTIENT(C196,$D$179),0)</f>
        <v>0</v>
      </c>
    </row>
    <row r="197" spans="1:5">
      <c r="A197">
        <v>36</v>
      </c>
      <c r="B197">
        <f>IFERROR(QUOTIENT($B$179,2^A197)-2*QUOTIENT($B$179,2^(A197+1)),0)</f>
        <v>0</v>
      </c>
      <c r="C197">
        <f>IFERROR(2*E196+B197*$C$179,0)</f>
        <v>0</v>
      </c>
      <c r="D197">
        <f>IFERROR(2*D196+QUOTIENT(C197,$D$179),0)</f>
        <v>0</v>
      </c>
      <c r="E197">
        <f>IFERROR(C197-$D$179*QUOTIENT(C197,$D$179),0)</f>
        <v>0</v>
      </c>
    </row>
    <row r="198" spans="1:5">
      <c r="A198">
        <v>35</v>
      </c>
      <c r="B198">
        <f>IFERROR(QUOTIENT($B$179,2^A198)-2*QUOTIENT($B$179,2^(A198+1)),0)</f>
        <v>0</v>
      </c>
      <c r="C198">
        <f>IFERROR(2*E197+B198*$C$179,0)</f>
        <v>0</v>
      </c>
      <c r="D198">
        <f>IFERROR(2*D197+QUOTIENT(C198,$D$179),0)</f>
        <v>0</v>
      </c>
      <c r="E198">
        <f>IFERROR(C198-$D$179*QUOTIENT(C198,$D$179),0)</f>
        <v>0</v>
      </c>
    </row>
    <row r="199" spans="1:5">
      <c r="A199">
        <v>34</v>
      </c>
      <c r="B199">
        <f>IFERROR(QUOTIENT($B$179,2^A199)-2*QUOTIENT($B$179,2^(A199+1)),0)</f>
        <v>0</v>
      </c>
      <c r="C199">
        <f>IFERROR(2*E198+B199*$C$179,0)</f>
        <v>0</v>
      </c>
      <c r="D199">
        <f>IFERROR(2*D198+QUOTIENT(C199,$D$179),0)</f>
        <v>0</v>
      </c>
      <c r="E199">
        <f>IFERROR(C199-$D$179*QUOTIENT(C199,$D$179),0)</f>
        <v>0</v>
      </c>
    </row>
    <row r="200" spans="1:5">
      <c r="A200">
        <v>33</v>
      </c>
      <c r="B200">
        <f>IFERROR(QUOTIENT($B$179,2^A200)-2*QUOTIENT($B$179,2^(A200+1)),0)</f>
        <v>0</v>
      </c>
      <c r="C200">
        <f>IFERROR(2*E199+B200*$C$179,0)</f>
        <v>0</v>
      </c>
      <c r="D200">
        <f>IFERROR(2*D199+QUOTIENT(C200,$D$179),0)</f>
        <v>0</v>
      </c>
      <c r="E200">
        <f>IFERROR(C200-$D$179*QUOTIENT(C200,$D$179),0)</f>
        <v>0</v>
      </c>
    </row>
    <row r="201" spans="1:5">
      <c r="A201">
        <v>32</v>
      </c>
      <c r="B201">
        <f>IFERROR(QUOTIENT($B$179,2^A201)-2*QUOTIENT($B$179,2^(A201+1)),0)</f>
        <v>0</v>
      </c>
      <c r="C201">
        <f>IFERROR(2*E200+B201*$C$179,0)</f>
        <v>0</v>
      </c>
      <c r="D201">
        <f>IFERROR(2*D200+QUOTIENT(C201,$D$179),0)</f>
        <v>0</v>
      </c>
      <c r="E201">
        <f>IFERROR(C201-$D$179*QUOTIENT(C201,$D$179),0)</f>
        <v>0</v>
      </c>
    </row>
    <row r="202" spans="1:5">
      <c r="A202">
        <v>31</v>
      </c>
      <c r="B202">
        <f>IFERROR(QUOTIENT($B$179,2^A202)-2*QUOTIENT($B$179,2^(A202+1)),0)</f>
        <v>0</v>
      </c>
      <c r="C202">
        <f>IFERROR(2*E201+B202*$C$179,0)</f>
        <v>0</v>
      </c>
      <c r="D202">
        <f>IFERROR(2*D201+QUOTIENT(C202,$D$179),0)</f>
        <v>0</v>
      </c>
      <c r="E202">
        <f>IFERROR(C202-$D$179*QUOTIENT(C202,$D$179),0)</f>
        <v>0</v>
      </c>
    </row>
    <row r="203" spans="1:5">
      <c r="A203">
        <v>30</v>
      </c>
      <c r="B203">
        <f>IFERROR(QUOTIENT($B$179,2^A203)-2*QUOTIENT($B$179,2^(A203+1)),0)</f>
        <v>0</v>
      </c>
      <c r="C203">
        <f>IFERROR(2*E202+B203*$C$179,0)</f>
        <v>0</v>
      </c>
      <c r="D203">
        <f>IFERROR(2*D202+QUOTIENT(C203,$D$179),0)</f>
        <v>0</v>
      </c>
      <c r="E203">
        <f>IFERROR(C203-$D$179*QUOTIENT(C203,$D$179),0)</f>
        <v>0</v>
      </c>
    </row>
    <row r="204" spans="1:5">
      <c r="A204">
        <v>29</v>
      </c>
      <c r="B204">
        <f>IFERROR(QUOTIENT($B$179,2^A204)-2*QUOTIENT($B$179,2^(A204+1)),0)</f>
        <v>0</v>
      </c>
      <c r="C204">
        <f>IFERROR(2*E203+B204*$C$179,0)</f>
        <v>0</v>
      </c>
      <c r="D204">
        <f>IFERROR(2*D203+QUOTIENT(C204,$D$179),0)</f>
        <v>0</v>
      </c>
      <c r="E204">
        <f>IFERROR(C204-$D$179*QUOTIENT(C204,$D$179),0)</f>
        <v>0</v>
      </c>
    </row>
    <row r="205" spans="1:5">
      <c r="A205">
        <v>28</v>
      </c>
      <c r="B205">
        <f>IFERROR(QUOTIENT($B$179,2^A205)-2*QUOTIENT($B$179,2^(A205+1)),0)</f>
        <v>0</v>
      </c>
      <c r="C205">
        <f>IFERROR(2*E204+B205*$C$179,0)</f>
        <v>0</v>
      </c>
      <c r="D205">
        <f>IFERROR(2*D204+QUOTIENT(C205,$D$179),0)</f>
        <v>0</v>
      </c>
      <c r="E205">
        <f>IFERROR(C205-$D$179*QUOTIENT(C205,$D$179),0)</f>
        <v>0</v>
      </c>
    </row>
    <row r="206" spans="1:5">
      <c r="A206">
        <v>27</v>
      </c>
      <c r="B206">
        <f>IFERROR(QUOTIENT($B$179,2^A206)-2*QUOTIENT($B$179,2^(A206+1)),0)</f>
        <v>0</v>
      </c>
      <c r="C206">
        <f>IFERROR(2*E205+B206*$C$179,0)</f>
        <v>0</v>
      </c>
      <c r="D206">
        <f>IFERROR(2*D205+QUOTIENT(C206,$D$179),0)</f>
        <v>0</v>
      </c>
      <c r="E206">
        <f>IFERROR(C206-$D$179*QUOTIENT(C206,$D$179),0)</f>
        <v>0</v>
      </c>
    </row>
    <row r="207" spans="1:5">
      <c r="A207">
        <v>26</v>
      </c>
      <c r="B207">
        <f>IFERROR(QUOTIENT($B$179,2^A207)-2*QUOTIENT($B$179,2^(A207+1)),0)</f>
        <v>0</v>
      </c>
      <c r="C207">
        <f>IFERROR(2*E206+B207*$C$179,0)</f>
        <v>0</v>
      </c>
      <c r="D207">
        <f>IFERROR(2*D206+QUOTIENT(C207,$D$179),0)</f>
        <v>0</v>
      </c>
      <c r="E207">
        <f>IFERROR(C207-$D$179*QUOTIENT(C207,$D$179),0)</f>
        <v>0</v>
      </c>
    </row>
    <row r="208" spans="1:5">
      <c r="A208">
        <v>25</v>
      </c>
      <c r="B208">
        <f>IFERROR(QUOTIENT($B$179,2^A208)-2*QUOTIENT($B$179,2^(A208+1)),0)</f>
        <v>0</v>
      </c>
      <c r="C208">
        <f>IFERROR(2*E207+B208*$C$179,0)</f>
        <v>0</v>
      </c>
      <c r="D208">
        <f>IFERROR(2*D207+QUOTIENT(C208,$D$179),0)</f>
        <v>0</v>
      </c>
      <c r="E208">
        <f>IFERROR(C208-$D$179*QUOTIENT(C208,$D$179),0)</f>
        <v>0</v>
      </c>
    </row>
    <row r="209" spans="1:5">
      <c r="A209">
        <v>24</v>
      </c>
      <c r="B209">
        <f>IFERROR(QUOTIENT($B$179,2^A209)-2*QUOTIENT($B$179,2^(A209+1)),0)</f>
        <v>0</v>
      </c>
      <c r="C209">
        <f>IFERROR(2*E208+B209*$C$179,0)</f>
        <v>0</v>
      </c>
      <c r="D209">
        <f>IFERROR(2*D208+QUOTIENT(C209,$D$179),0)</f>
        <v>0</v>
      </c>
      <c r="E209">
        <f>IFERROR(C209-$D$179*QUOTIENT(C209,$D$179),0)</f>
        <v>0</v>
      </c>
    </row>
    <row r="210" spans="1:5">
      <c r="A210">
        <v>23</v>
      </c>
      <c r="B210">
        <f>IFERROR(QUOTIENT($B$179,2^A210)-2*QUOTIENT($B$179,2^(A210+1)),0)</f>
        <v>0</v>
      </c>
      <c r="C210">
        <f>IFERROR(2*E209+B210*$C$179,0)</f>
        <v>0</v>
      </c>
      <c r="D210">
        <f>IFERROR(2*D209+QUOTIENT(C210,$D$179),0)</f>
        <v>0</v>
      </c>
      <c r="E210">
        <f>IFERROR(C210-$D$179*QUOTIENT(C210,$D$179),0)</f>
        <v>0</v>
      </c>
    </row>
    <row r="211" spans="1:5">
      <c r="A211">
        <v>22</v>
      </c>
      <c r="B211">
        <f>IFERROR(QUOTIENT($B$179,2^A211)-2*QUOTIENT($B$179,2^(A211+1)),0)</f>
        <v>0</v>
      </c>
      <c r="C211">
        <f>IFERROR(2*E210+B211*$C$179,0)</f>
        <v>0</v>
      </c>
      <c r="D211">
        <f>IFERROR(2*D210+QUOTIENT(C211,$D$179),0)</f>
        <v>0</v>
      </c>
      <c r="E211">
        <f>IFERROR(C211-$D$179*QUOTIENT(C211,$D$179),0)</f>
        <v>0</v>
      </c>
    </row>
    <row r="212" spans="1:5">
      <c r="A212">
        <v>21</v>
      </c>
      <c r="B212">
        <f>IFERROR(QUOTIENT($B$179,2^A212)-2*QUOTIENT($B$179,2^(A212+1)),0)</f>
        <v>0</v>
      </c>
      <c r="C212">
        <f>IFERROR(2*E211+B212*$C$179,0)</f>
        <v>0</v>
      </c>
      <c r="D212">
        <f>IFERROR(2*D211+QUOTIENT(C212,$D$179),0)</f>
        <v>0</v>
      </c>
      <c r="E212">
        <f>IFERROR(C212-$D$179*QUOTIENT(C212,$D$179),0)</f>
        <v>0</v>
      </c>
    </row>
    <row r="213" spans="1:5">
      <c r="A213">
        <v>20</v>
      </c>
      <c r="B213">
        <f>IFERROR(QUOTIENT($B$179,2^A213)-2*QUOTIENT($B$179,2^(A213+1)),0)</f>
        <v>0</v>
      </c>
      <c r="C213">
        <f>IFERROR(2*E212+B213*$C$179,0)</f>
        <v>0</v>
      </c>
      <c r="D213">
        <f>IFERROR(2*D212+QUOTIENT(C213,$D$179),0)</f>
        <v>0</v>
      </c>
      <c r="E213">
        <f>IFERROR(C213-$D$179*QUOTIENT(C213,$D$179),0)</f>
        <v>0</v>
      </c>
    </row>
    <row r="214" spans="1:5">
      <c r="A214">
        <v>19</v>
      </c>
      <c r="B214">
        <f>IFERROR(QUOTIENT($B$179,2^A214)-2*QUOTIENT($B$179,2^(A214+1)),0)</f>
        <v>0</v>
      </c>
      <c r="C214">
        <f>IFERROR(2*E213+B214*$C$179,0)</f>
        <v>0</v>
      </c>
      <c r="D214">
        <f>IFERROR(2*D213+QUOTIENT(C214,$D$179),0)</f>
        <v>0</v>
      </c>
      <c r="E214">
        <f>IFERROR(C214-$D$179*QUOTIENT(C214,$D$179),0)</f>
        <v>0</v>
      </c>
    </row>
    <row r="215" spans="1:5">
      <c r="A215">
        <v>18</v>
      </c>
      <c r="B215">
        <f>IFERROR(QUOTIENT($B$179,2^A215)-2*QUOTIENT($B$179,2^(A215+1)),0)</f>
        <v>0</v>
      </c>
      <c r="C215">
        <f>IFERROR(2*E214+B215*$C$179,0)</f>
        <v>0</v>
      </c>
      <c r="D215">
        <f>IFERROR(2*D214+QUOTIENT(C215,$D$179),0)</f>
        <v>0</v>
      </c>
      <c r="E215">
        <f>IFERROR(C215-$D$179*QUOTIENT(C215,$D$179),0)</f>
        <v>0</v>
      </c>
    </row>
    <row r="216" spans="1:5">
      <c r="A216">
        <v>17</v>
      </c>
      <c r="B216">
        <f>IFERROR(QUOTIENT($B$179,2^A216)-2*QUOTIENT($B$179,2^(A216+1)),0)</f>
        <v>0</v>
      </c>
      <c r="C216">
        <f>IFERROR(2*E215+B216*$C$179,0)</f>
        <v>0</v>
      </c>
      <c r="D216">
        <f>IFERROR(2*D215+QUOTIENT(C216,$D$179),0)</f>
        <v>0</v>
      </c>
      <c r="E216">
        <f>IFERROR(C216-$D$179*QUOTIENT(C216,$D$179),0)</f>
        <v>0</v>
      </c>
    </row>
    <row r="217" spans="1:5">
      <c r="A217">
        <v>16</v>
      </c>
      <c r="B217">
        <f>IFERROR(QUOTIENT($B$179,2^A217)-2*QUOTIENT($B$179,2^(A217+1)),0)</f>
        <v>0</v>
      </c>
      <c r="C217">
        <f>IFERROR(2*E216+B217*$C$179,0)</f>
        <v>0</v>
      </c>
      <c r="D217">
        <f>IFERROR(2*D216+QUOTIENT(C217,$D$179),0)</f>
        <v>0</v>
      </c>
      <c r="E217">
        <f>IFERROR(C217-$D$179*QUOTIENT(C217,$D$179),0)</f>
        <v>0</v>
      </c>
    </row>
    <row r="218" spans="1:5">
      <c r="A218">
        <v>15</v>
      </c>
      <c r="B218">
        <f>IFERROR(QUOTIENT($B$179,2^A218)-2*QUOTIENT($B$179,2^(A218+1)),0)</f>
        <v>0</v>
      </c>
      <c r="C218">
        <f>IFERROR(2*E217+B218*$C$179,0)</f>
        <v>0</v>
      </c>
      <c r="D218">
        <f>IFERROR(2*D217+QUOTIENT(C218,$D$179),0)</f>
        <v>0</v>
      </c>
      <c r="E218">
        <f>IFERROR(C218-$D$179*QUOTIENT(C218,$D$179),0)</f>
        <v>0</v>
      </c>
    </row>
    <row r="219" spans="1:5">
      <c r="A219">
        <v>14</v>
      </c>
      <c r="B219">
        <f>IFERROR(QUOTIENT($B$179,2^A219)-2*QUOTIENT($B$179,2^(A219+1)),0)</f>
        <v>0</v>
      </c>
      <c r="C219">
        <f>IFERROR(2*E218+B219*$C$179,0)</f>
        <v>0</v>
      </c>
      <c r="D219">
        <f>IFERROR(2*D218+QUOTIENT(C219,$D$179),0)</f>
        <v>0</v>
      </c>
      <c r="E219">
        <f>IFERROR(C219-$D$179*QUOTIENT(C219,$D$179),0)</f>
        <v>0</v>
      </c>
    </row>
    <row r="220" spans="1:5">
      <c r="A220">
        <v>13</v>
      </c>
      <c r="B220">
        <f>IFERROR(QUOTIENT($B$179,2^A220)-2*QUOTIENT($B$179,2^(A220+1)),0)</f>
        <v>0</v>
      </c>
      <c r="C220">
        <f>IFERROR(2*E219+B220*$C$179,0)</f>
        <v>0</v>
      </c>
      <c r="D220">
        <f>IFERROR(2*D219+QUOTIENT(C220,$D$179),0)</f>
        <v>0</v>
      </c>
      <c r="E220">
        <f>IFERROR(C220-$D$179*QUOTIENT(C220,$D$179),0)</f>
        <v>0</v>
      </c>
    </row>
    <row r="221" spans="1:5">
      <c r="A221">
        <v>12</v>
      </c>
      <c r="B221">
        <f>IFERROR(QUOTIENT($B$179,2^A221)-2*QUOTIENT($B$179,2^(A221+1)),0)</f>
        <v>0</v>
      </c>
      <c r="C221">
        <f>IFERROR(2*E220+B221*$C$179,0)</f>
        <v>0</v>
      </c>
      <c r="D221">
        <f>IFERROR(2*D220+QUOTIENT(C221,$D$179),0)</f>
        <v>0</v>
      </c>
      <c r="E221">
        <f>IFERROR(C221-$D$179*QUOTIENT(C221,$D$179),0)</f>
        <v>0</v>
      </c>
    </row>
    <row r="222" spans="1:5">
      <c r="A222">
        <v>11</v>
      </c>
      <c r="B222">
        <f>IFERROR(QUOTIENT($B$179,2^A222)-2*QUOTIENT($B$179,2^(A222+1)),0)</f>
        <v>0</v>
      </c>
      <c r="C222">
        <f>IFERROR(2*E221+B222*$C$179,0)</f>
        <v>0</v>
      </c>
      <c r="D222">
        <f>IFERROR(2*D221+QUOTIENT(C222,$D$179),0)</f>
        <v>0</v>
      </c>
      <c r="E222">
        <f>IFERROR(C222-$D$179*QUOTIENT(C222,$D$179),0)</f>
        <v>0</v>
      </c>
    </row>
    <row r="223" spans="1:5">
      <c r="A223">
        <v>10</v>
      </c>
      <c r="B223">
        <f>IFERROR(QUOTIENT($B$179,2^A223)-2*QUOTIENT($B$179,2^(A223+1)),0)</f>
        <v>0</v>
      </c>
      <c r="C223">
        <f>IFERROR(2*E222+B223*$C$179,0)</f>
        <v>0</v>
      </c>
      <c r="D223">
        <f>IFERROR(2*D222+QUOTIENT(C223,$D$179),0)</f>
        <v>0</v>
      </c>
      <c r="E223">
        <f>IFERROR(C223-$D$179*QUOTIENT(C223,$D$179),0)</f>
        <v>0</v>
      </c>
    </row>
    <row r="224" spans="1:5">
      <c r="A224">
        <v>9</v>
      </c>
      <c r="B224">
        <f>IFERROR(QUOTIENT($B$179,2^A224)-2*QUOTIENT($B$179,2^(A224+1)),0)</f>
        <v>0</v>
      </c>
      <c r="C224">
        <f>IFERROR(2*E223+B224*$C$179,0)</f>
        <v>0</v>
      </c>
      <c r="D224">
        <f>IFERROR(2*D223+QUOTIENT(C224,$D$179),0)</f>
        <v>0</v>
      </c>
      <c r="E224">
        <f>IFERROR(C224-$D$179*QUOTIENT(C224,$D$179),0)</f>
        <v>0</v>
      </c>
    </row>
    <row r="225" spans="1:8">
      <c r="A225">
        <v>8</v>
      </c>
      <c r="B225">
        <f>IFERROR(QUOTIENT($B$179,2^A225)-2*QUOTIENT($B$179,2^(A225+1)),0)</f>
        <v>0</v>
      </c>
      <c r="C225">
        <f>IFERROR(2*E224+B225*$C$179,0)</f>
        <v>0</v>
      </c>
      <c r="D225">
        <f>IFERROR(2*D224+QUOTIENT(C225,$D$179),0)</f>
        <v>0</v>
      </c>
      <c r="E225">
        <f>IFERROR(C225-$D$179*QUOTIENT(C225,$D$179),0)</f>
        <v>0</v>
      </c>
    </row>
    <row r="226" spans="1:8">
      <c r="A226">
        <v>7</v>
      </c>
      <c r="B226">
        <f>IFERROR(QUOTIENT($B$179,2^A226)-2*QUOTIENT($B$179,2^(A226+1)),0)</f>
        <v>0</v>
      </c>
      <c r="C226">
        <f>IFERROR(2*E225+B226*$C$179,0)</f>
        <v>0</v>
      </c>
      <c r="D226">
        <f>IFERROR(2*D225+QUOTIENT(C226,$D$179),0)</f>
        <v>0</v>
      </c>
      <c r="E226">
        <f>IFERROR(C226-$D$179*QUOTIENT(C226,$D$179),0)</f>
        <v>0</v>
      </c>
    </row>
    <row r="227" spans="1:8">
      <c r="A227">
        <v>6</v>
      </c>
      <c r="B227">
        <f>IFERROR(QUOTIENT($B$179,2^A227)-2*QUOTIENT($B$179,2^(A227+1)),0)</f>
        <v>0</v>
      </c>
      <c r="C227">
        <f>IFERROR(2*E226+B227*$C$179,0)</f>
        <v>0</v>
      </c>
      <c r="D227">
        <f>IFERROR(2*D226+QUOTIENT(C227,$D$179),0)</f>
        <v>0</v>
      </c>
      <c r="E227">
        <f>IFERROR(C227-$D$179*QUOTIENT(C227,$D$179),0)</f>
        <v>0</v>
      </c>
    </row>
    <row r="228" spans="1:8">
      <c r="A228">
        <v>5</v>
      </c>
      <c r="B228">
        <f>IFERROR(QUOTIENT($B$179,2^A228)-2*QUOTIENT($B$179,2^(A228+1)),0)</f>
        <v>0</v>
      </c>
      <c r="C228">
        <f>IFERROR(2*E227+B228*$C$179,0)</f>
        <v>0</v>
      </c>
      <c r="D228">
        <f>IFERROR(2*D227+QUOTIENT(C228,$D$179),0)</f>
        <v>0</v>
      </c>
      <c r="E228">
        <f>IFERROR(C228-$D$179*QUOTIENT(C228,$D$179),0)</f>
        <v>0</v>
      </c>
    </row>
    <row r="229" spans="1:8">
      <c r="A229">
        <v>4</v>
      </c>
      <c r="B229">
        <f>IFERROR(QUOTIENT($B$179,2^A229)-2*QUOTIENT($B$179,2^(A229+1)),0)</f>
        <v>0</v>
      </c>
      <c r="C229">
        <f>IFERROR(2*E228+B229*$C$179,0)</f>
        <v>0</v>
      </c>
      <c r="D229">
        <f>IFERROR(2*D228+QUOTIENT(C229,$D$179),0)</f>
        <v>0</v>
      </c>
      <c r="E229">
        <f>IFERROR(C229-$D$179*QUOTIENT(C229,$D$179),0)</f>
        <v>0</v>
      </c>
    </row>
    <row r="230" spans="1:8">
      <c r="A230">
        <v>3</v>
      </c>
      <c r="B230">
        <f>IFERROR(QUOTIENT($B$179,2^A230)-2*QUOTIENT($B$179,2^(A230+1)),0)</f>
        <v>0</v>
      </c>
      <c r="C230">
        <f>IFERROR(2*E229+B230*$C$179,0)</f>
        <v>0</v>
      </c>
      <c r="D230">
        <f>IFERROR(2*D229+QUOTIENT(C230,$D$179),0)</f>
        <v>0</v>
      </c>
      <c r="E230">
        <f>IFERROR(C230-$D$179*QUOTIENT(C230,$D$179),0)</f>
        <v>0</v>
      </c>
    </row>
    <row r="231" spans="1:8">
      <c r="A231">
        <v>2</v>
      </c>
      <c r="B231">
        <f>IFERROR(QUOTIENT($B$179,2^A231)-2*QUOTIENT($B$179,2^(A231+1)),0)</f>
        <v>0</v>
      </c>
      <c r="C231">
        <f>IFERROR(2*E230+B231*$C$179,0)</f>
        <v>0</v>
      </c>
      <c r="D231">
        <f>IFERROR(2*D230+QUOTIENT(C231,$D$179),0)</f>
        <v>0</v>
      </c>
      <c r="E231">
        <f>IFERROR(C231-$D$179*QUOTIENT(C231,$D$179),0)</f>
        <v>0</v>
      </c>
    </row>
    <row r="232" spans="1:8">
      <c r="A232">
        <v>1</v>
      </c>
      <c r="B232">
        <f>IFERROR(QUOTIENT($B$179,2^A232)-2*QUOTIENT($B$179,2^(A232+1)),0)</f>
        <v>0</v>
      </c>
      <c r="C232">
        <f>IFERROR(2*E231+B232*$C$179,0)</f>
        <v>0</v>
      </c>
      <c r="D232">
        <f>IFERROR(2*D231+QUOTIENT(C232,$D$179),0)</f>
        <v>0</v>
      </c>
      <c r="E232">
        <f>IFERROR(C232-$D$179*QUOTIENT(C232,$D$179),0)</f>
        <v>0</v>
      </c>
    </row>
    <row r="233" spans="1:8">
      <c r="A233">
        <v>0</v>
      </c>
      <c r="B233">
        <f>IFERROR(QUOTIENT($B$179,2^A233)-2*QUOTIENT($B$179,2^(A233+1)),0)</f>
        <v>0</v>
      </c>
      <c r="C233">
        <f>IFERROR(2*E232+B233*$C$179,0)</f>
        <v>0</v>
      </c>
      <c r="D233">
        <f>IFERROR(2*D232+QUOTIENT(C233,$D$179),0)</f>
        <v>0</v>
      </c>
      <c r="E233">
        <f>IFERROR(C233-$D$179*QUOTIENT(C233,$D$179),0)</f>
        <v>0</v>
      </c>
    </row>
    <row r="234" spans="1:8">
      <c r="A234" t="s">
        <v>556</v>
      </c>
      <c r="B234">
        <f>IFERROR(E179*D233,0)</f>
        <v>0</v>
      </c>
      <c r="C234">
        <f>IFERROR(E233,0)</f>
        <v>0</v>
      </c>
      <c r="D234">
        <f>IFERROR(B234-IF(E179&lt;0,IF(C234=0,0,1),0),0)</f>
        <v>0</v>
      </c>
      <c r="E234">
        <f>IFERROR(IF(E179&lt;0,IF(C234=0,0,D179-C234),C234),0)</f>
        <v>0</v>
      </c>
      <c r="F234" t="b">
        <f>IFERROR(AND(B179&lt;=9007199254740990,C179&lt;=9007199254740990,F179&gt;0,F179&lt;=9007199254740990,2*D179+C179&lt;=9007199254740990,ABS(B234)&lt;=9007199254740990),0)</f>
        <v>1</v>
      </c>
    </row>
    <row r="236" spans="1:8">
      <c r="A236" s="2" t="s">
        <v>549</v>
      </c>
      <c r="B236" s="2" t="s">
        <v>550</v>
      </c>
      <c r="C236" s="2" t="s">
        <v>551</v>
      </c>
      <c r="D236" s="2" t="s">
        <v>552</v>
      </c>
      <c r="E236" s="2" t="s">
        <v>553</v>
      </c>
      <c r="F236" s="2"/>
      <c r="G236" s="2"/>
      <c r="H236" s="2"/>
    </row>
    <row r="237" spans="1:8">
      <c r="A237" t="s">
        <v>623</v>
      </c>
      <c r="B237">
        <f>IFERROR(ABS((inp_b1_11+inp_b1_17-inp_b6_2_f6_7_total)),0)</f>
        <v>0</v>
      </c>
      <c r="C237">
        <f>IFERROR(ABS(13),0)</f>
        <v>13</v>
      </c>
      <c r="D237">
        <f>IFERROR(MAX(1,IFERROR(ABS(625),0)),0)</f>
        <v>625</v>
      </c>
      <c r="E237">
        <f>IFERROR(SIGN((inp_b1_11+inp_b1_17-inp_b6_2_f6_7_total))*SIGN(13)*SIGN(625),0)</f>
        <v>0</v>
      </c>
      <c r="F237">
        <f>IFERROR(ABS(625),0)</f>
        <v>625</v>
      </c>
      <c r="G237" t="b">
        <f>IFERROR(F292,0)</f>
        <v>1</v>
      </c>
      <c r="H237" s="4" t="s">
        <v>624</v>
      </c>
    </row>
    <row r="238" spans="1:8">
      <c r="D238">
        <v>0</v>
      </c>
      <c r="E238">
        <v>0</v>
      </c>
    </row>
    <row r="239" spans="1:8">
      <c r="A239">
        <v>52</v>
      </c>
      <c r="B239">
        <f>IFERROR(QUOTIENT($B$237,2^A239)-2*QUOTIENT($B$237,2^(A239+1)),0)</f>
        <v>0</v>
      </c>
      <c r="C239">
        <f>IFERROR(2*E238+B239*$C$237,0)</f>
        <v>0</v>
      </c>
      <c r="D239">
        <f>IFERROR(2*D238+QUOTIENT(C239,$D$237),0)</f>
        <v>0</v>
      </c>
      <c r="E239">
        <f>IFERROR(C239-$D$237*QUOTIENT(C239,$D$237),0)</f>
        <v>0</v>
      </c>
    </row>
    <row r="240" spans="1:8">
      <c r="A240">
        <v>51</v>
      </c>
      <c r="B240">
        <f>IFERROR(QUOTIENT($B$237,2^A240)-2*QUOTIENT($B$237,2^(A240+1)),0)</f>
        <v>0</v>
      </c>
      <c r="C240">
        <f>IFERROR(2*E239+B240*$C$237,0)</f>
        <v>0</v>
      </c>
      <c r="D240">
        <f>IFERROR(2*D239+QUOTIENT(C240,$D$237),0)</f>
        <v>0</v>
      </c>
      <c r="E240">
        <f>IFERROR(C240-$D$237*QUOTIENT(C240,$D$237),0)</f>
        <v>0</v>
      </c>
    </row>
    <row r="241" spans="1:5">
      <c r="A241">
        <v>50</v>
      </c>
      <c r="B241">
        <f>IFERROR(QUOTIENT($B$237,2^A241)-2*QUOTIENT($B$237,2^(A241+1)),0)</f>
        <v>0</v>
      </c>
      <c r="C241">
        <f>IFERROR(2*E240+B241*$C$237,0)</f>
        <v>0</v>
      </c>
      <c r="D241">
        <f>IFERROR(2*D240+QUOTIENT(C241,$D$237),0)</f>
        <v>0</v>
      </c>
      <c r="E241">
        <f>IFERROR(C241-$D$237*QUOTIENT(C241,$D$237),0)</f>
        <v>0</v>
      </c>
    </row>
    <row r="242" spans="1:5">
      <c r="A242">
        <v>49</v>
      </c>
      <c r="B242">
        <f>IFERROR(QUOTIENT($B$237,2^A242)-2*QUOTIENT($B$237,2^(A242+1)),0)</f>
        <v>0</v>
      </c>
      <c r="C242">
        <f>IFERROR(2*E241+B242*$C$237,0)</f>
        <v>0</v>
      </c>
      <c r="D242">
        <f>IFERROR(2*D241+QUOTIENT(C242,$D$237),0)</f>
        <v>0</v>
      </c>
      <c r="E242">
        <f>IFERROR(C242-$D$237*QUOTIENT(C242,$D$237),0)</f>
        <v>0</v>
      </c>
    </row>
    <row r="243" spans="1:5">
      <c r="A243">
        <v>48</v>
      </c>
      <c r="B243">
        <f>IFERROR(QUOTIENT($B$237,2^A243)-2*QUOTIENT($B$237,2^(A243+1)),0)</f>
        <v>0</v>
      </c>
      <c r="C243">
        <f>IFERROR(2*E242+B243*$C$237,0)</f>
        <v>0</v>
      </c>
      <c r="D243">
        <f>IFERROR(2*D242+QUOTIENT(C243,$D$237),0)</f>
        <v>0</v>
      </c>
      <c r="E243">
        <f>IFERROR(C243-$D$237*QUOTIENT(C243,$D$237),0)</f>
        <v>0</v>
      </c>
    </row>
    <row r="244" spans="1:5">
      <c r="A244">
        <v>47</v>
      </c>
      <c r="B244">
        <f>IFERROR(QUOTIENT($B$237,2^A244)-2*QUOTIENT($B$237,2^(A244+1)),0)</f>
        <v>0</v>
      </c>
      <c r="C244">
        <f>IFERROR(2*E243+B244*$C$237,0)</f>
        <v>0</v>
      </c>
      <c r="D244">
        <f>IFERROR(2*D243+QUOTIENT(C244,$D$237),0)</f>
        <v>0</v>
      </c>
      <c r="E244">
        <f>IFERROR(C244-$D$237*QUOTIENT(C244,$D$237),0)</f>
        <v>0</v>
      </c>
    </row>
    <row r="245" spans="1:5">
      <c r="A245">
        <v>46</v>
      </c>
      <c r="B245">
        <f>IFERROR(QUOTIENT($B$237,2^A245)-2*QUOTIENT($B$237,2^(A245+1)),0)</f>
        <v>0</v>
      </c>
      <c r="C245">
        <f>IFERROR(2*E244+B245*$C$237,0)</f>
        <v>0</v>
      </c>
      <c r="D245">
        <f>IFERROR(2*D244+QUOTIENT(C245,$D$237),0)</f>
        <v>0</v>
      </c>
      <c r="E245">
        <f>IFERROR(C245-$D$237*QUOTIENT(C245,$D$237),0)</f>
        <v>0</v>
      </c>
    </row>
    <row r="246" spans="1:5">
      <c r="A246">
        <v>45</v>
      </c>
      <c r="B246">
        <f>IFERROR(QUOTIENT($B$237,2^A246)-2*QUOTIENT($B$237,2^(A246+1)),0)</f>
        <v>0</v>
      </c>
      <c r="C246">
        <f>IFERROR(2*E245+B246*$C$237,0)</f>
        <v>0</v>
      </c>
      <c r="D246">
        <f>IFERROR(2*D245+QUOTIENT(C246,$D$237),0)</f>
        <v>0</v>
      </c>
      <c r="E246">
        <f>IFERROR(C246-$D$237*QUOTIENT(C246,$D$237),0)</f>
        <v>0</v>
      </c>
    </row>
    <row r="247" spans="1:5">
      <c r="A247">
        <v>44</v>
      </c>
      <c r="B247">
        <f>IFERROR(QUOTIENT($B$237,2^A247)-2*QUOTIENT($B$237,2^(A247+1)),0)</f>
        <v>0</v>
      </c>
      <c r="C247">
        <f>IFERROR(2*E246+B247*$C$237,0)</f>
        <v>0</v>
      </c>
      <c r="D247">
        <f>IFERROR(2*D246+QUOTIENT(C247,$D$237),0)</f>
        <v>0</v>
      </c>
      <c r="E247">
        <f>IFERROR(C247-$D$237*QUOTIENT(C247,$D$237),0)</f>
        <v>0</v>
      </c>
    </row>
    <row r="248" spans="1:5">
      <c r="A248">
        <v>43</v>
      </c>
      <c r="B248">
        <f>IFERROR(QUOTIENT($B$237,2^A248)-2*QUOTIENT($B$237,2^(A248+1)),0)</f>
        <v>0</v>
      </c>
      <c r="C248">
        <f>IFERROR(2*E247+B248*$C$237,0)</f>
        <v>0</v>
      </c>
      <c r="D248">
        <f>IFERROR(2*D247+QUOTIENT(C248,$D$237),0)</f>
        <v>0</v>
      </c>
      <c r="E248">
        <f>IFERROR(C248-$D$237*QUOTIENT(C248,$D$237),0)</f>
        <v>0</v>
      </c>
    </row>
    <row r="249" spans="1:5">
      <c r="A249">
        <v>42</v>
      </c>
      <c r="B249">
        <f>IFERROR(QUOTIENT($B$237,2^A249)-2*QUOTIENT($B$237,2^(A249+1)),0)</f>
        <v>0</v>
      </c>
      <c r="C249">
        <f>IFERROR(2*E248+B249*$C$237,0)</f>
        <v>0</v>
      </c>
      <c r="D249">
        <f>IFERROR(2*D248+QUOTIENT(C249,$D$237),0)</f>
        <v>0</v>
      </c>
      <c r="E249">
        <f>IFERROR(C249-$D$237*QUOTIENT(C249,$D$237),0)</f>
        <v>0</v>
      </c>
    </row>
    <row r="250" spans="1:5">
      <c r="A250">
        <v>41</v>
      </c>
      <c r="B250">
        <f>IFERROR(QUOTIENT($B$237,2^A250)-2*QUOTIENT($B$237,2^(A250+1)),0)</f>
        <v>0</v>
      </c>
      <c r="C250">
        <f>IFERROR(2*E249+B250*$C$237,0)</f>
        <v>0</v>
      </c>
      <c r="D250">
        <f>IFERROR(2*D249+QUOTIENT(C250,$D$237),0)</f>
        <v>0</v>
      </c>
      <c r="E250">
        <f>IFERROR(C250-$D$237*QUOTIENT(C250,$D$237),0)</f>
        <v>0</v>
      </c>
    </row>
    <row r="251" spans="1:5">
      <c r="A251">
        <v>40</v>
      </c>
      <c r="B251">
        <f>IFERROR(QUOTIENT($B$237,2^A251)-2*QUOTIENT($B$237,2^(A251+1)),0)</f>
        <v>0</v>
      </c>
      <c r="C251">
        <f>IFERROR(2*E250+B251*$C$237,0)</f>
        <v>0</v>
      </c>
      <c r="D251">
        <f>IFERROR(2*D250+QUOTIENT(C251,$D$237),0)</f>
        <v>0</v>
      </c>
      <c r="E251">
        <f>IFERROR(C251-$D$237*QUOTIENT(C251,$D$237),0)</f>
        <v>0</v>
      </c>
    </row>
    <row r="252" spans="1:5">
      <c r="A252">
        <v>39</v>
      </c>
      <c r="B252">
        <f>IFERROR(QUOTIENT($B$237,2^A252)-2*QUOTIENT($B$237,2^(A252+1)),0)</f>
        <v>0</v>
      </c>
      <c r="C252">
        <f>IFERROR(2*E251+B252*$C$237,0)</f>
        <v>0</v>
      </c>
      <c r="D252">
        <f>IFERROR(2*D251+QUOTIENT(C252,$D$237),0)</f>
        <v>0</v>
      </c>
      <c r="E252">
        <f>IFERROR(C252-$D$237*QUOTIENT(C252,$D$237),0)</f>
        <v>0</v>
      </c>
    </row>
    <row r="253" spans="1:5">
      <c r="A253">
        <v>38</v>
      </c>
      <c r="B253">
        <f>IFERROR(QUOTIENT($B$237,2^A253)-2*QUOTIENT($B$237,2^(A253+1)),0)</f>
        <v>0</v>
      </c>
      <c r="C253">
        <f>IFERROR(2*E252+B253*$C$237,0)</f>
        <v>0</v>
      </c>
      <c r="D253">
        <f>IFERROR(2*D252+QUOTIENT(C253,$D$237),0)</f>
        <v>0</v>
      </c>
      <c r="E253">
        <f>IFERROR(C253-$D$237*QUOTIENT(C253,$D$237),0)</f>
        <v>0</v>
      </c>
    </row>
    <row r="254" spans="1:5">
      <c r="A254">
        <v>37</v>
      </c>
      <c r="B254">
        <f>IFERROR(QUOTIENT($B$237,2^A254)-2*QUOTIENT($B$237,2^(A254+1)),0)</f>
        <v>0</v>
      </c>
      <c r="C254">
        <f>IFERROR(2*E253+B254*$C$237,0)</f>
        <v>0</v>
      </c>
      <c r="D254">
        <f>IFERROR(2*D253+QUOTIENT(C254,$D$237),0)</f>
        <v>0</v>
      </c>
      <c r="E254">
        <f>IFERROR(C254-$D$237*QUOTIENT(C254,$D$237),0)</f>
        <v>0</v>
      </c>
    </row>
    <row r="255" spans="1:5">
      <c r="A255">
        <v>36</v>
      </c>
      <c r="B255">
        <f>IFERROR(QUOTIENT($B$237,2^A255)-2*QUOTIENT($B$237,2^(A255+1)),0)</f>
        <v>0</v>
      </c>
      <c r="C255">
        <f>IFERROR(2*E254+B255*$C$237,0)</f>
        <v>0</v>
      </c>
      <c r="D255">
        <f>IFERROR(2*D254+QUOTIENT(C255,$D$237),0)</f>
        <v>0</v>
      </c>
      <c r="E255">
        <f>IFERROR(C255-$D$237*QUOTIENT(C255,$D$237),0)</f>
        <v>0</v>
      </c>
    </row>
    <row r="256" spans="1:5">
      <c r="A256">
        <v>35</v>
      </c>
      <c r="B256">
        <f>IFERROR(QUOTIENT($B$237,2^A256)-2*QUOTIENT($B$237,2^(A256+1)),0)</f>
        <v>0</v>
      </c>
      <c r="C256">
        <f>IFERROR(2*E255+B256*$C$237,0)</f>
        <v>0</v>
      </c>
      <c r="D256">
        <f>IFERROR(2*D255+QUOTIENT(C256,$D$237),0)</f>
        <v>0</v>
      </c>
      <c r="E256">
        <f>IFERROR(C256-$D$237*QUOTIENT(C256,$D$237),0)</f>
        <v>0</v>
      </c>
    </row>
    <row r="257" spans="1:5">
      <c r="A257">
        <v>34</v>
      </c>
      <c r="B257">
        <f>IFERROR(QUOTIENT($B$237,2^A257)-2*QUOTIENT($B$237,2^(A257+1)),0)</f>
        <v>0</v>
      </c>
      <c r="C257">
        <f>IFERROR(2*E256+B257*$C$237,0)</f>
        <v>0</v>
      </c>
      <c r="D257">
        <f>IFERROR(2*D256+QUOTIENT(C257,$D$237),0)</f>
        <v>0</v>
      </c>
      <c r="E257">
        <f>IFERROR(C257-$D$237*QUOTIENT(C257,$D$237),0)</f>
        <v>0</v>
      </c>
    </row>
    <row r="258" spans="1:5">
      <c r="A258">
        <v>33</v>
      </c>
      <c r="B258">
        <f>IFERROR(QUOTIENT($B$237,2^A258)-2*QUOTIENT($B$237,2^(A258+1)),0)</f>
        <v>0</v>
      </c>
      <c r="C258">
        <f>IFERROR(2*E257+B258*$C$237,0)</f>
        <v>0</v>
      </c>
      <c r="D258">
        <f>IFERROR(2*D257+QUOTIENT(C258,$D$237),0)</f>
        <v>0</v>
      </c>
      <c r="E258">
        <f>IFERROR(C258-$D$237*QUOTIENT(C258,$D$237),0)</f>
        <v>0</v>
      </c>
    </row>
    <row r="259" spans="1:5">
      <c r="A259">
        <v>32</v>
      </c>
      <c r="B259">
        <f>IFERROR(QUOTIENT($B$237,2^A259)-2*QUOTIENT($B$237,2^(A259+1)),0)</f>
        <v>0</v>
      </c>
      <c r="C259">
        <f>IFERROR(2*E258+B259*$C$237,0)</f>
        <v>0</v>
      </c>
      <c r="D259">
        <f>IFERROR(2*D258+QUOTIENT(C259,$D$237),0)</f>
        <v>0</v>
      </c>
      <c r="E259">
        <f>IFERROR(C259-$D$237*QUOTIENT(C259,$D$237),0)</f>
        <v>0</v>
      </c>
    </row>
    <row r="260" spans="1:5">
      <c r="A260">
        <v>31</v>
      </c>
      <c r="B260">
        <f>IFERROR(QUOTIENT($B$237,2^A260)-2*QUOTIENT($B$237,2^(A260+1)),0)</f>
        <v>0</v>
      </c>
      <c r="C260">
        <f>IFERROR(2*E259+B260*$C$237,0)</f>
        <v>0</v>
      </c>
      <c r="D260">
        <f>IFERROR(2*D259+QUOTIENT(C260,$D$237),0)</f>
        <v>0</v>
      </c>
      <c r="E260">
        <f>IFERROR(C260-$D$237*QUOTIENT(C260,$D$237),0)</f>
        <v>0</v>
      </c>
    </row>
    <row r="261" spans="1:5">
      <c r="A261">
        <v>30</v>
      </c>
      <c r="B261">
        <f>IFERROR(QUOTIENT($B$237,2^A261)-2*QUOTIENT($B$237,2^(A261+1)),0)</f>
        <v>0</v>
      </c>
      <c r="C261">
        <f>IFERROR(2*E260+B261*$C$237,0)</f>
        <v>0</v>
      </c>
      <c r="D261">
        <f>IFERROR(2*D260+QUOTIENT(C261,$D$237),0)</f>
        <v>0</v>
      </c>
      <c r="E261">
        <f>IFERROR(C261-$D$237*QUOTIENT(C261,$D$237),0)</f>
        <v>0</v>
      </c>
    </row>
    <row r="262" spans="1:5">
      <c r="A262">
        <v>29</v>
      </c>
      <c r="B262">
        <f>IFERROR(QUOTIENT($B$237,2^A262)-2*QUOTIENT($B$237,2^(A262+1)),0)</f>
        <v>0</v>
      </c>
      <c r="C262">
        <f>IFERROR(2*E261+B262*$C$237,0)</f>
        <v>0</v>
      </c>
      <c r="D262">
        <f>IFERROR(2*D261+QUOTIENT(C262,$D$237),0)</f>
        <v>0</v>
      </c>
      <c r="E262">
        <f>IFERROR(C262-$D$237*QUOTIENT(C262,$D$237),0)</f>
        <v>0</v>
      </c>
    </row>
    <row r="263" spans="1:5">
      <c r="A263">
        <v>28</v>
      </c>
      <c r="B263">
        <f>IFERROR(QUOTIENT($B$237,2^A263)-2*QUOTIENT($B$237,2^(A263+1)),0)</f>
        <v>0</v>
      </c>
      <c r="C263">
        <f>IFERROR(2*E262+B263*$C$237,0)</f>
        <v>0</v>
      </c>
      <c r="D263">
        <f>IFERROR(2*D262+QUOTIENT(C263,$D$237),0)</f>
        <v>0</v>
      </c>
      <c r="E263">
        <f>IFERROR(C263-$D$237*QUOTIENT(C263,$D$237),0)</f>
        <v>0</v>
      </c>
    </row>
    <row r="264" spans="1:5">
      <c r="A264">
        <v>27</v>
      </c>
      <c r="B264">
        <f>IFERROR(QUOTIENT($B$237,2^A264)-2*QUOTIENT($B$237,2^(A264+1)),0)</f>
        <v>0</v>
      </c>
      <c r="C264">
        <f>IFERROR(2*E263+B264*$C$237,0)</f>
        <v>0</v>
      </c>
      <c r="D264">
        <f>IFERROR(2*D263+QUOTIENT(C264,$D$237),0)</f>
        <v>0</v>
      </c>
      <c r="E264">
        <f>IFERROR(C264-$D$237*QUOTIENT(C264,$D$237),0)</f>
        <v>0</v>
      </c>
    </row>
    <row r="265" spans="1:5">
      <c r="A265">
        <v>26</v>
      </c>
      <c r="B265">
        <f>IFERROR(QUOTIENT($B$237,2^A265)-2*QUOTIENT($B$237,2^(A265+1)),0)</f>
        <v>0</v>
      </c>
      <c r="C265">
        <f>IFERROR(2*E264+B265*$C$237,0)</f>
        <v>0</v>
      </c>
      <c r="D265">
        <f>IFERROR(2*D264+QUOTIENT(C265,$D$237),0)</f>
        <v>0</v>
      </c>
      <c r="E265">
        <f>IFERROR(C265-$D$237*QUOTIENT(C265,$D$237),0)</f>
        <v>0</v>
      </c>
    </row>
    <row r="266" spans="1:5">
      <c r="A266">
        <v>25</v>
      </c>
      <c r="B266">
        <f>IFERROR(QUOTIENT($B$237,2^A266)-2*QUOTIENT($B$237,2^(A266+1)),0)</f>
        <v>0</v>
      </c>
      <c r="C266">
        <f>IFERROR(2*E265+B266*$C$237,0)</f>
        <v>0</v>
      </c>
      <c r="D266">
        <f>IFERROR(2*D265+QUOTIENT(C266,$D$237),0)</f>
        <v>0</v>
      </c>
      <c r="E266">
        <f>IFERROR(C266-$D$237*QUOTIENT(C266,$D$237),0)</f>
        <v>0</v>
      </c>
    </row>
    <row r="267" spans="1:5">
      <c r="A267">
        <v>24</v>
      </c>
      <c r="B267">
        <f>IFERROR(QUOTIENT($B$237,2^A267)-2*QUOTIENT($B$237,2^(A267+1)),0)</f>
        <v>0</v>
      </c>
      <c r="C267">
        <f>IFERROR(2*E266+B267*$C$237,0)</f>
        <v>0</v>
      </c>
      <c r="D267">
        <f>IFERROR(2*D266+QUOTIENT(C267,$D$237),0)</f>
        <v>0</v>
      </c>
      <c r="E267">
        <f>IFERROR(C267-$D$237*QUOTIENT(C267,$D$237),0)</f>
        <v>0</v>
      </c>
    </row>
    <row r="268" spans="1:5">
      <c r="A268">
        <v>23</v>
      </c>
      <c r="B268">
        <f>IFERROR(QUOTIENT($B$237,2^A268)-2*QUOTIENT($B$237,2^(A268+1)),0)</f>
        <v>0</v>
      </c>
      <c r="C268">
        <f>IFERROR(2*E267+B268*$C$237,0)</f>
        <v>0</v>
      </c>
      <c r="D268">
        <f>IFERROR(2*D267+QUOTIENT(C268,$D$237),0)</f>
        <v>0</v>
      </c>
      <c r="E268">
        <f>IFERROR(C268-$D$237*QUOTIENT(C268,$D$237),0)</f>
        <v>0</v>
      </c>
    </row>
    <row r="269" spans="1:5">
      <c r="A269">
        <v>22</v>
      </c>
      <c r="B269">
        <f>IFERROR(QUOTIENT($B$237,2^A269)-2*QUOTIENT($B$237,2^(A269+1)),0)</f>
        <v>0</v>
      </c>
      <c r="C269">
        <f>IFERROR(2*E268+B269*$C$237,0)</f>
        <v>0</v>
      </c>
      <c r="D269">
        <f>IFERROR(2*D268+QUOTIENT(C269,$D$237),0)</f>
        <v>0</v>
      </c>
      <c r="E269">
        <f>IFERROR(C269-$D$237*QUOTIENT(C269,$D$237),0)</f>
        <v>0</v>
      </c>
    </row>
    <row r="270" spans="1:5">
      <c r="A270">
        <v>21</v>
      </c>
      <c r="B270">
        <f>IFERROR(QUOTIENT($B$237,2^A270)-2*QUOTIENT($B$237,2^(A270+1)),0)</f>
        <v>0</v>
      </c>
      <c r="C270">
        <f>IFERROR(2*E269+B270*$C$237,0)</f>
        <v>0</v>
      </c>
      <c r="D270">
        <f>IFERROR(2*D269+QUOTIENT(C270,$D$237),0)</f>
        <v>0</v>
      </c>
      <c r="E270">
        <f>IFERROR(C270-$D$237*QUOTIENT(C270,$D$237),0)</f>
        <v>0</v>
      </c>
    </row>
    <row r="271" spans="1:5">
      <c r="A271">
        <v>20</v>
      </c>
      <c r="B271">
        <f>IFERROR(QUOTIENT($B$237,2^A271)-2*QUOTIENT($B$237,2^(A271+1)),0)</f>
        <v>0</v>
      </c>
      <c r="C271">
        <f>IFERROR(2*E270+B271*$C$237,0)</f>
        <v>0</v>
      </c>
      <c r="D271">
        <f>IFERROR(2*D270+QUOTIENT(C271,$D$237),0)</f>
        <v>0</v>
      </c>
      <c r="E271">
        <f>IFERROR(C271-$D$237*QUOTIENT(C271,$D$237),0)</f>
        <v>0</v>
      </c>
    </row>
    <row r="272" spans="1:5">
      <c r="A272">
        <v>19</v>
      </c>
      <c r="B272">
        <f>IFERROR(QUOTIENT($B$237,2^A272)-2*QUOTIENT($B$237,2^(A272+1)),0)</f>
        <v>0</v>
      </c>
      <c r="C272">
        <f>IFERROR(2*E271+B272*$C$237,0)</f>
        <v>0</v>
      </c>
      <c r="D272">
        <f>IFERROR(2*D271+QUOTIENT(C272,$D$237),0)</f>
        <v>0</v>
      </c>
      <c r="E272">
        <f>IFERROR(C272-$D$237*QUOTIENT(C272,$D$237),0)</f>
        <v>0</v>
      </c>
    </row>
    <row r="273" spans="1:5">
      <c r="A273">
        <v>18</v>
      </c>
      <c r="B273">
        <f>IFERROR(QUOTIENT($B$237,2^A273)-2*QUOTIENT($B$237,2^(A273+1)),0)</f>
        <v>0</v>
      </c>
      <c r="C273">
        <f>IFERROR(2*E272+B273*$C$237,0)</f>
        <v>0</v>
      </c>
      <c r="D273">
        <f>IFERROR(2*D272+QUOTIENT(C273,$D$237),0)</f>
        <v>0</v>
      </c>
      <c r="E273">
        <f>IFERROR(C273-$D$237*QUOTIENT(C273,$D$237),0)</f>
        <v>0</v>
      </c>
    </row>
    <row r="274" spans="1:5">
      <c r="A274">
        <v>17</v>
      </c>
      <c r="B274">
        <f>IFERROR(QUOTIENT($B$237,2^A274)-2*QUOTIENT($B$237,2^(A274+1)),0)</f>
        <v>0</v>
      </c>
      <c r="C274">
        <f>IFERROR(2*E273+B274*$C$237,0)</f>
        <v>0</v>
      </c>
      <c r="D274">
        <f>IFERROR(2*D273+QUOTIENT(C274,$D$237),0)</f>
        <v>0</v>
      </c>
      <c r="E274">
        <f>IFERROR(C274-$D$237*QUOTIENT(C274,$D$237),0)</f>
        <v>0</v>
      </c>
    </row>
    <row r="275" spans="1:5">
      <c r="A275">
        <v>16</v>
      </c>
      <c r="B275">
        <f>IFERROR(QUOTIENT($B$237,2^A275)-2*QUOTIENT($B$237,2^(A275+1)),0)</f>
        <v>0</v>
      </c>
      <c r="C275">
        <f>IFERROR(2*E274+B275*$C$237,0)</f>
        <v>0</v>
      </c>
      <c r="D275">
        <f>IFERROR(2*D274+QUOTIENT(C275,$D$237),0)</f>
        <v>0</v>
      </c>
      <c r="E275">
        <f>IFERROR(C275-$D$237*QUOTIENT(C275,$D$237),0)</f>
        <v>0</v>
      </c>
    </row>
    <row r="276" spans="1:5">
      <c r="A276">
        <v>15</v>
      </c>
      <c r="B276">
        <f>IFERROR(QUOTIENT($B$237,2^A276)-2*QUOTIENT($B$237,2^(A276+1)),0)</f>
        <v>0</v>
      </c>
      <c r="C276">
        <f>IFERROR(2*E275+B276*$C$237,0)</f>
        <v>0</v>
      </c>
      <c r="D276">
        <f>IFERROR(2*D275+QUOTIENT(C276,$D$237),0)</f>
        <v>0</v>
      </c>
      <c r="E276">
        <f>IFERROR(C276-$D$237*QUOTIENT(C276,$D$237),0)</f>
        <v>0</v>
      </c>
    </row>
    <row r="277" spans="1:5">
      <c r="A277">
        <v>14</v>
      </c>
      <c r="B277">
        <f>IFERROR(QUOTIENT($B$237,2^A277)-2*QUOTIENT($B$237,2^(A277+1)),0)</f>
        <v>0</v>
      </c>
      <c r="C277">
        <f>IFERROR(2*E276+B277*$C$237,0)</f>
        <v>0</v>
      </c>
      <c r="D277">
        <f>IFERROR(2*D276+QUOTIENT(C277,$D$237),0)</f>
        <v>0</v>
      </c>
      <c r="E277">
        <f>IFERROR(C277-$D$237*QUOTIENT(C277,$D$237),0)</f>
        <v>0</v>
      </c>
    </row>
    <row r="278" spans="1:5">
      <c r="A278">
        <v>13</v>
      </c>
      <c r="B278">
        <f>IFERROR(QUOTIENT($B$237,2^A278)-2*QUOTIENT($B$237,2^(A278+1)),0)</f>
        <v>0</v>
      </c>
      <c r="C278">
        <f>IFERROR(2*E277+B278*$C$237,0)</f>
        <v>0</v>
      </c>
      <c r="D278">
        <f>IFERROR(2*D277+QUOTIENT(C278,$D$237),0)</f>
        <v>0</v>
      </c>
      <c r="E278">
        <f>IFERROR(C278-$D$237*QUOTIENT(C278,$D$237),0)</f>
        <v>0</v>
      </c>
    </row>
    <row r="279" spans="1:5">
      <c r="A279">
        <v>12</v>
      </c>
      <c r="B279">
        <f>IFERROR(QUOTIENT($B$237,2^A279)-2*QUOTIENT($B$237,2^(A279+1)),0)</f>
        <v>0</v>
      </c>
      <c r="C279">
        <f>IFERROR(2*E278+B279*$C$237,0)</f>
        <v>0</v>
      </c>
      <c r="D279">
        <f>IFERROR(2*D278+QUOTIENT(C279,$D$237),0)</f>
        <v>0</v>
      </c>
      <c r="E279">
        <f>IFERROR(C279-$D$237*QUOTIENT(C279,$D$237),0)</f>
        <v>0</v>
      </c>
    </row>
    <row r="280" spans="1:5">
      <c r="A280">
        <v>11</v>
      </c>
      <c r="B280">
        <f>IFERROR(QUOTIENT($B$237,2^A280)-2*QUOTIENT($B$237,2^(A280+1)),0)</f>
        <v>0</v>
      </c>
      <c r="C280">
        <f>IFERROR(2*E279+B280*$C$237,0)</f>
        <v>0</v>
      </c>
      <c r="D280">
        <f>IFERROR(2*D279+QUOTIENT(C280,$D$237),0)</f>
        <v>0</v>
      </c>
      <c r="E280">
        <f>IFERROR(C280-$D$237*QUOTIENT(C280,$D$237),0)</f>
        <v>0</v>
      </c>
    </row>
    <row r="281" spans="1:5">
      <c r="A281">
        <v>10</v>
      </c>
      <c r="B281">
        <f>IFERROR(QUOTIENT($B$237,2^A281)-2*QUOTIENT($B$237,2^(A281+1)),0)</f>
        <v>0</v>
      </c>
      <c r="C281">
        <f>IFERROR(2*E280+B281*$C$237,0)</f>
        <v>0</v>
      </c>
      <c r="D281">
        <f>IFERROR(2*D280+QUOTIENT(C281,$D$237),0)</f>
        <v>0</v>
      </c>
      <c r="E281">
        <f>IFERROR(C281-$D$237*QUOTIENT(C281,$D$237),0)</f>
        <v>0</v>
      </c>
    </row>
    <row r="282" spans="1:5">
      <c r="A282">
        <v>9</v>
      </c>
      <c r="B282">
        <f>IFERROR(QUOTIENT($B$237,2^A282)-2*QUOTIENT($B$237,2^(A282+1)),0)</f>
        <v>0</v>
      </c>
      <c r="C282">
        <f>IFERROR(2*E281+B282*$C$237,0)</f>
        <v>0</v>
      </c>
      <c r="D282">
        <f>IFERROR(2*D281+QUOTIENT(C282,$D$237),0)</f>
        <v>0</v>
      </c>
      <c r="E282">
        <f>IFERROR(C282-$D$237*QUOTIENT(C282,$D$237),0)</f>
        <v>0</v>
      </c>
    </row>
    <row r="283" spans="1:5">
      <c r="A283">
        <v>8</v>
      </c>
      <c r="B283">
        <f>IFERROR(QUOTIENT($B$237,2^A283)-2*QUOTIENT($B$237,2^(A283+1)),0)</f>
        <v>0</v>
      </c>
      <c r="C283">
        <f>IFERROR(2*E282+B283*$C$237,0)</f>
        <v>0</v>
      </c>
      <c r="D283">
        <f>IFERROR(2*D282+QUOTIENT(C283,$D$237),0)</f>
        <v>0</v>
      </c>
      <c r="E283">
        <f>IFERROR(C283-$D$237*QUOTIENT(C283,$D$237),0)</f>
        <v>0</v>
      </c>
    </row>
    <row r="284" spans="1:5">
      <c r="A284">
        <v>7</v>
      </c>
      <c r="B284">
        <f>IFERROR(QUOTIENT($B$237,2^A284)-2*QUOTIENT($B$237,2^(A284+1)),0)</f>
        <v>0</v>
      </c>
      <c r="C284">
        <f>IFERROR(2*E283+B284*$C$237,0)</f>
        <v>0</v>
      </c>
      <c r="D284">
        <f>IFERROR(2*D283+QUOTIENT(C284,$D$237),0)</f>
        <v>0</v>
      </c>
      <c r="E284">
        <f>IFERROR(C284-$D$237*QUOTIENT(C284,$D$237),0)</f>
        <v>0</v>
      </c>
    </row>
    <row r="285" spans="1:5">
      <c r="A285">
        <v>6</v>
      </c>
      <c r="B285">
        <f>IFERROR(QUOTIENT($B$237,2^A285)-2*QUOTIENT($B$237,2^(A285+1)),0)</f>
        <v>0</v>
      </c>
      <c r="C285">
        <f>IFERROR(2*E284+B285*$C$237,0)</f>
        <v>0</v>
      </c>
      <c r="D285">
        <f>IFERROR(2*D284+QUOTIENT(C285,$D$237),0)</f>
        <v>0</v>
      </c>
      <c r="E285">
        <f>IFERROR(C285-$D$237*QUOTIENT(C285,$D$237),0)</f>
        <v>0</v>
      </c>
    </row>
    <row r="286" spans="1:5">
      <c r="A286">
        <v>5</v>
      </c>
      <c r="B286">
        <f>IFERROR(QUOTIENT($B$237,2^A286)-2*QUOTIENT($B$237,2^(A286+1)),0)</f>
        <v>0</v>
      </c>
      <c r="C286">
        <f>IFERROR(2*E285+B286*$C$237,0)</f>
        <v>0</v>
      </c>
      <c r="D286">
        <f>IFERROR(2*D285+QUOTIENT(C286,$D$237),0)</f>
        <v>0</v>
      </c>
      <c r="E286">
        <f>IFERROR(C286-$D$237*QUOTIENT(C286,$D$237),0)</f>
        <v>0</v>
      </c>
    </row>
    <row r="287" spans="1:5">
      <c r="A287">
        <v>4</v>
      </c>
      <c r="B287">
        <f>IFERROR(QUOTIENT($B$237,2^A287)-2*QUOTIENT($B$237,2^(A287+1)),0)</f>
        <v>0</v>
      </c>
      <c r="C287">
        <f>IFERROR(2*E286+B287*$C$237,0)</f>
        <v>0</v>
      </c>
      <c r="D287">
        <f>IFERROR(2*D286+QUOTIENT(C287,$D$237),0)</f>
        <v>0</v>
      </c>
      <c r="E287">
        <f>IFERROR(C287-$D$237*QUOTIENT(C287,$D$237),0)</f>
        <v>0</v>
      </c>
    </row>
    <row r="288" spans="1:5">
      <c r="A288">
        <v>3</v>
      </c>
      <c r="B288">
        <f>IFERROR(QUOTIENT($B$237,2^A288)-2*QUOTIENT($B$237,2^(A288+1)),0)</f>
        <v>0</v>
      </c>
      <c r="C288">
        <f>IFERROR(2*E287+B288*$C$237,0)</f>
        <v>0</v>
      </c>
      <c r="D288">
        <f>IFERROR(2*D287+QUOTIENT(C288,$D$237),0)</f>
        <v>0</v>
      </c>
      <c r="E288">
        <f>IFERROR(C288-$D$237*QUOTIENT(C288,$D$237),0)</f>
        <v>0</v>
      </c>
    </row>
    <row r="289" spans="1:6">
      <c r="A289">
        <v>2</v>
      </c>
      <c r="B289">
        <f>IFERROR(QUOTIENT($B$237,2^A289)-2*QUOTIENT($B$237,2^(A289+1)),0)</f>
        <v>0</v>
      </c>
      <c r="C289">
        <f>IFERROR(2*E288+B289*$C$237,0)</f>
        <v>0</v>
      </c>
      <c r="D289">
        <f>IFERROR(2*D288+QUOTIENT(C289,$D$237),0)</f>
        <v>0</v>
      </c>
      <c r="E289">
        <f>IFERROR(C289-$D$237*QUOTIENT(C289,$D$237),0)</f>
        <v>0</v>
      </c>
    </row>
    <row r="290" spans="1:6">
      <c r="A290">
        <v>1</v>
      </c>
      <c r="B290">
        <f>IFERROR(QUOTIENT($B$237,2^A290)-2*QUOTIENT($B$237,2^(A290+1)),0)</f>
        <v>0</v>
      </c>
      <c r="C290">
        <f>IFERROR(2*E289+B290*$C$237,0)</f>
        <v>0</v>
      </c>
      <c r="D290">
        <f>IFERROR(2*D289+QUOTIENT(C290,$D$237),0)</f>
        <v>0</v>
      </c>
      <c r="E290">
        <f>IFERROR(C290-$D$237*QUOTIENT(C290,$D$237),0)</f>
        <v>0</v>
      </c>
    </row>
    <row r="291" spans="1:6">
      <c r="A291">
        <v>0</v>
      </c>
      <c r="B291">
        <f>IFERROR(QUOTIENT($B$237,2^A291)-2*QUOTIENT($B$237,2^(A291+1)),0)</f>
        <v>0</v>
      </c>
      <c r="C291">
        <f>IFERROR(2*E290+B291*$C$237,0)</f>
        <v>0</v>
      </c>
      <c r="D291">
        <f>IFERROR(2*D290+QUOTIENT(C291,$D$237),0)</f>
        <v>0</v>
      </c>
      <c r="E291">
        <f>IFERROR(C291-$D$237*QUOTIENT(C291,$D$237),0)</f>
        <v>0</v>
      </c>
    </row>
    <row r="292" spans="1:6">
      <c r="A292" t="s">
        <v>556</v>
      </c>
      <c r="B292">
        <f>IFERROR(E237*D291,0)</f>
        <v>0</v>
      </c>
      <c r="C292">
        <f>IFERROR(E291,0)</f>
        <v>0</v>
      </c>
      <c r="D292">
        <f>IFERROR(B292-IF(E237&lt;0,IF(C292=0,0,1),0),0)</f>
        <v>0</v>
      </c>
      <c r="E292">
        <f>IFERROR(IF(E237&lt;0,IF(C292=0,0,D237-C292),C292),0)</f>
        <v>0</v>
      </c>
      <c r="F292" t="b">
        <f>IFERROR(AND(B237&lt;=9007199254740990,C237&lt;=9007199254740990,F237&gt;0,F237&lt;=9007199254740990,2*D237+C237&lt;=9007199254740990,ABS(B292)&lt;=9007199254740990),0)</f>
        <v>1</v>
      </c>
    </row>
  </sheetData>
  <sheetProtection sheet="1" objects="1" scenarios="1"/>
  <mergeCells count="1">
    <mergeCell ref="A1:H1"/>
  </mergeCells>
  <phoneticPr fontId="4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10</vt:i4>
      </vt:variant>
      <vt:variant>
        <vt:lpstr>名前付き一覧</vt:lpstr>
      </vt:variant>
      <vt:variant>
        <vt:i4>223</vt:i4>
      </vt:variant>
    </vt:vector>
  </HeadingPairs>
  <TitlesOfParts>
    <vt:vector size="233" baseType="lpstr">
      <vt:lpstr>使い方</vt:lpstr>
      <vt:lpstr>入力</vt:lpstr>
      <vt:lpstr>別表三一_計算</vt:lpstr>
      <vt:lpstr>付表一_計算</vt:lpstr>
      <vt:lpstr>付表二_計算</vt:lpstr>
      <vt:lpstr>別表三(一)</vt:lpstr>
      <vt:lpstr>別表三(一)付表一</vt:lpstr>
      <vt:lpstr>別表三(一)付表二</vt:lpstr>
      <vt:lpstr>検算</vt:lpstr>
      <vt:lpstr>根拠・出典</vt:lpstr>
      <vt:lpstr>cfg_applicable</vt:lpstr>
      <vt:lpstr>cfg_calculation_ready</vt:lpstr>
      <vt:lpstr>cfg_class_selected</vt:lpstr>
      <vt:lpstr>cfg_exact_domain_ok</vt:lpstr>
      <vt:lpstr>cfg_exact_math_valid</vt:lpstr>
      <vt:lpstr>cfg_f2_input_valid</vt:lpstr>
      <vt:lpstr>cfg_f2_period_ok</vt:lpstr>
      <vt:lpstr>cfg_group_selected</vt:lpstr>
      <vt:lpstr>cfg_period_input_valid</vt:lpstr>
      <vt:lpstr>cfg_special_applicable</vt:lpstr>
      <vt:lpstr>exact_r8_f1_33_income_absrem</vt:lpstr>
      <vt:lpstr>exact_r8_f1_33_income_floor</vt:lpstr>
      <vt:lpstr>exact_r8_f1_33_income_q</vt:lpstr>
      <vt:lpstr>exact_r8_f1_33_income_rem</vt:lpstr>
      <vt:lpstr>exact_r8_f1_33_income_valid</vt:lpstr>
      <vt:lpstr>exact_r8_f2_26_ratio_absrem</vt:lpstr>
      <vt:lpstr>exact_r8_f2_26_ratio_floor</vt:lpstr>
      <vt:lpstr>exact_r8_f2_26_ratio_q</vt:lpstr>
      <vt:lpstr>exact_r8_f2_26_ratio_rem</vt:lpstr>
      <vt:lpstr>exact_r8_f2_26_ratio_valid</vt:lpstr>
      <vt:lpstr>exact_r8_m_24_resident_absrem</vt:lpstr>
      <vt:lpstr>exact_r8_m_24_resident_floor</vt:lpstr>
      <vt:lpstr>exact_r8_m_24_resident_q</vt:lpstr>
      <vt:lpstr>exact_r8_m_24_resident_rem</vt:lpstr>
      <vt:lpstr>exact_r8_m_24_resident_valid</vt:lpstr>
      <vt:lpstr>exact_r8_m_26_delta_absrem</vt:lpstr>
      <vt:lpstr>exact_r8_m_26_delta_floor</vt:lpstr>
      <vt:lpstr>exact_r8_m_26_delta_q</vt:lpstr>
      <vt:lpstr>exact_r8_m_26_delta_rem</vt:lpstr>
      <vt:lpstr>exact_r8_m_26_delta_valid</vt:lpstr>
      <vt:lpstr>exact_r8_m_26_municipal_absrem</vt:lpstr>
      <vt:lpstr>exact_r8_m_26_municipal_floor</vt:lpstr>
      <vt:lpstr>exact_r8_m_26_municipal_q</vt:lpstr>
      <vt:lpstr>exact_r8_m_26_municipal_rem</vt:lpstr>
      <vt:lpstr>exact_r8_m_26_municipal_valid</vt:lpstr>
      <vt:lpstr>f1_01</vt:lpstr>
      <vt:lpstr>f1_02</vt:lpstr>
      <vt:lpstr>f1_03</vt:lpstr>
      <vt:lpstr>f1_04</vt:lpstr>
      <vt:lpstr>f1_05</vt:lpstr>
      <vt:lpstr>f1_06</vt:lpstr>
      <vt:lpstr>f1_07</vt:lpstr>
      <vt:lpstr>f1_08</vt:lpstr>
      <vt:lpstr>f1_09</vt:lpstr>
      <vt:lpstr>f1_10</vt:lpstr>
      <vt:lpstr>f1_11</vt:lpstr>
      <vt:lpstr>f1_12</vt:lpstr>
      <vt:lpstr>f1_13</vt:lpstr>
      <vt:lpstr>f1_14</vt:lpstr>
      <vt:lpstr>f1_15</vt:lpstr>
      <vt:lpstr>f1_16</vt:lpstr>
      <vt:lpstr>f1_17</vt:lpstr>
      <vt:lpstr>f1_18</vt:lpstr>
      <vt:lpstr>f1_19</vt:lpstr>
      <vt:lpstr>f1_20</vt:lpstr>
      <vt:lpstr>f1_21</vt:lpstr>
      <vt:lpstr>f1_22</vt:lpstr>
      <vt:lpstr>f1_23</vt:lpstr>
      <vt:lpstr>f1_24</vt:lpstr>
      <vt:lpstr>f1_25</vt:lpstr>
      <vt:lpstr>f1_26</vt:lpstr>
      <vt:lpstr>f1_27</vt:lpstr>
      <vt:lpstr>f1_28</vt:lpstr>
      <vt:lpstr>f1_29</vt:lpstr>
      <vt:lpstr>f1_30</vt:lpstr>
      <vt:lpstr>f1_31</vt:lpstr>
      <vt:lpstr>f1_32</vt:lpstr>
      <vt:lpstr>f1_33</vt:lpstr>
      <vt:lpstr>f1_34</vt:lpstr>
      <vt:lpstr>f2_01</vt:lpstr>
      <vt:lpstr>f2_02</vt:lpstr>
      <vt:lpstr>f2_03</vt:lpstr>
      <vt:lpstr>f2_04</vt:lpstr>
      <vt:lpstr>f2_05</vt:lpstr>
      <vt:lpstr>f2_06</vt:lpstr>
      <vt:lpstr>f2_07</vt:lpstr>
      <vt:lpstr>f2_08</vt:lpstr>
      <vt:lpstr>f2_09</vt:lpstr>
      <vt:lpstr>f2_10</vt:lpstr>
      <vt:lpstr>f2_11</vt:lpstr>
      <vt:lpstr>f2_12</vt:lpstr>
      <vt:lpstr>f2_13</vt:lpstr>
      <vt:lpstr>f2_14</vt:lpstr>
      <vt:lpstr>f2_15</vt:lpstr>
      <vt:lpstr>f2_16</vt:lpstr>
      <vt:lpstr>f2_17</vt:lpstr>
      <vt:lpstr>f2_18</vt:lpstr>
      <vt:lpstr>f2_19</vt:lpstr>
      <vt:lpstr>f2_20</vt:lpstr>
      <vt:lpstr>f2_21</vt:lpstr>
      <vt:lpstr>f2_22</vt:lpstr>
      <vt:lpstr>f2_23</vt:lpstr>
      <vt:lpstr>f2_24</vt:lpstr>
      <vt:lpstr>f2_25</vt:lpstr>
      <vt:lpstr>f2_26</vt:lpstr>
      <vt:lpstr>inp_b1_11</vt:lpstr>
      <vt:lpstr>inp_b1_17</vt:lpstr>
      <vt:lpstr>inp_b1_18</vt:lpstr>
      <vt:lpstr>inp_b1_2</vt:lpstr>
      <vt:lpstr>inp_b1_3</vt:lpstr>
      <vt:lpstr>inp_b1_31</vt:lpstr>
      <vt:lpstr>inp_b1_32</vt:lpstr>
      <vt:lpstr>inp_b1_36</vt:lpstr>
      <vt:lpstr>inp_b1_4</vt:lpstr>
      <vt:lpstr>inp_b1_50</vt:lpstr>
      <vt:lpstr>inp_b1_51</vt:lpstr>
      <vt:lpstr>inp_b1_55</vt:lpstr>
      <vt:lpstr>inp_b1_6</vt:lpstr>
      <vt:lpstr>inp_b1_71</vt:lpstr>
      <vt:lpstr>inp_b1_94</vt:lpstr>
      <vt:lpstr>inp_b1_9out</vt:lpstr>
      <vt:lpstr>inp_b10_7_15</vt:lpstr>
      <vt:lpstr>inp_b17_3_6_1</vt:lpstr>
      <vt:lpstr>inp_b6_12_f2_19</vt:lpstr>
      <vt:lpstr>inp_b6_12_f2_24</vt:lpstr>
      <vt:lpstr>inp_b6_2_f6_7_total</vt:lpstr>
      <vt:lpstr>inp_b6_5_2_5_3</vt:lpstr>
      <vt:lpstr>inp_b6_6_3</vt:lpstr>
      <vt:lpstr>inp_b6_6_9_11_14</vt:lpstr>
      <vt:lpstr>inp_b6_6_9_16_18</vt:lpstr>
      <vt:lpstr>inp_b6_6_9_19_20</vt:lpstr>
      <vt:lpstr>inp_b6_6_9_2</vt:lpstr>
      <vt:lpstr>inp_b6_6_9_25_26</vt:lpstr>
      <vt:lpstr>inp_b6_6_9_27_29</vt:lpstr>
      <vt:lpstr>inp_b6_6_9_3</vt:lpstr>
      <vt:lpstr>inp_b6_6_9_4</vt:lpstr>
      <vt:lpstr>inp_b6_6_9_5_8</vt:lpstr>
      <vt:lpstr>inp_b6_9_f_40</vt:lpstr>
      <vt:lpstr>inp_b6_9_f_45</vt:lpstr>
      <vt:lpstr>inp_class</vt:lpstr>
      <vt:lpstr>inp_corp</vt:lpstr>
      <vt:lpstr>inp_curr_div</vt:lpstr>
      <vt:lpstr>inp_end</vt:lpstr>
      <vt:lpstr>inp_f1_b10_1_15_or_10_2_10</vt:lpstr>
      <vt:lpstr>inp_f1_b10_1_16_or_10_2_11</vt:lpstr>
      <vt:lpstr>inp_f1_b10_3_47</vt:lpstr>
      <vt:lpstr>inp_f1_b10_4_20</vt:lpstr>
      <vt:lpstr>inp_f1_b10_4_21_23</vt:lpstr>
      <vt:lpstr>inp_f1_b10_5_12</vt:lpstr>
      <vt:lpstr>inp_f1_b10_6_sum</vt:lpstr>
      <vt:lpstr>inp_f1_b10_7_12</vt:lpstr>
      <vt:lpstr>inp_f1_b10_7_20_22</vt:lpstr>
      <vt:lpstr>inp_f1_b10_8_22</vt:lpstr>
      <vt:lpstr>inp_f1_b17_2_3_10</vt:lpstr>
      <vt:lpstr>inp_f1_b17_3_7_27</vt:lpstr>
      <vt:lpstr>inp_f1_b17_3_income_sum</vt:lpstr>
      <vt:lpstr>inp_f1_b4_16</vt:lpstr>
      <vt:lpstr>inp_f1_b4_19</vt:lpstr>
      <vt:lpstr>inp_f1_b4_37</vt:lpstr>
      <vt:lpstr>inp_f1_b4_38</vt:lpstr>
      <vt:lpstr>inp_f1_b4_52_1</vt:lpstr>
      <vt:lpstr>inp_f1_b4f_7</vt:lpstr>
      <vt:lpstr>inp_f1_b5_1_31_1</vt:lpstr>
      <vt:lpstr>inp_f1_b7_1_4</vt:lpstr>
      <vt:lpstr>inp_f1_b7_other</vt:lpstr>
      <vt:lpstr>inp_f1_b8_1_5</vt:lpstr>
      <vt:lpstr>inp_f1_b8_2_26</vt:lpstr>
      <vt:lpstr>inp_f1_b8_3_13</vt:lpstr>
      <vt:lpstr>inp_f1_capital</vt:lpstr>
      <vt:lpstr>inp_f1_merger_inc</vt:lpstr>
      <vt:lpstr>inp_f1_split_dec</vt:lpstr>
      <vt:lpstr>inp_f2_b18_1_5_total</vt:lpstr>
      <vt:lpstr>inp_f2_b18_1_6_total</vt:lpstr>
      <vt:lpstr>inp_f2_b4f_3</vt:lpstr>
      <vt:lpstr>inp_f2_b4f_8</vt:lpstr>
      <vt:lpstr>inp_f2_b4f_9</vt:lpstr>
      <vt:lpstr>inp_f2_b7_2_11</vt:lpstr>
      <vt:lpstr>inp_f2_b7_2_5</vt:lpstr>
      <vt:lpstr>inp_f2_b7_2_f1_23</vt:lpstr>
      <vt:lpstr>inp_f2_b8_1_f_24</vt:lpstr>
      <vt:lpstr>inp_f2_group_div_received</vt:lpstr>
      <vt:lpstr>inp_f2_in_div_amount</vt:lpstr>
      <vt:lpstr>inp_f2_out_div_outflow</vt:lpstr>
      <vt:lpstr>inp_group</vt:lpstr>
      <vt:lpstr>inp_m_B4_17_inner</vt:lpstr>
      <vt:lpstr>inp_m_B4_52_2</vt:lpstr>
      <vt:lpstr>inp_months</vt:lpstr>
      <vt:lpstr>inp_prev_div</vt:lpstr>
      <vt:lpstr>inp_special</vt:lpstr>
      <vt:lpstr>inp_specific_donation_total</vt:lpstr>
      <vt:lpstr>inp_start</vt:lpstr>
      <vt:lpstr>m_01</vt:lpstr>
      <vt:lpstr>m_02</vt:lpstr>
      <vt:lpstr>m_03</vt:lpstr>
      <vt:lpstr>m_04</vt:lpstr>
      <vt:lpstr>m_05</vt:lpstr>
      <vt:lpstr>m_06</vt:lpstr>
      <vt:lpstr>m_07</vt:lpstr>
      <vt:lpstr>m_08</vt:lpstr>
      <vt:lpstr>m_09</vt:lpstr>
      <vt:lpstr>m_10</vt:lpstr>
      <vt:lpstr>m_11</vt:lpstr>
      <vt:lpstr>m_12</vt:lpstr>
      <vt:lpstr>m_13</vt:lpstr>
      <vt:lpstr>m_14</vt:lpstr>
      <vt:lpstr>m_15</vt:lpstr>
      <vt:lpstr>m_16</vt:lpstr>
      <vt:lpstr>m_17</vt:lpstr>
      <vt:lpstr>m_18</vt:lpstr>
      <vt:lpstr>m_19</vt:lpstr>
      <vt:lpstr>m_20</vt:lpstr>
      <vt:lpstr>m_21</vt:lpstr>
      <vt:lpstr>m_22</vt:lpstr>
      <vt:lpstr>m_23</vt:lpstr>
      <vt:lpstr>m_24</vt:lpstr>
      <vt:lpstr>m_25</vt:lpstr>
      <vt:lpstr>m_26</vt:lpstr>
      <vt:lpstr>m_27</vt:lpstr>
      <vt:lpstr>m_28</vt:lpstr>
      <vt:lpstr>検算!Print_Area</vt:lpstr>
      <vt:lpstr>根拠・出典!Print_Area</vt:lpstr>
      <vt:lpstr>使い方!Print_Area</vt:lpstr>
      <vt:lpstr>入力!Print_Area</vt:lpstr>
      <vt:lpstr>付表一_計算!Print_Area</vt:lpstr>
      <vt:lpstr>付表二_計算!Print_Area</vt:lpstr>
      <vt:lpstr>'別表三(一)'!Print_Area</vt:lpstr>
      <vt:lpstr>'別表三(一)付表一'!Print_Area</vt:lpstr>
      <vt:lpstr>'別表三(一)付表二'!Print_Area</vt:lpstr>
      <vt:lpstr>別表三一_計算!Print_Area</vt:lpstr>
      <vt:lpstr>入力!Print_Titles</vt:lpstr>
      <vt:lpstr>付表一_計算!Print_Titles</vt:lpstr>
      <vt:lpstr>付表二_計算!Print_Titles</vt:lpstr>
      <vt:lpstr>別表三一_計算!Print_Titles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2026-07-16T14:51:10Z</dcterms:created>
  <dcterms:modified xsi:type="dcterms:W3CDTF">2026-07-16T14:55:24Z</dcterms:modified>
</cp:coreProperties>
</file>