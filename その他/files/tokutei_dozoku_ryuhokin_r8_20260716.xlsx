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bookViews>
    <workbookView xWindow="-108" yWindow="-108" windowWidth="23256" windowHeight="12456"/>
  </bookViews>
  <sheets>
    <sheet name="使い方" sheetId="1" r:id="rId1"/>
    <sheet name="入力" sheetId="2" r:id="rId2"/>
    <sheet name="別表三一_計算" sheetId="3" r:id="rId3"/>
    <sheet name="付表一_計算" sheetId="4" r:id="rId4"/>
    <sheet name="付表二_計算" sheetId="5" r:id="rId5"/>
    <sheet name="別表三(一)" sheetId="6" r:id="rId6"/>
    <sheet name="別表三(一)付表一" sheetId="7" r:id="rId7"/>
    <sheet name="別表三(一)付表二" sheetId="8" r:id="rId8"/>
    <sheet name="検算" sheetId="9" r:id="rId9"/>
    <sheet name="根拠・出典" sheetId="10" r:id="rId10"/>
    <sheet name="印字値" sheetId="11" state="veryHidden" r:id="rId11"/>
  </sheets>
  <definedNames>
    <definedName name="f1_01">付表一_計算!$D$5</definedName>
    <definedName name="f1_02">付表一_計算!$D$6</definedName>
    <definedName name="f1_03">付表一_計算!$D$7</definedName>
    <definedName name="f1_04">付表一_計算!$D$8</definedName>
    <definedName name="f1_05">付表一_計算!$D$9</definedName>
    <definedName name="f1_06">付表一_計算!$D$10</definedName>
    <definedName name="f1_07">付表一_計算!$D$11</definedName>
    <definedName name="f1_08">付表一_計算!$D$12</definedName>
    <definedName name="f1_09">付表一_計算!$D$13</definedName>
    <definedName name="f1_10">付表一_計算!$D$14</definedName>
    <definedName name="f1_11">付表一_計算!$D$15</definedName>
    <definedName name="f1_12">付表一_計算!$D$16</definedName>
    <definedName name="f1_13">付表一_計算!$D$17</definedName>
    <definedName name="f1_14">付表一_計算!$D$18</definedName>
    <definedName name="f1_15">付表一_計算!$D$19</definedName>
    <definedName name="f1_16">付表一_計算!$D$20</definedName>
    <definedName name="f1_17">付表一_計算!$D$21</definedName>
    <definedName name="f1_18">付表一_計算!$D$22</definedName>
    <definedName name="f1_19">付表一_計算!$D$23</definedName>
    <definedName name="f1_20">付表一_計算!$D$24</definedName>
    <definedName name="f1_21">付表一_計算!$D$25</definedName>
    <definedName name="f1_22">付表一_計算!$D$26</definedName>
    <definedName name="f1_23">付表一_計算!$D$27</definedName>
    <definedName name="f1_24">付表一_計算!$D$28</definedName>
    <definedName name="f1_25">付表一_計算!$D$29</definedName>
    <definedName name="f1_26">付表一_計算!$D$30</definedName>
    <definedName name="f1_27">付表一_計算!$D$31</definedName>
    <definedName name="f1_28">付表一_計算!$D$32</definedName>
    <definedName name="f1_29">付表一_計算!$D$33</definedName>
    <definedName name="f1_30">付表一_計算!$D$34</definedName>
    <definedName name="f1_31">付表一_計算!$D$35</definedName>
    <definedName name="f1_32">付表一_計算!$D$36</definedName>
    <definedName name="f1_33">付表一_計算!$D$37</definedName>
    <definedName name="f1_34">付表一_計算!$D$38</definedName>
    <definedName name="f2_01">付表二_計算!$D$5</definedName>
    <definedName name="f2_02">付表二_計算!$D$6</definedName>
    <definedName name="f2_03">付表二_計算!$D$7</definedName>
    <definedName name="f2_04">付表二_計算!$D$8</definedName>
    <definedName name="f2_05">付表二_計算!$D$9</definedName>
    <definedName name="f2_06">付表二_計算!$D$10</definedName>
    <definedName name="f2_07">付表二_計算!$D$11</definedName>
    <definedName name="f2_08">付表二_計算!$D$12</definedName>
    <definedName name="f2_09">付表二_計算!$D$13</definedName>
    <definedName name="f2_10">付表二_計算!$D$14</definedName>
    <definedName name="f2_11">付表二_計算!$D$15</definedName>
    <definedName name="f2_12">付表二_計算!$D$16</definedName>
    <definedName name="f2_13">付表二_計算!$D$17</definedName>
    <definedName name="f2_14">付表二_計算!$D$18</definedName>
    <definedName name="f2_15">付表二_計算!$D$19</definedName>
    <definedName name="f2_16">付表二_計算!$D$20</definedName>
    <definedName name="f2_17">付表二_計算!$D$21</definedName>
    <definedName name="f2_18">付表二_計算!$D$22</definedName>
    <definedName name="f2_19">付表二_計算!$D$23</definedName>
    <definedName name="f2_20">付表二_計算!$D$24</definedName>
    <definedName name="f2_21">付表二_計算!$D$25</definedName>
    <definedName name="f2_22">付表二_計算!$D$26</definedName>
    <definedName name="f2_23">付表二_計算!$D$27</definedName>
    <definedName name="f2_24">付表二_計算!$D$28</definedName>
    <definedName name="f2_25">付表二_計算!$D$29</definedName>
    <definedName name="f2_26">付表二_計算!$D$30</definedName>
    <definedName name="inp_b1_11">入力!$D$25</definedName>
    <definedName name="inp_b1_17">入力!$D$26</definedName>
    <definedName name="inp_b1_18">入力!$D$27</definedName>
    <definedName name="inp_b1_2">入力!$D$20</definedName>
    <definedName name="inp_b1_3">入力!$D$21</definedName>
    <definedName name="inp_b1_31">入力!$D$28</definedName>
    <definedName name="inp_b1_32">入力!$D$29</definedName>
    <definedName name="inp_b1_36">入力!$D$30</definedName>
    <definedName name="inp_b1_4">入力!$D$22</definedName>
    <definedName name="inp_b1_50">入力!$D$32</definedName>
    <definedName name="inp_b1_51">入力!$D$33</definedName>
    <definedName name="inp_b1_55">入力!$D$34</definedName>
    <definedName name="inp_b1_6">入力!$D$23</definedName>
    <definedName name="inp_b1_71">入力!$D$35</definedName>
    <definedName name="inp_b1_94">入力!$D$31</definedName>
    <definedName name="inp_b1_9out">入力!$D$24</definedName>
    <definedName name="inp_b10_7_15">入力!$D$16</definedName>
    <definedName name="inp_b17_3_6_1">入力!$D$37</definedName>
    <definedName name="inp_b6_12_f2_19">入力!$D$52</definedName>
    <definedName name="inp_b6_12_f2_24">入力!$D$53</definedName>
    <definedName name="inp_b6_2_f6_7_total">入力!$D$39</definedName>
    <definedName name="inp_b6_5_2_5_3">入力!$D$36</definedName>
    <definedName name="inp_b6_6_3">入力!$D$40</definedName>
    <definedName name="inp_b6_6_9_11_14">入力!$D$45</definedName>
    <definedName name="inp_b6_6_9_16_18">入力!$D$46</definedName>
    <definedName name="inp_b6_6_9_19_20">入力!$D$47</definedName>
    <definedName name="inp_b6_6_9_2">入力!$D$41</definedName>
    <definedName name="inp_b6_6_9_25_26">入力!$D$48</definedName>
    <definedName name="inp_b6_6_9_27_29">入力!$D$49</definedName>
    <definedName name="inp_b6_6_9_3">入力!$D$42</definedName>
    <definedName name="inp_b6_6_9_4">入力!$D$43</definedName>
    <definedName name="inp_b6_6_9_5_8">入力!$D$44</definedName>
    <definedName name="inp_b6_9_f_40">入力!$D$50</definedName>
    <definedName name="inp_b6_9_f_45">入力!$D$51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b10_1_15_or_10_2_10">入力!$D$77</definedName>
    <definedName name="inp_f1_b10_1_16_or_10_2_11">入力!$D$78</definedName>
    <definedName name="inp_f1_b10_3_47">入力!$D$73</definedName>
    <definedName name="inp_f1_b10_4_20">入力!$D$74</definedName>
    <definedName name="inp_f1_b10_4_21_23">入力!$D$75</definedName>
    <definedName name="inp_f1_b10_5_12">入力!$D$76</definedName>
    <definedName name="inp_f1_b10_6_sum">入力!$D$79</definedName>
    <definedName name="inp_f1_b10_7_12">入力!$D$80</definedName>
    <definedName name="inp_f1_b10_7_20_22">入力!$D$81</definedName>
    <definedName name="inp_f1_b10_8_22">入力!$D$82</definedName>
    <definedName name="inp_f1_b17_2_3_10">入力!$D$83</definedName>
    <definedName name="inp_f1_b17_3_7_27">入力!$D$65</definedName>
    <definedName name="inp_f1_b17_3_income_sum">入力!$D$84</definedName>
    <definedName name="inp_f1_b4_16">入力!$D$66</definedName>
    <definedName name="inp_f1_b4_19">入力!$D$67</definedName>
    <definedName name="inp_f1_b4_37">入力!$D$71</definedName>
    <definedName name="inp_f1_b4_38">入力!$D$62</definedName>
    <definedName name="inp_f1_b4_52_1">入力!$D$61</definedName>
    <definedName name="inp_f1_b4f_7">入力!$D$68</definedName>
    <definedName name="inp_f1_b5_1_31_1">入力!$D$58</definedName>
    <definedName name="inp_f1_b7_1_4">入力!$D$69</definedName>
    <definedName name="inp_f1_b7_other">入力!$D$70</definedName>
    <definedName name="inp_f1_b8_1_5">入力!$D$63</definedName>
    <definedName name="inp_f1_b8_2_26">入力!$D$64</definedName>
    <definedName name="inp_f1_b8_3_13">入力!$D$72</definedName>
    <definedName name="inp_f1_capital">入力!$D$57</definedName>
    <definedName name="inp_f1_merger_inc">入力!$D$59</definedName>
    <definedName name="inp_f1_split_dec">入力!$D$60</definedName>
    <definedName name="inp_f2_b18_1_5_total">入力!$D$98</definedName>
    <definedName name="inp_f2_b18_1_6_total">入力!$D$99</definedName>
    <definedName name="inp_f2_b4f_3">入力!$D$88</definedName>
    <definedName name="inp_f2_b4f_8">入力!$D$92</definedName>
    <definedName name="inp_f2_b4f_9">入力!$D$95</definedName>
    <definedName name="inp_f2_b7_2_11">入力!$D$89</definedName>
    <definedName name="inp_f2_b7_2_5">入力!$D$93</definedName>
    <definedName name="inp_f2_b7_2_f1_23">入力!$D$96</definedName>
    <definedName name="inp_f2_b8_1_f_24">入力!$D$97</definedName>
    <definedName name="inp_f2_group_div_received">入力!$D$94</definedName>
    <definedName name="inp_f2_in_div_amount">入力!$D$91</definedName>
    <definedName name="inp_f2_out_div_outflow">入力!$D$90</definedName>
    <definedName name="inp_group">入力!$D$10</definedName>
    <definedName name="inp_m_B4_17_inner">入力!$D$17</definedName>
    <definedName name="inp_m_B4_52_2">入力!$D$15</definedName>
    <definedName name="inp_months">入力!$D$8</definedName>
    <definedName name="inp_prev_div">入力!$D$18</definedName>
    <definedName name="inp_special">入力!$D$11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_xlnm.Print_Area" localSheetId="8">検算!$A$1:$D$34</definedName>
    <definedName name="_xlnm.Print_Area" localSheetId="9">根拠・出典!$A$1:$D$13</definedName>
    <definedName name="_xlnm.Print_Area" localSheetId="0">使い方!$A$1:$H$28</definedName>
    <definedName name="_xlnm.Print_Area" localSheetId="1">入力!$A$1:$E$99</definedName>
    <definedName name="_xlnm.Print_Area" localSheetId="3">付表一_計算!$A$1:$E$38</definedName>
    <definedName name="_xlnm.Print_Area" localSheetId="4">付表二_計算!$A$1:$E$30</definedName>
    <definedName name="_xlnm.Print_Area" localSheetId="5">'別表三(一)'!$A$1:$L$3</definedName>
    <definedName name="_xlnm.Print_Area" localSheetId="6">'別表三(一)付表一'!$A$1:$L$3</definedName>
    <definedName name="_xlnm.Print_Area" localSheetId="7">'別表三(一)付表二'!$A$1:$L$3</definedName>
    <definedName name="_xlnm.Print_Area" localSheetId="2">別表三一_計算!$A$1:$G$32</definedName>
    <definedName name="_xlnm.Print_Titles" localSheetId="1">入力!$1:$2</definedName>
    <definedName name="_xlnm.Print_Titles" localSheetId="3">付表一_計算!$1:$4</definedName>
    <definedName name="_xlnm.Print_Titles" localSheetId="4">付表二_計算!$1:$4</definedName>
    <definedName name="_xlnm.Print_Titles" localSheetId="2">別表三一_計算!$1:$4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6" i="2"/>
  <c r="D8" i="2" s="1"/>
  <c r="F14" i="1" s="1"/>
  <c r="F11" i="1"/>
  <c r="B5" i="11"/>
  <c r="A1" i="11"/>
  <c r="C10" i="9"/>
  <c r="C9" i="9"/>
  <c r="C7" i="9"/>
  <c r="C6" i="9"/>
  <c r="C5" i="9"/>
  <c r="C4" i="9"/>
  <c r="F13" i="1"/>
  <c r="F12" i="1"/>
  <c r="D29" i="3"/>
  <c r="A29" i="11" s="1"/>
  <c r="D27" i="3"/>
  <c r="A27" i="11" s="1"/>
  <c r="D26" i="3"/>
  <c r="A26" i="11" s="1"/>
  <c r="D18" i="3"/>
  <c r="A18" i="11" s="1"/>
  <c r="D16" i="3"/>
  <c r="A16" i="11" s="1"/>
  <c r="D15" i="3"/>
  <c r="A15" i="11" s="1"/>
  <c r="D14" i="3"/>
  <c r="A14" i="11" s="1"/>
  <c r="D13" i="3"/>
  <c r="C11" i="9" s="1"/>
  <c r="D35" i="4"/>
  <c r="C35" i="11" s="1"/>
  <c r="D34" i="4"/>
  <c r="C34" i="11" s="1"/>
  <c r="D33" i="4"/>
  <c r="C33" i="11" s="1"/>
  <c r="D32" i="4"/>
  <c r="C32" i="11" s="1"/>
  <c r="D31" i="4"/>
  <c r="C31" i="11" s="1"/>
  <c r="D30" i="4"/>
  <c r="C30" i="11" s="1"/>
  <c r="D29" i="4"/>
  <c r="C29" i="11" s="1"/>
  <c r="D28" i="4"/>
  <c r="C28" i="11" s="1"/>
  <c r="D27" i="4"/>
  <c r="C27" i="11" s="1"/>
  <c r="D26" i="4"/>
  <c r="C26" i="11" s="1"/>
  <c r="D25" i="4"/>
  <c r="C25" i="11" s="1"/>
  <c r="D24" i="4"/>
  <c r="C24" i="11" s="1"/>
  <c r="D23" i="4"/>
  <c r="D22" i="3" s="1"/>
  <c r="A22" i="11" s="1"/>
  <c r="D20" i="4"/>
  <c r="C20" i="11" s="1"/>
  <c r="D19" i="4"/>
  <c r="C19" i="11" s="1"/>
  <c r="D18" i="4"/>
  <c r="C18" i="11" s="1"/>
  <c r="D17" i="4"/>
  <c r="C17" i="11" s="1"/>
  <c r="D16" i="4"/>
  <c r="C16" i="11" s="1"/>
  <c r="D15" i="4"/>
  <c r="C15" i="11" s="1"/>
  <c r="D14" i="4"/>
  <c r="C14" i="11" s="1"/>
  <c r="D13" i="4"/>
  <c r="C13" i="11" s="1"/>
  <c r="D9" i="4"/>
  <c r="C9" i="11" s="1"/>
  <c r="D8" i="4"/>
  <c r="D7" i="4"/>
  <c r="C7" i="11" s="1"/>
  <c r="D5" i="4"/>
  <c r="C5" i="11" s="1"/>
  <c r="D22" i="5"/>
  <c r="D20" i="5"/>
  <c r="E20" i="11" s="1"/>
  <c r="D19" i="5"/>
  <c r="E19" i="11" s="1"/>
  <c r="D18" i="5"/>
  <c r="E18" i="11" s="1"/>
  <c r="D16" i="5"/>
  <c r="E16" i="11" s="1"/>
  <c r="D15" i="5"/>
  <c r="E15" i="11" s="1"/>
  <c r="D12" i="5"/>
  <c r="E12" i="11" s="1"/>
  <c r="D11" i="5"/>
  <c r="E11" i="11" s="1"/>
  <c r="D10" i="5"/>
  <c r="E10" i="11" s="1"/>
  <c r="D8" i="5"/>
  <c r="E8" i="11" s="1"/>
  <c r="D7" i="5"/>
  <c r="E7" i="11" s="1"/>
  <c r="D6" i="5"/>
  <c r="E6" i="11" s="1"/>
  <c r="D5" i="5"/>
  <c r="E5" i="11" s="1"/>
  <c r="D23" i="5" l="1"/>
  <c r="D6" i="4"/>
  <c r="C6" i="11" s="1"/>
  <c r="D10" i="4"/>
  <c r="C10" i="11" s="1"/>
  <c r="A2" i="11"/>
  <c r="D28" i="3"/>
  <c r="A28" i="11" s="1"/>
  <c r="D21" i="5"/>
  <c r="D9" i="5"/>
  <c r="D26" i="5"/>
  <c r="E26" i="11" s="1"/>
  <c r="D24" i="5"/>
  <c r="E23" i="11"/>
  <c r="D17" i="5"/>
  <c r="D21" i="4" s="1"/>
  <c r="C21" i="11" s="1"/>
  <c r="D29" i="5"/>
  <c r="E29" i="11" s="1"/>
  <c r="E22" i="11"/>
  <c r="C8" i="11"/>
  <c r="C23" i="11"/>
  <c r="A13" i="11"/>
  <c r="C8" i="9"/>
  <c r="D12" i="4"/>
  <c r="G7" i="3"/>
  <c r="E9" i="11" l="1"/>
  <c r="D20" i="3"/>
  <c r="A20" i="11" s="1"/>
  <c r="C20" i="9"/>
  <c r="D22" i="4"/>
  <c r="C22" i="11" s="1"/>
  <c r="D30" i="3"/>
  <c r="A30" i="11" s="1"/>
  <c r="C15" i="9"/>
  <c r="D11" i="4"/>
  <c r="C11" i="11" s="1"/>
  <c r="D27" i="5"/>
  <c r="E27" i="11" s="1"/>
  <c r="E21" i="11"/>
  <c r="C17" i="9"/>
  <c r="E17" i="11"/>
  <c r="C19" i="9"/>
  <c r="D25" i="5"/>
  <c r="E25" i="11" s="1"/>
  <c r="E24" i="11"/>
  <c r="C12" i="11"/>
  <c r="D31" i="3" l="1"/>
  <c r="A31" i="11" s="1"/>
  <c r="D36" i="4"/>
  <c r="D37" i="4" s="1"/>
  <c r="C37" i="11" s="1"/>
  <c r="C36" i="11"/>
  <c r="D30" i="5"/>
  <c r="D38" i="4"/>
  <c r="C16" i="9" s="1"/>
  <c r="D28" i="5"/>
  <c r="E28" i="11" s="1"/>
  <c r="D32" i="3" l="1"/>
  <c r="E30" i="11"/>
  <c r="D13" i="5"/>
  <c r="A32" i="11"/>
  <c r="D24" i="3"/>
  <c r="C38" i="11"/>
  <c r="F7" i="1"/>
  <c r="A24" i="11"/>
  <c r="D17" i="3" l="1"/>
  <c r="F8" i="1"/>
  <c r="E13" i="11"/>
  <c r="D14" i="5"/>
  <c r="D19" i="3" l="1"/>
  <c r="A19" i="11" s="1"/>
  <c r="A17" i="11"/>
  <c r="E14" i="11"/>
  <c r="D21" i="3"/>
  <c r="C18" i="9"/>
  <c r="A21" i="11" l="1"/>
  <c r="D23" i="3"/>
  <c r="A23" i="11" l="1"/>
  <c r="D25" i="3"/>
  <c r="G5" i="3"/>
  <c r="G6" i="3" l="1"/>
  <c r="D5" i="3"/>
  <c r="C14" i="9"/>
  <c r="F6" i="1"/>
  <c r="A25" i="11"/>
  <c r="G8" i="3" l="1"/>
  <c r="G9" i="3" s="1"/>
  <c r="G10" i="3" s="1"/>
  <c r="D6" i="3" s="1"/>
  <c r="A5" i="11"/>
  <c r="D9" i="3"/>
  <c r="A9" i="11" s="1"/>
  <c r="A6" i="11" l="1"/>
  <c r="D10" i="3"/>
  <c r="A10" i="11" s="1"/>
  <c r="D7" i="3"/>
  <c r="D11" i="3" l="1"/>
  <c r="A7" i="11"/>
  <c r="D8" i="3"/>
  <c r="C12" i="9" l="1"/>
  <c r="A8" i="11"/>
  <c r="A11" i="11"/>
  <c r="D12" i="3"/>
  <c r="C13" i="9" l="1"/>
  <c r="A12" i="1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D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法人税法67条7項・国税通則法10条：月数は暦に従い、応当日がない月は月末を満了日とし、1月未満の端数は1月に切り上げます。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G1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国税庁法人税基本通達16-1-8(2)：年1億円相当額の端数が課税留保金額（21）で切り捨てた端数より多い場合は切上げ、それ以外は切捨て。</t>
        </r>
      </text>
    </comment>
  </commentList>
</comments>
</file>

<file path=xl/sharedStrings.xml><?xml version="1.0" encoding="utf-8"?>
<sst xmlns="http://schemas.openxmlformats.org/spreadsheetml/2006/main" count="779" uniqueCount="579">
  <si>
    <t>特定同族会社の留保金課税 - 入力</t>
  </si>
  <si>
    <t>黄色セルだけを入力してください。別表三(一)・付表一・付表二へ自動転記します。</t>
  </si>
  <si>
    <t>基本情報</t>
  </si>
  <si>
    <t>法人名</t>
  </si>
  <si>
    <t>事業年度開始日</t>
  </si>
  <si>
    <t>事業年度終了日</t>
  </si>
  <si>
    <t>事業年度月数（自動）</t>
  </si>
  <si>
    <t>措法42条の12の5第2項の中小企業者等該当性（主表24用）</t>
  </si>
  <si>
    <t>通算法人</t>
  </si>
  <si>
    <t>別表二「判定結果18」特定同族会社</t>
  </si>
  <si>
    <t>はい</t>
  </si>
  <si>
    <t>別表三(一)・住民税額計算の入力</t>
  </si>
  <si>
    <t>入力ID</t>
  </si>
  <si>
    <t>転記元</t>
  </si>
  <si>
    <t>内容</t>
  </si>
  <si>
    <t>入力額</t>
  </si>
  <si>
    <t>備考</t>
  </si>
  <si>
    <t>m_B4_52_2</t>
  </si>
  <si>
    <t>別表四「52の②」</t>
  </si>
  <si>
    <t>留保所得金額（9）の基礎額</t>
  </si>
  <si>
    <t>別表四「17」がある場合は後記の内書欄にも入力</t>
  </si>
  <si>
    <t>b10_7_15</t>
  </si>
  <si>
    <t>別表十(七)「15」</t>
  </si>
  <si>
    <t>留保所得金額（9）に含める金額</t>
  </si>
  <si>
    <t>主表記載要領2(2)。該当がなければ0</t>
  </si>
  <si>
    <t>m_B4_17_inner</t>
  </si>
  <si>
    <t>別表四「17」</t>
  </si>
  <si>
    <t>留保所得金額（9）の内書額</t>
  </si>
  <si>
    <t>当期留保金額（19）で9から減算</t>
  </si>
  <si>
    <t>prev_div</t>
  </si>
  <si>
    <t>前期の別表三(一)「11」</t>
  </si>
  <si>
    <t>前期末配当等の額（10）</t>
  </si>
  <si>
    <t>通算法人間配当等を除く</t>
  </si>
  <si>
    <t>curr_div</t>
  </si>
  <si>
    <t>法人税法67条4項</t>
  </si>
  <si>
    <t>当期末配当等の額（11）</t>
  </si>
  <si>
    <t>b1_2</t>
  </si>
  <si>
    <t>別表一「2」</t>
  </si>
  <si>
    <t>法人税額等（12・22・23）用</t>
  </si>
  <si>
    <t>b1_3</t>
  </si>
  <si>
    <t>別表一「3」</t>
  </si>
  <si>
    <t>法人税額等（12）用</t>
  </si>
  <si>
    <t>b1_4</t>
  </si>
  <si>
    <t>別表一「4」</t>
  </si>
  <si>
    <t>研究開発税制の調整額は後段へ入力</t>
  </si>
  <si>
    <t>b1_6</t>
  </si>
  <si>
    <t>別表一「6」</t>
  </si>
  <si>
    <t>b1_9out</t>
  </si>
  <si>
    <t>別表一「9の外書」</t>
  </si>
  <si>
    <t>b1_11</t>
  </si>
  <si>
    <t>別表一「11」</t>
  </si>
  <si>
    <t>b1_17</t>
  </si>
  <si>
    <t>別表一「17」</t>
  </si>
  <si>
    <t>b1_18</t>
  </si>
  <si>
    <t>別表一「18」</t>
  </si>
  <si>
    <t>b1_31</t>
  </si>
  <si>
    <t>別表一「31」</t>
  </si>
  <si>
    <t>地方法人税額計算</t>
  </si>
  <si>
    <t>b1_32</t>
  </si>
  <si>
    <t>別表一「32」</t>
  </si>
  <si>
    <t>b1_36</t>
  </si>
  <si>
    <t>別表一「36」</t>
  </si>
  <si>
    <t>b1_94</t>
  </si>
  <si>
    <t>別表一「94」</t>
  </si>
  <si>
    <t>防衛特別法人税関係</t>
  </si>
  <si>
    <t>b1_50</t>
  </si>
  <si>
    <t>別表一「50」</t>
  </si>
  <si>
    <t>防衛特別法人税額計算</t>
  </si>
  <si>
    <t>b1_51</t>
  </si>
  <si>
    <t>別表一「51」</t>
  </si>
  <si>
    <t>b1_55</t>
  </si>
  <si>
    <t>別表一「55」</t>
  </si>
  <si>
    <t>b1_71</t>
  </si>
  <si>
    <t>別表一「71」</t>
  </si>
  <si>
    <t>b6_5_2_5_3</t>
  </si>
  <si>
    <t>別表六(五の二)「5の③」</t>
  </si>
  <si>
    <t>分配時調整外国税相当額の控除額</t>
  </si>
  <si>
    <t>（12）用</t>
  </si>
  <si>
    <t>b17_3_6_1</t>
  </si>
  <si>
    <t>別表十七(三の六)「1」</t>
  </si>
  <si>
    <t>外国関係会社等に係る控除対象所得税額等相当額（14）</t>
  </si>
  <si>
    <t>specific_donation_total</t>
  </si>
  <si>
    <t>法人税法施行令139条の10第1項</t>
  </si>
  <si>
    <t>特定寄附金のうち、当期所得の計算上損金算入される額の合計額（25の基礎）</t>
  </si>
  <si>
    <t>損金不算入額を含めない。該当がなければ0</t>
  </si>
  <si>
    <t>b6_2_f6_7_total</t>
  </si>
  <si>
    <t>別表六(二)付表六「7の計」</t>
  </si>
  <si>
    <t>調整地方税額に係る控除額（26）の基礎</t>
  </si>
  <si>
    <t>b6_6_3</t>
  </si>
  <si>
    <t>別表六(六)「3」</t>
  </si>
  <si>
    <t>中小企業者等（23）で控除する額</t>
  </si>
  <si>
    <t>b6_6_9_2</t>
  </si>
  <si>
    <t>別表六(六)「9の②」</t>
  </si>
  <si>
    <t>税額控除額</t>
  </si>
  <si>
    <t>22・23用</t>
  </si>
  <si>
    <t>b6_6_9_3</t>
  </si>
  <si>
    <t>別表六(六)「9の③」</t>
  </si>
  <si>
    <t>b6_6_9_4</t>
  </si>
  <si>
    <t>別表六(六)「9の④」</t>
  </si>
  <si>
    <t>23用</t>
  </si>
  <si>
    <t>b6_6_9_5_8</t>
  </si>
  <si>
    <t>別表六(六)「9の⑤～⑧」合計</t>
  </si>
  <si>
    <t>税額控除額の合計</t>
  </si>
  <si>
    <t>b6_6_9_11_14</t>
  </si>
  <si>
    <t>別表六(六)「9の⑪～⑭」合計</t>
  </si>
  <si>
    <t>b6_6_9_16_18</t>
  </si>
  <si>
    <t>別表六(六)「9の⑯～⑱」合計</t>
  </si>
  <si>
    <t>b6_6_9_19_20</t>
  </si>
  <si>
    <t>別表六(六)「9の⑲～⑳」合計</t>
  </si>
  <si>
    <t>b6_6_9_25_26</t>
  </si>
  <si>
    <t>別表六(六)「9の㉕～㉖」合計</t>
  </si>
  <si>
    <t>b6_6_9_27_29</t>
  </si>
  <si>
    <t>別表六(六)「9の㉗～㉙」合計</t>
  </si>
  <si>
    <t>b6_9_f_40</t>
  </si>
  <si>
    <t>別表六(九)付表「40」</t>
  </si>
  <si>
    <t>別表一「4」から控除する研究開発税制調整額</t>
  </si>
  <si>
    <t>該当時のみ</t>
  </si>
  <si>
    <t>b6_9_f_45</t>
  </si>
  <si>
    <t>別表六(九)付表「45」</t>
  </si>
  <si>
    <t>b6_12_f2_19</t>
  </si>
  <si>
    <t>別表六(十二)付表二「19」</t>
  </si>
  <si>
    <t>別表一「4」から控除する調整額</t>
  </si>
  <si>
    <t>中小企業者等以外・該当時のみ</t>
  </si>
  <si>
    <t>b6_12_f2_24</t>
  </si>
  <si>
    <t>別表六(十二)付表二「24」</t>
  </si>
  <si>
    <t>別表三(一)付表一の入力</t>
  </si>
  <si>
    <t>f1_capital</t>
  </si>
  <si>
    <t>期末資本金又は出資金</t>
  </si>
  <si>
    <t>期末資本金の額又は出資金の額（1）</t>
  </si>
  <si>
    <t>f1_b5_1_31_1</t>
  </si>
  <si>
    <t>別表五(一)「31の①」</t>
  </si>
  <si>
    <t>期首利益積立金額の基礎</t>
  </si>
  <si>
    <t>（3）で前期末配当等を控除</t>
  </si>
  <si>
    <t>f1_merger_inc</t>
  </si>
  <si>
    <t>適格合併等</t>
  </si>
  <si>
    <t>適格合併等により増加した利益積立金額（4）</t>
  </si>
  <si>
    <t>f1_split_dec</t>
  </si>
  <si>
    <t>適格分割型分割等</t>
  </si>
  <si>
    <t>適格分割型分割等により減少した利益積立金額（5）</t>
  </si>
  <si>
    <t>f1_b4_52_1</t>
  </si>
  <si>
    <t>別表四「52の①」</t>
  </si>
  <si>
    <t>所得金額（9）</t>
  </si>
  <si>
    <t>f1_b4_38</t>
  </si>
  <si>
    <t>別表四「38」</t>
  </si>
  <si>
    <t>非適格合併による移転資産等の譲渡利益額又は譲渡損失額（10）</t>
  </si>
  <si>
    <t>損失額はマイナス入力可</t>
  </si>
  <si>
    <t>f1_b8_1_5</t>
  </si>
  <si>
    <t>別表八(一)「5」</t>
  </si>
  <si>
    <t>受取配当等の益金不算入額（11）</t>
  </si>
  <si>
    <t>f1_b8_2_26</t>
  </si>
  <si>
    <t>別表八(二)「26」</t>
  </si>
  <si>
    <t>外国子会社配当益金不算入額（12）の一部</t>
  </si>
  <si>
    <t>f1_b17_3_7_27</t>
  </si>
  <si>
    <t>別表十七(三の七)「27の計」</t>
  </si>
  <si>
    <t>f1_b4_16</t>
  </si>
  <si>
    <t>別表四「16」</t>
  </si>
  <si>
    <t>受贈益の益金不算入額（13）</t>
  </si>
  <si>
    <t>f1_b4_19</t>
  </si>
  <si>
    <t>別表四「19」</t>
  </si>
  <si>
    <t>法人税額の還付金等（14）の一部</t>
  </si>
  <si>
    <t>f1_b4f_7</t>
  </si>
  <si>
    <t>別表四付表「7」</t>
  </si>
  <si>
    <t>f1_b7_1_4</t>
  </si>
  <si>
    <t>別表七(一)「4の計」</t>
  </si>
  <si>
    <t>欠損金等の当期控除額（15）の一部</t>
  </si>
  <si>
    <t>f1_b7_other</t>
  </si>
  <si>
    <t>別表七(三)「9/21」又は別表七(四)「10」</t>
  </si>
  <si>
    <t>該当欄の額</t>
  </si>
  <si>
    <t>f1_b4_37</t>
  </si>
  <si>
    <t>別表四「37」</t>
  </si>
  <si>
    <t>災害損失欠損金額の益金算入額（16）</t>
  </si>
  <si>
    <t>f1_b8_3_13</t>
  </si>
  <si>
    <t>別表八(三)「13」の合計額</t>
  </si>
  <si>
    <t>他法人株式等の帳簿価額から減算される金額（19）</t>
  </si>
  <si>
    <t>現物分配対応部分を除外</t>
  </si>
  <si>
    <t>f1_b10_3_47</t>
  </si>
  <si>
    <t>別表十(三)「47」</t>
  </si>
  <si>
    <t>新鉱床探鉱費等の特別控除額（20）</t>
  </si>
  <si>
    <t>f1_b10_4_20</t>
  </si>
  <si>
    <t>別表十(四)「20」</t>
  </si>
  <si>
    <t>日本船舶収入所得の損金算入額（21）</t>
  </si>
  <si>
    <t>f1_b10_4_21_23</t>
  </si>
  <si>
    <t>別表十(四)「21」又は「23」</t>
  </si>
  <si>
    <t>日本船舶収入所得の益金算入額（22）</t>
  </si>
  <si>
    <t>f1_b10_5_12</t>
  </si>
  <si>
    <t>別表十(五)「12」</t>
  </si>
  <si>
    <t>特許権等の譲渡等による所得の特別控除額（23）</t>
  </si>
  <si>
    <t>f1_b10_1_15_or_10_2_10</t>
  </si>
  <si>
    <t>別表十(一)「15」又は別表十(二)「10」</t>
  </si>
  <si>
    <t>沖縄・国家戦略特区の所得特別控除額（24）</t>
  </si>
  <si>
    <t>f1_b10_1_16_or_10_2_11</t>
  </si>
  <si>
    <t>別表十(一)「16」又は別表十(二)「11」</t>
  </si>
  <si>
    <t>沖縄・国家戦略特区の要加算調整額（25）</t>
  </si>
  <si>
    <t>f1_b10_6_sum</t>
  </si>
  <si>
    <t>別表十(六)「22+37+42+47+52」</t>
  </si>
  <si>
    <t>収用等の場合等の所得の特別控除額（26）</t>
  </si>
  <si>
    <t>合計入力</t>
  </si>
  <si>
    <t>f1_b10_7_12</t>
  </si>
  <si>
    <t>別表十(七)「12」</t>
  </si>
  <si>
    <t>特別勘定繰入額の損金算入額（27）</t>
  </si>
  <si>
    <t>f1_b10_7_20_22</t>
  </si>
  <si>
    <t>別表十(七)「20+22」</t>
  </si>
  <si>
    <t>特別勘定取崩額の益金算入額（28）</t>
  </si>
  <si>
    <t>f1_b10_8_22</t>
  </si>
  <si>
    <t>別表十(八)「22」</t>
  </si>
  <si>
    <t>肉用牛売却所得の特別控除額（29）</t>
  </si>
  <si>
    <t>f1_b17_2_3_10</t>
  </si>
  <si>
    <t>別表十七(二の三)「10」</t>
  </si>
  <si>
    <t>超過利子額の損金算入額（30）</t>
  </si>
  <si>
    <t>f1_b17_3_income_sum</t>
  </si>
  <si>
    <t>別表十七(三の二)「28」+三の三「9」+三の四「11」</t>
  </si>
  <si>
    <t>課税対象金額等の益金算入額（31）</t>
  </si>
  <si>
    <t>別表三(一)付表二（通算法人）の入力</t>
  </si>
  <si>
    <t>f2_b4f_3</t>
  </si>
  <si>
    <t>別表四付表「3」</t>
  </si>
  <si>
    <t>他の通算法人株式の譲渡損失額（1）</t>
  </si>
  <si>
    <t>f2_b7_2_11</t>
  </si>
  <si>
    <t>別表七の二「11」</t>
  </si>
  <si>
    <t>通算対象所得金額の益金算入額（2・14）</t>
  </si>
  <si>
    <t>f2_out_div_outflow</t>
  </si>
  <si>
    <t>当期計算</t>
  </si>
  <si>
    <t>通算外配当等流出額（3）</t>
  </si>
  <si>
    <t>f2_in_div_amount</t>
  </si>
  <si>
    <t>通算内配当等の額（4）</t>
  </si>
  <si>
    <t>f2_b4f_8</t>
  </si>
  <si>
    <t>別表四付表「8」</t>
  </si>
  <si>
    <t>他の通算法人株式の譲渡利益額（6）</t>
  </si>
  <si>
    <t>f2_b7_2_5</t>
  </si>
  <si>
    <t>別表七の二「5」</t>
  </si>
  <si>
    <t>通算対象欠損金額の損金算入額（7・11）</t>
  </si>
  <si>
    <t>f2_group_div_received</t>
  </si>
  <si>
    <t>法人税法施行令139条の8</t>
  </si>
  <si>
    <t>通算法人間配当等の当期受取額（8・18）</t>
  </si>
  <si>
    <t>記載要領2参照</t>
  </si>
  <si>
    <t>f2_b4f_9</t>
  </si>
  <si>
    <t>別表四付表「9」</t>
  </si>
  <si>
    <t>合併等があった場合の欠損金損金算入額（12）</t>
  </si>
  <si>
    <t>f2_b7_2_f1_23</t>
  </si>
  <si>
    <t>別表七(二)付表一「23の計」</t>
  </si>
  <si>
    <t>当初配賦欠損金控除額の益金算入額（15）</t>
  </si>
  <si>
    <t>f2_b8_1_f_24</t>
  </si>
  <si>
    <t>別表八(一)付表「24」</t>
  </si>
  <si>
    <t>当初支払利子配賦額の控除不足額の益金算入額（16）</t>
  </si>
  <si>
    <t>f2_b18_1_5_total</t>
  </si>
  <si>
    <t>別表十八(一)「5の計」</t>
  </si>
  <si>
    <t>他の通算法人の調整通算外配当等流出額の基礎（21）</t>
  </si>
  <si>
    <t>f2_b18_1_6_total</t>
  </si>
  <si>
    <t>別表十八(一)「6の計」</t>
  </si>
  <si>
    <t>他の通算法人の純通算内配当等の基礎（23）</t>
  </si>
  <si>
    <t>別表三(一)付表二 - 調整計算</t>
  </si>
  <si>
    <t>令和8年4月1日以後終了事業年度分。金額単位は円。青色セルは数式です。</t>
  </si>
  <si>
    <t>番号</t>
  </si>
  <si>
    <t>項目</t>
  </si>
  <si>
    <t>計算式・転記元</t>
  </si>
  <si>
    <t>金額</t>
  </si>
  <si>
    <t>注記</t>
  </si>
  <si>
    <t>他の通算法人に対する通算法人株式の譲渡損失額</t>
  </si>
  <si>
    <t>留保金加算額</t>
  </si>
  <si>
    <t>通算対象所得金額の益金算入額</t>
  </si>
  <si>
    <t>通算外配当等流出額</t>
  </si>
  <si>
    <t>入力値</t>
  </si>
  <si>
    <t>通算内配当等の額</t>
  </si>
  <si>
    <t>通算法人の留保金加算額</t>
  </si>
  <si>
    <t>(1)+(2)+(3)+(4)</t>
  </si>
  <si>
    <t>別表三(一)「16」へ</t>
  </si>
  <si>
    <t>他の通算法人に対する通算法人株式の譲渡利益額</t>
  </si>
  <si>
    <t>留保金控除額</t>
  </si>
  <si>
    <t>通算対象欠損金額の損金算入額</t>
  </si>
  <si>
    <t>通算法人間配当等の当期受取額</t>
  </si>
  <si>
    <t>施行令139条の8第1項</t>
  </si>
  <si>
    <t>記載要領2</t>
  </si>
  <si>
    <t>通算外配当等流出配賦額</t>
  </si>
  <si>
    <t>付表二「26」</t>
  </si>
  <si>
    <t>通算法人の留保金控除額</t>
  </si>
  <si>
    <t>(6)+(7)+(8)+(9)</t>
  </si>
  <si>
    <t>別表三(一)「17」へ</t>
  </si>
  <si>
    <t>所得基準額加算</t>
  </si>
  <si>
    <t>通算法人の合併等があった場合の欠損金の損金算入額</t>
  </si>
  <si>
    <t>通算法人の所得基準額加算額</t>
  </si>
  <si>
    <t>(11)+(12)</t>
  </si>
  <si>
    <t>付表一「17」へ</t>
  </si>
  <si>
    <t>所得基準額控除</t>
  </si>
  <si>
    <t>当初配賦欠損金控除額の益金算入額</t>
  </si>
  <si>
    <t>当初支払利子配賦額の控除不足額の益金算入額</t>
  </si>
  <si>
    <t>通算法人の所得基準額控除額</t>
  </si>
  <si>
    <t>(14)+(15)+(16)</t>
  </si>
  <si>
    <t>付表一「18」へ</t>
  </si>
  <si>
    <t>通算内配当等の額の当期受取額</t>
  </si>
  <si>
    <t>入力「通算法人間配当等の当期受取額」</t>
  </si>
  <si>
    <t>流出配賦額計算</t>
  </si>
  <si>
    <t>通算内配当等受取超過額</t>
  </si>
  <si>
    <t>MAX((18)-(4),0)</t>
  </si>
  <si>
    <t/>
  </si>
  <si>
    <t>調整通算外配当等流出額</t>
  </si>
  <si>
    <t>(3)と(19)の少ない金額</t>
  </si>
  <si>
    <t>他の通算法人の調整通算外配当等流出額の合計額</t>
  </si>
  <si>
    <t>別表十八(一)「5の計」-(20)</t>
  </si>
  <si>
    <t>純通算内配当等の額</t>
  </si>
  <si>
    <t>MAX((4)-(18),0)</t>
  </si>
  <si>
    <t>他の通算法人の純通算内配当等の額の合計額</t>
  </si>
  <si>
    <t>別表十八(一)「6の計」-(22)</t>
  </si>
  <si>
    <t>純通算内配当等の割合</t>
  </si>
  <si>
    <t>(22)/((22)+(23))</t>
  </si>
  <si>
    <t>分母0なら0</t>
  </si>
  <si>
    <t>通算外配当等流出超過額</t>
  </si>
  <si>
    <t>MAX((3)-(19),0)</t>
  </si>
  <si>
    <t>((20)+(21))×(24)+(25)</t>
  </si>
  <si>
    <t>割合を分数のまま計算し1円未満切捨て</t>
  </si>
  <si>
    <t>別表三(一)付表一 - 留保控除額の計算</t>
  </si>
  <si>
    <t>期末資本金の額又は出資金の額</t>
  </si>
  <si>
    <t>積立金基準額</t>
  </si>
  <si>
    <t>同上の25％相当額</t>
  </si>
  <si>
    <t>(1)×25％</t>
  </si>
  <si>
    <t>1円未満切捨て</t>
  </si>
  <si>
    <t>期首利益積立金額</t>
  </si>
  <si>
    <t>別表五(一)「31の①」-別表三(一)「10」</t>
  </si>
  <si>
    <t>適格合併等により増加した利益積立金額</t>
  </si>
  <si>
    <t>適格分割型分割等により減少した利益積立金額</t>
  </si>
  <si>
    <t>期末利益積立金額</t>
  </si>
  <si>
    <t>(3)+(4)-(5)</t>
  </si>
  <si>
    <t>(2)-(6)</t>
  </si>
  <si>
    <t>利益積立金額がマイナスなら差額は増加</t>
  </si>
  <si>
    <t>定額基準額</t>
  </si>
  <si>
    <t>2,000万円×当期月数/12</t>
  </si>
  <si>
    <t>所得金額</t>
  </si>
  <si>
    <t>所得基準額</t>
  </si>
  <si>
    <t>非適格合併による移転資産等の譲渡利益額又は譲渡損失額</t>
  </si>
  <si>
    <t>損失はマイナス</t>
  </si>
  <si>
    <t>受取配当等の益金不算入額</t>
  </si>
  <si>
    <t>別表八(一)「5」（通算法人間配当等を除く）</t>
  </si>
  <si>
    <t>外国子会社等から受ける剰余金配当等の益金不算入額</t>
  </si>
  <si>
    <t>別表八(二)「26」+別表十七(三の七)「27の計」</t>
  </si>
  <si>
    <t>受贈益の益金不算入額</t>
  </si>
  <si>
    <t>法人税額の還付金等</t>
  </si>
  <si>
    <t>別表四「19」+別表四付表「7」</t>
  </si>
  <si>
    <t>過誤納・中間納付還付を除く</t>
  </si>
  <si>
    <t>欠損金等の当期控除額</t>
  </si>
  <si>
    <t>別表七(一)「4の計」+該当する別表七の額</t>
  </si>
  <si>
    <t>災害損失欠損金額の益金算入額</t>
  </si>
  <si>
    <t>付表二「13」</t>
  </si>
  <si>
    <t>非通算法人は0</t>
  </si>
  <si>
    <t>付表二「17」</t>
  </si>
  <si>
    <t>他法人株式等の帳簿価額から減算される金額</t>
  </si>
  <si>
    <t>現物分配対応部分を除く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</si>
  <si>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</si>
  <si>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</si>
  <si>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</si>
  <si>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特許権等の譲渡等による所得の特別控除額</t>
  </si>
  <si>
    <t>沖縄の認定法人・国家戦略特区指定法人の所得特別控除額</t>
  </si>
  <si>
    <t>沖縄の認定法人・国家戦略特区指定法人の要加算調整額</t>
  </si>
  <si>
    <t>収用等の場合等の所得の特別控除額</t>
  </si>
  <si>
    <t>特別新事業開拓事業者株式の特別勘定繰入額</t>
  </si>
  <si>
    <t>損金算入額</t>
  </si>
  <si>
    <t>特別新事業開拓事業者株式の特別勘定取崩額</t>
  </si>
  <si>
    <t>別表十(七)「20」+「22」</t>
  </si>
  <si>
    <t>益金算入額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</si>
  <si>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</si>
  <si>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</si>
  <si>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</si>
  <si>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</si>
  <si>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(9)-(10)+(11)+(12)+(13)+(14)+(15)-(16)+(17)-(18)-(19)+(20)+(21)-(22)+(23)+(24)-(25)+(26)+(27)-(28)+(29)+(30)-(31)</t>
  </si>
  <si>
    <t>(32)×40％</t>
  </si>
  <si>
    <t>留保控除額</t>
  </si>
  <si>
    <t>(7)、(8)、(33)のいずれか多い金額</t>
  </si>
  <si>
    <t>別表三(一)「20」へ</t>
  </si>
  <si>
    <t>別表三(一) - 留保金額に対する税額の計算</t>
  </si>
  <si>
    <t>年3,000万円相当額以下の金額</t>
  </si>
  <si>
    <t>MIN((21),3,000万円×月数/12)</t>
  </si>
  <si>
    <t>1,000円単位</t>
  </si>
  <si>
    <t>年3,000万円相当額超・年1億円相当額以下</t>
  </si>
  <si>
    <t>通達16-1-8(2)の端数判定を適用</t>
  </si>
  <si>
    <t>特殊な切上げ・切捨て</t>
  </si>
  <si>
    <t>年1億円相当額を超える金額</t>
  </si>
  <si>
    <t>(21)-(1)-(2)</t>
  </si>
  <si>
    <t>課税留保金額 計</t>
  </si>
  <si>
    <t>(1)+(2)+(3)</t>
  </si>
  <si>
    <t>(21)と一致</t>
  </si>
  <si>
    <t>(1)の10％相当額</t>
  </si>
  <si>
    <t>(1)×10％</t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</si>
  <si>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</si>
  <si>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</si>
  <si>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</si>
  <si>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</si>
  <si>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</si>
  <si>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</si>
  <si>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</si>
  <si>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</si>
  <si>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別表四「52の②」+別表十(七)「15」</t>
  </si>
  <si>
    <t>記載要領2(2)。内書額は別入力</t>
  </si>
  <si>
    <t>前期末配当等の額</t>
  </si>
  <si>
    <t>当期末配当等の額</t>
  </si>
  <si>
    <t>法人税額、地方法人税額及び防衛特別法人税額の合計額</t>
  </si>
  <si>
    <t>令和8年様式の算式を構成要素別に計算</t>
  </si>
  <si>
    <t>マイナスの場合0</t>
  </si>
  <si>
    <t>住民税額</t>
  </si>
  <si>
    <t>(28)</t>
  </si>
  <si>
    <t>外国関係会社等に係る控除対象所得税額等相当額</t>
  </si>
  <si>
    <t>法人税額等の合計額</t>
  </si>
  <si>
    <t>MAX((12)+(13)-(14),0)</t>
  </si>
  <si>
    <t>付表二「5」</t>
  </si>
  <si>
    <t>付表二「10」</t>
  </si>
  <si>
    <t>付表一「19」</t>
  </si>
  <si>
    <t>当期留保金額</t>
  </si>
  <si>
    <t>(9)-9内書+(10)-(11)-(15)+(16)-(17)-(18)</t>
  </si>
  <si>
    <t>記載要領2(1)を反映</t>
  </si>
  <si>
    <t>付表一「34」</t>
  </si>
  <si>
    <t>課税留保金額</t>
  </si>
  <si>
    <t>MAX((19)-(20),0)、1,000円未満切捨て</t>
  </si>
  <si>
    <t>通達16-1-8(1)</t>
  </si>
  <si>
    <t>住民税計算の基礎となる法人税額（中小企業者等以外）</t>
  </si>
  <si>
    <t>令和8年様式「22」</t>
  </si>
  <si>
    <t>記載要領4(1)反映</t>
  </si>
  <si>
    <t>住民税計算の基礎となる法人税額（中小企業者等）</t>
  </si>
  <si>
    <t>令和8年様式「23」</t>
  </si>
  <si>
    <t>記載要領4(2)反映</t>
  </si>
  <si>
    <t>選択した(22)又は(23)×10.4％</t>
  </si>
  <si>
    <t>措法42条の12の5第2項の該当性で選択</t>
  </si>
  <si>
    <t>特定寄附金の額の合計額に係る控除額</t>
  </si>
  <si>
    <t>損金算入される特定寄附金合計×40％</t>
  </si>
  <si>
    <t>施行令139条の10第1項</t>
  </si>
  <si>
    <t>調整地方税額に係る控除額</t>
  </si>
  <si>
    <t>((24)+(別表一11+17)×10.4％-付表六7計×10.4％)×20％</t>
  </si>
  <si>
    <t>10.4%=13/125、20%=1/5で厳密整数計算。マイナスの場合0</t>
  </si>
  <si>
    <t>住民税額から控除される金額</t>
  </si>
  <si>
    <t>(25)又は(26)の少ない金額</t>
  </si>
  <si>
    <t>(24)-(27)</t>
  </si>
  <si>
    <t>(13)へ</t>
  </si>
  <si>
    <t>端数処理ヘルパー</t>
  </si>
  <si>
    <t>値</t>
  </si>
  <si>
    <t>課税留保金額（切捨前）</t>
  </si>
  <si>
    <t>（21）で切り捨てた端数</t>
  </si>
  <si>
    <t>年1億円相当額（生額）</t>
  </si>
  <si>
    <t>（2）の丸め前金額</t>
  </si>
  <si>
    <t>（2）の1,000円未満端数</t>
  </si>
  <si>
    <t>（2）の丸め後金額</t>
  </si>
  <si>
    <t>特定同族会社の留保金課税 計算シート</t>
  </si>
  <si>
    <t>国税庁 令和8年4月1日以後終了事業年度分 別表三(一)・付表一・付表二対応</t>
  </si>
  <si>
    <t>最終結果</t>
  </si>
  <si>
    <t>留保金額に対する税額（別表三(一)「8」）</t>
  </si>
  <si>
    <t>課税留保金額（同「21」）</t>
  </si>
  <si>
    <t>留保控除額（付表一「34」）</t>
  </si>
  <si>
    <t>住民税額（別表三(一)「28」）</t>
  </si>
  <si>
    <t>適用・入力チェック</t>
  </si>
  <si>
    <t>様式の適用関係</t>
  </si>
  <si>
    <t>特定同族会社の判定</t>
  </si>
  <si>
    <t>通算法人の取扱い</t>
  </si>
  <si>
    <t>事業年度月数</t>
  </si>
  <si>
    <t>使い方</t>
  </si>
  <si>
    <t>1. 「入力」シートの黄色セルへ、各別表から金額を転記します。</t>
  </si>
  <si>
    <t>2. 法人区分・通算法人該当を選択し、計算シートの各欄を確認します。</t>
  </si>
  <si>
    <t>3. 「検算」シートが全てOKであることを確認します。</t>
  </si>
  <si>
    <t>4. 印刷用の「別表三(一)」「付表一」「付表二」を必要に応じて印刷します。</t>
  </si>
  <si>
    <t>5. 実申告前に税理士・社内税務担当者が他の申告書別表との一致を確認してください。</t>
  </si>
  <si>
    <t>シート移動</t>
  </si>
  <si>
    <t>入力</t>
  </si>
  <si>
    <t>主表計算</t>
  </si>
  <si>
    <t>付表一計算</t>
  </si>
  <si>
    <t>付表二計算</t>
  </si>
  <si>
    <t>別表三(一)</t>
  </si>
  <si>
    <t>付表一</t>
  </si>
  <si>
    <t>付表二</t>
  </si>
  <si>
    <t>検算</t>
  </si>
  <si>
    <t>注意：本ブックは国税庁の令和8年様式・記載要領を基に計算補助を行うものです。法人の事実関係、特定同族会社該当性、各別表の転記値及び税制改正・経過措置は必ず最終確認してください。</t>
  </si>
  <si>
    <t>根拠・出典</t>
  </si>
  <si>
    <t>区分</t>
  </si>
  <si>
    <t>資料名</t>
  </si>
  <si>
    <t>URL</t>
  </si>
  <si>
    <t>反映内容</t>
  </si>
  <si>
    <t>国税庁</t>
  </si>
  <si>
    <t>令和8年法人税等各種別表一覧</t>
  </si>
  <si>
    <t>https://www.nta.go.jp/taxes/tetsuzuki/shinsei/annai/hojin/shinkoku/itiran2026/01.htm</t>
  </si>
  <si>
    <t>適用年度・様式版</t>
  </si>
  <si>
    <t>別表三(一) 様式</t>
  </si>
  <si>
    <t>https://www.nta.go.jp/taxes/tetsuzuki/shinsei/annai/hojin/shinkoku/itiran2026/pdf/03%2801%29.pdf</t>
  </si>
  <si>
    <t>主表の完全版面・欄番号・算式</t>
  </si>
  <si>
    <t>別表三(一) 記載の仕方</t>
  </si>
  <si>
    <t>https://www.nta.go.jp/taxes/tetsuzuki/shinsei/annai/hojin/shinkoku/itiran2026/pdf/03%2801%29-ki.pdf</t>
  </si>
  <si>
    <t>9内書、19、22・23、24の取扱い</t>
  </si>
  <si>
    <t>別表三(一)付表一 様式</t>
  </si>
  <si>
    <t>https://www.nta.go.jp/taxes/tetsuzuki/shinsei/annai/hojin/shinkoku/itiran2026/pdf/03%2801%29-f1.pdf</t>
  </si>
  <si>
    <t>留保控除額1～34</t>
  </si>
  <si>
    <t>別表三(一)付表一 記載の仕方</t>
  </si>
  <si>
    <t>https://www.nta.go.jp/taxes/tetsuzuki/shinsei/annai/hojin/shinkoku/itiran2026/pdf/03%2801%29-f1-ki.pdf</t>
  </si>
  <si>
    <t>19欄の現物分配調整</t>
  </si>
  <si>
    <t>別表三(一)付表二 様式</t>
  </si>
  <si>
    <t>https://www.nta.go.jp/taxes/tetsuzuki/shinsei/annai/hojin/shinkoku/itiran2026/pdf/03%2801%29-f2.pdf</t>
  </si>
  <si>
    <t>通算法人1～26</t>
  </si>
  <si>
    <t>別表三(一)付表二 記載の仕方</t>
  </si>
  <si>
    <t>https://www.nta.go.jp/taxes/tetsuzuki/shinsei/annai/hojin/shinkoku/itiran2026/pdf/03%2801%29-f2-ki.pdf</t>
  </si>
  <si>
    <t>通算法人間配当等の定義・使用条件</t>
  </si>
  <si>
    <t>法人税基本通達16-1-8（留保金額の端数計算）</t>
  </si>
  <si>
    <t>https://www.nta.go.jp/law/tsutatsu/kihon/hojin/16/16_01_02.htm</t>
  </si>
  <si>
    <t>1,000円未満切捨て・短期事業年度の特殊丸め</t>
  </si>
  <si>
    <t>e-Gov</t>
  </si>
  <si>
    <t>法人税法 第67条（特定同族会社の特別税率）</t>
  </si>
  <si>
    <t>https://laws.e-gov.go.jp/law/340AC0000000034#Mp-At_67</t>
  </si>
  <si>
    <t>税率、留保控除額、月数</t>
  </si>
  <si>
    <t>国税通則法 第10条（期間の計算及び期限の特例）</t>
  </si>
  <si>
    <t>https://laws.e-gov.go.jp/law/337AC0000000066#Mp-At_10</t>
  </si>
  <si>
    <t>暦による月数計算・応当日がない月の満了日</t>
  </si>
  <si>
    <t>検算・QA</t>
  </si>
  <si>
    <t>検算項目</t>
  </si>
  <si>
    <t>判定式</t>
  </si>
  <si>
    <t>結果</t>
  </si>
  <si>
    <t>説明</t>
  </si>
  <si>
    <t>様式適用日</t>
  </si>
  <si>
    <t>=inp_end&gt;=DATE(2026,4,1)</t>
  </si>
  <si>
    <t>令和8年4月1日以後終了事業年度分</t>
  </si>
  <si>
    <t>特定同族会社判定</t>
  </si>
  <si>
    <t>=inp_special="はい"</t>
  </si>
  <si>
    <t>別表二「判定結果18」</t>
  </si>
  <si>
    <t>開始日・終了日の有効性</t>
  </si>
  <si>
    <t>=AND(ISNUMBER(inp_start),ISNUMBER(inp_end),inp_end&gt;=inp_start)</t>
  </si>
  <si>
    <t>日付型及び前後関係</t>
  </si>
  <si>
    <t>事業年度は暦による12か月以内</t>
  </si>
  <si>
    <t>=inp_end&lt;=IF(DAY(EDATE(inp_start,12))&lt;DAY(inp_start),EDATE(inp_start,12),EDATE(inp_start,12)-1)</t>
  </si>
  <si>
    <t>終了年等の誤入力を検知</t>
  </si>
  <si>
    <t>月数範囲</t>
  </si>
  <si>
    <t>=AND(inp_months&gt;=1,inp_months&lt;=12)</t>
  </si>
  <si>
    <t>端数月は1月に切上げ</t>
  </si>
  <si>
    <t>法人区分の必須選択</t>
  </si>
  <si>
    <t>=OR(inp_class="該当",inp_class="非該当")</t>
  </si>
  <si>
    <t>措法42条の12の5第2項の該当性</t>
  </si>
  <si>
    <t>通算法人区分の必須選択</t>
  </si>
  <si>
    <t>=OR(inp_group="はい",inp_group="いいえ")</t>
  </si>
  <si>
    <t>空欄の黙示的な非通算扱いを防止</t>
  </si>
  <si>
    <t>主表 (9)=別表四52②+別表十(七)15</t>
  </si>
  <si>
    <t>=m_09=inp_m_B4_52_2+inp_b10_7_15</t>
  </si>
  <si>
    <t>主表記載要領2(2)</t>
  </si>
  <si>
    <t>主表 (4)=(21)</t>
  </si>
  <si>
    <t>=m_04=m_21</t>
  </si>
  <si>
    <t>課税留保金額の区分合計</t>
  </si>
  <si>
    <t>主表 (8)=(5)+(6)+(7)</t>
  </si>
  <si>
    <t>=m_08=SUM(m_05:m_07)</t>
  </si>
  <si>
    <t>留保金額に対する税額</t>
  </si>
  <si>
    <t>主表 (21)は1,000円単位</t>
  </si>
  <si>
    <t>=MOD(m_21,1000)=0</t>
  </si>
  <si>
    <t>付表一 (6)=(3)+(4)-(5)</t>
  </si>
  <si>
    <t>=f1_06=f1_03+f1_04-f1_05</t>
  </si>
  <si>
    <t>付表一 (34)=MAX(7,8,33)</t>
  </si>
  <si>
    <t>=f1_34=MAX(f1_07,f1_08,f1_33)</t>
  </si>
  <si>
    <t>付表二 (5)=SUM(1:4)</t>
  </si>
  <si>
    <t>=f2_05=SUM(f2_01:f2_04)</t>
  </si>
  <si>
    <t>付表二 (10)=SUM(6:9)</t>
  </si>
  <si>
    <t>=f2_10=SUM(f2_06:f2_09)</t>
  </si>
  <si>
    <t>付表二 (13)=SUM(11:12)</t>
  </si>
  <si>
    <t>=f2_13=SUM(f2_11:f2_12)</t>
  </si>
  <si>
    <t>所得基準額加算額</t>
  </si>
  <si>
    <t>付表二 (17)=SUM(14:16)</t>
  </si>
  <si>
    <t>=f2_17=SUM(f2_14:f2_16)</t>
  </si>
  <si>
    <t>所得基準額控除額</t>
  </si>
  <si>
    <t>自動テスト結果</t>
  </si>
  <si>
    <t>ケース</t>
  </si>
  <si>
    <t>期待値</t>
  </si>
  <si>
    <t>実測値</t>
  </si>
  <si>
    <t>該当</t>
    <phoneticPr fontId="3"/>
  </si>
  <si>
    <t>いいえ</t>
    <phoneticPr fontId="3"/>
  </si>
  <si>
    <t>12か月・3段階税率</t>
  </si>
  <si>
    <t>課税留保180,000,000 / 税額29,500,000</t>
  </si>
  <si>
    <t>180,000,000
29,500,000</t>
  </si>
  <si>
    <t>PASS</t>
  </si>
  <si>
    <t>5か月・端数切上げ</t>
  </si>
  <si>
    <t>(2)=29,167,000</t>
  </si>
  <si>
    <t>5か月・端数切捨て</t>
  </si>
  <si>
    <t>(2)=29,166,000</t>
  </si>
  <si>
    <t>月末開始・平年短月末</t>
  </si>
  <si>
    <t>月数=1</t>
  </si>
  <si>
    <t>月末開始・閏年短月末</t>
  </si>
  <si>
    <t>31日開始・30日月末</t>
  </si>
  <si>
    <t>応当日前日まで</t>
  </si>
  <si>
    <t>1か月と1日</t>
  </si>
  <si>
    <t>月数=2</t>
  </si>
  <si>
    <t>別表十(七)15の主表9加算・伝播</t>
  </si>
  <si>
    <t>9=110,000,000 / 21=90,000,000 / 8=12,000,000</t>
  </si>
  <si>
    <t>110,000,000
90,000,000
12,000,000</t>
  </si>
  <si>
    <t>主表26・10.4%×20%厳密計算</t>
  </si>
  <si>
    <t>(26)=416,000</t>
  </si>
  <si>
    <t>付表二26・割合の分数厳密計算</t>
  </si>
  <si>
    <t>(26)=2,970,000,931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</si>
</sst>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9" formatCode="yyyy/mm/dd"/>
    <numFmt numFmtId="180" formatCode="#,##0;\-#,##0;0"/>
    <numFmt numFmtId="181" formatCode="0.00000000"/>
    <numFmt numFmtId="182" formatCode="#,##0&quot; 円&quot;"/>
  </numFmts>
  <fonts count="17">
    <font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b/>
      <sz val="10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b/>
      <sz val="13"/>
      <color theme="1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C00000"/>
      <name val="Yu Gothic"/>
      <family val="3"/>
      <charset val="128"/>
    </font>
    <font>
      <b/>
      <sz val="11"/>
      <color rgb="FF548235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2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" fontId="6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2" borderId="1" xfId="0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 wrapText="1"/>
    </xf>
    <xf numFmtId="180" fontId="6" fillId="4" borderId="1" xfId="0" applyNumberFormat="1" applyFont="1" applyFill="1" applyBorder="1" applyAlignment="1">
      <alignment horizontal="right" vertical="center"/>
    </xf>
    <xf numFmtId="0" fontId="1" fillId="6" borderId="1" xfId="0" applyFont="1" applyFill="1" applyBorder="1">
      <alignment vertical="center"/>
    </xf>
    <xf numFmtId="4" fontId="0" fillId="0" borderId="1" xfId="0" applyNumberFormat="1" applyBorder="1">
      <alignment vertical="center"/>
    </xf>
    <xf numFmtId="181" fontId="6" fillId="4" borderId="1" xfId="0" applyNumberFormat="1" applyFont="1" applyFill="1" applyBorder="1" applyAlignment="1">
      <alignment horizontal="right" vertical="center"/>
    </xf>
    <xf numFmtId="180" fontId="10" fillId="7" borderId="1" xfId="0" applyNumberFormat="1" applyFont="1" applyFill="1" applyBorder="1" applyAlignment="1">
      <alignment horizontal="right" vertical="center"/>
    </xf>
    <xf numFmtId="0" fontId="12" fillId="2" borderId="0" xfId="0" applyFont="1" applyFill="1">
      <alignment vertical="center"/>
    </xf>
    <xf numFmtId="0" fontId="10" fillId="8" borderId="0" xfId="0" applyFont="1" applyFill="1">
      <alignment vertical="center"/>
    </xf>
    <xf numFmtId="182" fontId="13" fillId="7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 applyAlignment="1">
      <alignment horizontal="left" vertical="center"/>
    </xf>
    <xf numFmtId="0" fontId="6" fillId="0" borderId="0" xfId="0" applyFont="1" applyAlignment="1">
      <alignment vertical="center" wrapText="1"/>
    </xf>
    <xf numFmtId="0" fontId="14" fillId="9" borderId="1" xfId="1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14" fillId="0" borderId="1" xfId="1" applyFont="1" applyBorder="1" applyAlignment="1">
      <alignment vertical="center" wrapText="1"/>
    </xf>
    <xf numFmtId="0" fontId="6" fillId="0" borderId="1" xfId="0" quotePrefix="1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80" fontId="6" fillId="3" borderId="1" xfId="0" applyNumberFormat="1" applyFont="1" applyFill="1" applyBorder="1" applyAlignment="1" applyProtection="1">
      <alignment horizontal="right" vertical="center"/>
      <protection locked="0"/>
    </xf>
    <xf numFmtId="49" fontId="6" fillId="3" borderId="1" xfId="0" applyNumberFormat="1" applyFont="1" applyFill="1" applyBorder="1" applyAlignment="1" applyProtection="1">
      <alignment horizontal="right" vertical="center"/>
      <protection locked="0"/>
    </xf>
    <xf numFmtId="0" fontId="6" fillId="3" borderId="1" xfId="0" applyNumberFormat="1" applyFont="1" applyFill="1" applyBorder="1" applyAlignment="1" applyProtection="1">
      <alignment horizontal="right" vertical="center"/>
      <protection locked="0"/>
    </xf>
    <xf numFmtId="179" fontId="6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sv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574294</xdr:colOff>
      <xdr:row>3</xdr:row>
      <xdr:rowOff>25400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AF5D60D0-5280-1A86-7DB5-4E323DA915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7559294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373467</xdr:colOff>
      <xdr:row>0</xdr:row>
      <xdr:rowOff>462280</xdr:rowOff>
    </xdr:from>
    <xdr:to>
      <xdr:col>7</xdr:col>
      <xdr:colOff>574783</xdr:colOff>
      <xdr:row>0</xdr:row>
      <xdr:rowOff>838200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A5CC8177-4A01-C6CA-CDD8-42A52CBAC086}"/>
            </a:ext>
          </a:extLst>
        </xdr:cNvPr>
        <xdr:cNvSpPr txBox="1"/>
      </xdr:nvSpPr>
      <xdr:spPr>
        <a:xfrm>
          <a:off x="4168227" y="462280"/>
          <a:ext cx="833776" cy="37592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ctr"/>
          <a:fld id="{DE4DC6D7-233A-4793-81A8-B8A1B89DCBBB}" type="TxLink">
            <a:rPr kumimoji="1" lang="en-US" altLang="en-US" sz="7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2026.4.1
2027.3.31</a:t>
          </a:fld>
          <a:endParaRPr kumimoji="1" lang="ja-JP" altLang="en-US" sz="7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415827</xdr:colOff>
      <xdr:row>0</xdr:row>
      <xdr:rowOff>477520</xdr:rowOff>
    </xdr:from>
    <xdr:to>
      <xdr:col>10</xdr:col>
      <xdr:colOff>396425</xdr:colOff>
      <xdr:row>0</xdr:row>
      <xdr:rowOff>833120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BA25A8A8-41E7-A26E-9BB2-697849B93C62}"/>
            </a:ext>
          </a:extLst>
        </xdr:cNvPr>
        <xdr:cNvSpPr txBox="1"/>
      </xdr:nvSpPr>
      <xdr:spPr>
        <a:xfrm>
          <a:off x="5475507" y="477520"/>
          <a:ext cx="1245518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76FB51FD-93E5-479B-A75C-BB880B0AB8FC}" type="TxLink">
            <a:rPr kumimoji="1" lang="en-US" altLang="en-US" sz="4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4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526685</xdr:colOff>
      <xdr:row>0</xdr:row>
      <xdr:rowOff>1234440</xdr:rowOff>
    </xdr:from>
    <xdr:to>
      <xdr:col>5</xdr:col>
      <xdr:colOff>378021</xdr:colOff>
      <xdr:row>0</xdr:row>
      <xdr:rowOff>1676400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F6C1344C-8282-2020-AA0F-5C9CD7285987}"/>
            </a:ext>
          </a:extLst>
        </xdr:cNvPr>
        <xdr:cNvSpPr txBox="1"/>
      </xdr:nvSpPr>
      <xdr:spPr>
        <a:xfrm>
          <a:off x="3056525" y="1234440"/>
          <a:ext cx="483796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1D3A929-2582-49D7-B98F-F75D99199059}" type="TxLink">
            <a:rPr kumimoji="1" lang="en-US" altLang="en-US" sz="55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5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526685</xdr:colOff>
      <xdr:row>0</xdr:row>
      <xdr:rowOff>1737360</xdr:rowOff>
    </xdr:from>
    <xdr:to>
      <xdr:col>5</xdr:col>
      <xdr:colOff>378021</xdr:colOff>
      <xdr:row>0</xdr:row>
      <xdr:rowOff>2179320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1D7776BE-876A-C573-EFF5-4646EFC6AA3E}"/>
            </a:ext>
          </a:extLst>
        </xdr:cNvPr>
        <xdr:cNvSpPr txBox="1"/>
      </xdr:nvSpPr>
      <xdr:spPr>
        <a:xfrm>
          <a:off x="3056525" y="1737360"/>
          <a:ext cx="483796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6288674-D4ED-4F60-8E26-00606F4AA74D}" type="TxLink">
            <a:rPr kumimoji="1" lang="en-US" altLang="en-US" sz="55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5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526685</xdr:colOff>
      <xdr:row>0</xdr:row>
      <xdr:rowOff>2240280</xdr:rowOff>
    </xdr:from>
    <xdr:to>
      <xdr:col>5</xdr:col>
      <xdr:colOff>378021</xdr:colOff>
      <xdr:row>0</xdr:row>
      <xdr:rowOff>2682240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876E81C9-5AAA-424A-E06A-0D4D6A596C58}"/>
            </a:ext>
          </a:extLst>
        </xdr:cNvPr>
        <xdr:cNvSpPr txBox="1"/>
      </xdr:nvSpPr>
      <xdr:spPr>
        <a:xfrm>
          <a:off x="3056525" y="2240280"/>
          <a:ext cx="483796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E30464-02A5-4CCD-B123-2AED0B51CBB4}" type="TxLink">
            <a:rPr kumimoji="1" lang="en-US" altLang="en-US" sz="55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5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526685</xdr:colOff>
      <xdr:row>0</xdr:row>
      <xdr:rowOff>2743200</xdr:rowOff>
    </xdr:from>
    <xdr:to>
      <xdr:col>5</xdr:col>
      <xdr:colOff>378021</xdr:colOff>
      <xdr:row>0</xdr:row>
      <xdr:rowOff>3185160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21BC955D-9F7A-52E8-E0A3-6344696D6C0F}"/>
            </a:ext>
          </a:extLst>
        </xdr:cNvPr>
        <xdr:cNvSpPr txBox="1"/>
      </xdr:nvSpPr>
      <xdr:spPr>
        <a:xfrm>
          <a:off x="3056525" y="2743200"/>
          <a:ext cx="483796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969221-6305-497C-8146-2F86ADAD37AA}" type="TxLink">
            <a:rPr kumimoji="1" lang="en-US" altLang="en-US" sz="55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5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0</xdr:row>
      <xdr:rowOff>1234440</xdr:rowOff>
    </xdr:from>
    <xdr:to>
      <xdr:col>10</xdr:col>
      <xdr:colOff>396423</xdr:colOff>
      <xdr:row>0</xdr:row>
      <xdr:rowOff>1676400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6EC60024-215C-558E-CA20-12431EB99F8F}"/>
            </a:ext>
          </a:extLst>
        </xdr:cNvPr>
        <xdr:cNvSpPr txBox="1"/>
      </xdr:nvSpPr>
      <xdr:spPr>
        <a:xfrm>
          <a:off x="6087971" y="1234440"/>
          <a:ext cx="633052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C35334-0973-4B58-806C-953385E9080D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0</xdr:row>
      <xdr:rowOff>1737360</xdr:rowOff>
    </xdr:from>
    <xdr:to>
      <xdr:col>10</xdr:col>
      <xdr:colOff>396423</xdr:colOff>
      <xdr:row>0</xdr:row>
      <xdr:rowOff>2179320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7C278433-8DCD-E863-F055-7A06718C2535}"/>
            </a:ext>
          </a:extLst>
        </xdr:cNvPr>
        <xdr:cNvSpPr txBox="1"/>
      </xdr:nvSpPr>
      <xdr:spPr>
        <a:xfrm>
          <a:off x="6087971" y="1737360"/>
          <a:ext cx="633052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AA15E02-C9C5-4F18-B0CA-E0C64D32AA62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0</xdr:row>
      <xdr:rowOff>2240280</xdr:rowOff>
    </xdr:from>
    <xdr:to>
      <xdr:col>10</xdr:col>
      <xdr:colOff>396423</xdr:colOff>
      <xdr:row>0</xdr:row>
      <xdr:rowOff>2682240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6AF0D1F6-4A95-970C-E85C-B392611FF504}"/>
            </a:ext>
          </a:extLst>
        </xdr:cNvPr>
        <xdr:cNvSpPr txBox="1"/>
      </xdr:nvSpPr>
      <xdr:spPr>
        <a:xfrm>
          <a:off x="6087971" y="2240280"/>
          <a:ext cx="633052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1ADA801-D483-4685-ABD3-9B185683CE7D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0</xdr:row>
      <xdr:rowOff>2743200</xdr:rowOff>
    </xdr:from>
    <xdr:to>
      <xdr:col>10</xdr:col>
      <xdr:colOff>396423</xdr:colOff>
      <xdr:row>0</xdr:row>
      <xdr:rowOff>3185160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591A8716-E034-B7B9-EB63-2DB029C90A41}"/>
            </a:ext>
          </a:extLst>
        </xdr:cNvPr>
        <xdr:cNvSpPr txBox="1"/>
      </xdr:nvSpPr>
      <xdr:spPr>
        <a:xfrm>
          <a:off x="6087971" y="2743200"/>
          <a:ext cx="633052" cy="44196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613A843-585A-4BD3-94DD-CB54514D9A85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0</xdr:row>
      <xdr:rowOff>3510280</xdr:rowOff>
    </xdr:from>
    <xdr:to>
      <xdr:col>5</xdr:col>
      <xdr:colOff>532425</xdr:colOff>
      <xdr:row>1</xdr:row>
      <xdr:rowOff>104140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42D987B4-1801-0AAD-502C-619569E308B5}"/>
            </a:ext>
          </a:extLst>
        </xdr:cNvPr>
        <xdr:cNvSpPr txBox="1"/>
      </xdr:nvSpPr>
      <xdr:spPr>
        <a:xfrm>
          <a:off x="3056526" y="3510280"/>
          <a:ext cx="638199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2713B32-6700-4E91-A6B2-786EACA1317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154940</xdr:rowOff>
    </xdr:from>
    <xdr:to>
      <xdr:col>5</xdr:col>
      <xdr:colOff>532425</xdr:colOff>
      <xdr:row>1</xdr:row>
      <xdr:rowOff>408940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B04987BB-6E16-5025-9F1F-1BBFD59FBE56}"/>
            </a:ext>
          </a:extLst>
        </xdr:cNvPr>
        <xdr:cNvSpPr txBox="1"/>
      </xdr:nvSpPr>
      <xdr:spPr>
        <a:xfrm>
          <a:off x="3056526" y="3713480"/>
          <a:ext cx="638199" cy="254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FCE2825-EF95-4D95-83CD-784737C4DB9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459740</xdr:rowOff>
    </xdr:from>
    <xdr:to>
      <xdr:col>5</xdr:col>
      <xdr:colOff>532425</xdr:colOff>
      <xdr:row>1</xdr:row>
      <xdr:rowOff>708660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695C5FA1-EDDD-D015-7A4F-1DD29CC57452}"/>
            </a:ext>
          </a:extLst>
        </xdr:cNvPr>
        <xdr:cNvSpPr txBox="1"/>
      </xdr:nvSpPr>
      <xdr:spPr>
        <a:xfrm>
          <a:off x="3056526" y="4018280"/>
          <a:ext cx="638199" cy="2489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CC18C57-1DBA-4CBC-929D-98B2CB83752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759460</xdr:rowOff>
    </xdr:from>
    <xdr:to>
      <xdr:col>5</xdr:col>
      <xdr:colOff>532425</xdr:colOff>
      <xdr:row>1</xdr:row>
      <xdr:rowOff>1714500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FDB06AC1-361E-4B2B-E1FB-BAEB9AA37F59}"/>
            </a:ext>
          </a:extLst>
        </xdr:cNvPr>
        <xdr:cNvSpPr txBox="1"/>
      </xdr:nvSpPr>
      <xdr:spPr>
        <a:xfrm>
          <a:off x="3056526" y="4318000"/>
          <a:ext cx="638199" cy="95504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53680E4-22D8-41CA-829D-201FCF09F929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1765300</xdr:rowOff>
    </xdr:from>
    <xdr:to>
      <xdr:col>5</xdr:col>
      <xdr:colOff>532425</xdr:colOff>
      <xdr:row>1</xdr:row>
      <xdr:rowOff>2014220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582FF9F1-A392-E199-9814-05E77283EF18}"/>
            </a:ext>
          </a:extLst>
        </xdr:cNvPr>
        <xdr:cNvSpPr txBox="1"/>
      </xdr:nvSpPr>
      <xdr:spPr>
        <a:xfrm>
          <a:off x="3056526" y="5323840"/>
          <a:ext cx="638199" cy="2489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79322E7-9F5B-4B91-9E26-FF40D53476F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2065020</xdr:rowOff>
    </xdr:from>
    <xdr:to>
      <xdr:col>5</xdr:col>
      <xdr:colOff>532425</xdr:colOff>
      <xdr:row>1</xdr:row>
      <xdr:rowOff>2420620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F8247AA3-C884-6C7E-C652-8D4947D21FD0}"/>
            </a:ext>
          </a:extLst>
        </xdr:cNvPr>
        <xdr:cNvSpPr txBox="1"/>
      </xdr:nvSpPr>
      <xdr:spPr>
        <a:xfrm>
          <a:off x="3056526" y="5623560"/>
          <a:ext cx="638199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084C61-8418-4962-A7F7-D51650C8435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2471420</xdr:rowOff>
    </xdr:from>
    <xdr:to>
      <xdr:col>5</xdr:col>
      <xdr:colOff>532425</xdr:colOff>
      <xdr:row>1</xdr:row>
      <xdr:rowOff>2821940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F7BE881B-DC3E-0930-B884-C32F829BE273}"/>
            </a:ext>
          </a:extLst>
        </xdr:cNvPr>
        <xdr:cNvSpPr txBox="1"/>
      </xdr:nvSpPr>
      <xdr:spPr>
        <a:xfrm>
          <a:off x="3056526" y="6029960"/>
          <a:ext cx="638199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21E85D7-F3CC-4BB9-9AE9-E4C0AD87DC4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2872740</xdr:rowOff>
    </xdr:from>
    <xdr:to>
      <xdr:col>5</xdr:col>
      <xdr:colOff>532425</xdr:colOff>
      <xdr:row>1</xdr:row>
      <xdr:rowOff>3223260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422E922A-CACD-7299-6E32-987B29121ABC}"/>
            </a:ext>
          </a:extLst>
        </xdr:cNvPr>
        <xdr:cNvSpPr txBox="1"/>
      </xdr:nvSpPr>
      <xdr:spPr>
        <a:xfrm>
          <a:off x="3056526" y="6431280"/>
          <a:ext cx="638199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B9AF744-D807-4510-BF45-7BC7D876767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1</xdr:row>
      <xdr:rowOff>3274060</xdr:rowOff>
    </xdr:from>
    <xdr:to>
      <xdr:col>5</xdr:col>
      <xdr:colOff>532425</xdr:colOff>
      <xdr:row>2</xdr:row>
      <xdr:rowOff>66040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5A31EBFF-BD9E-E13F-575F-D161DA995F8B}"/>
            </a:ext>
          </a:extLst>
        </xdr:cNvPr>
        <xdr:cNvSpPr txBox="1"/>
      </xdr:nvSpPr>
      <xdr:spPr>
        <a:xfrm>
          <a:off x="3056526" y="6832600"/>
          <a:ext cx="638199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D2E1190-B371-4B8F-8270-B5FBEC886D8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2</xdr:row>
      <xdr:rowOff>116840</xdr:rowOff>
    </xdr:from>
    <xdr:to>
      <xdr:col>5</xdr:col>
      <xdr:colOff>532425</xdr:colOff>
      <xdr:row>2</xdr:row>
      <xdr:rowOff>467360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98CD7B91-95B6-B1B0-417C-575EA89FEA5E}"/>
            </a:ext>
          </a:extLst>
        </xdr:cNvPr>
        <xdr:cNvSpPr txBox="1"/>
      </xdr:nvSpPr>
      <xdr:spPr>
        <a:xfrm>
          <a:off x="3056526" y="7233920"/>
          <a:ext cx="638199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BA4682-2BE0-4D65-BFA0-08B9B176D17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2</xdr:row>
      <xdr:rowOff>518160</xdr:rowOff>
    </xdr:from>
    <xdr:to>
      <xdr:col>5</xdr:col>
      <xdr:colOff>532425</xdr:colOff>
      <xdr:row>2</xdr:row>
      <xdr:rowOff>873760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804A1541-229C-0F53-E603-B35A38EEFCEF}"/>
            </a:ext>
          </a:extLst>
        </xdr:cNvPr>
        <xdr:cNvSpPr txBox="1"/>
      </xdr:nvSpPr>
      <xdr:spPr>
        <a:xfrm>
          <a:off x="3056526" y="7635240"/>
          <a:ext cx="638199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B510927-608A-4CDE-ADA5-6DC848A67AD3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526686</xdr:colOff>
      <xdr:row>2</xdr:row>
      <xdr:rowOff>924560</xdr:rowOff>
    </xdr:from>
    <xdr:to>
      <xdr:col>5</xdr:col>
      <xdr:colOff>532425</xdr:colOff>
      <xdr:row>2</xdr:row>
      <xdr:rowOff>1275080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966AE9C8-3C8F-EEC6-0CD9-5DD0ECC45B4A}"/>
            </a:ext>
          </a:extLst>
        </xdr:cNvPr>
        <xdr:cNvSpPr txBox="1"/>
      </xdr:nvSpPr>
      <xdr:spPr>
        <a:xfrm>
          <a:off x="3056526" y="8041640"/>
          <a:ext cx="638199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8983BFC-248B-4B6C-8467-AD63D0C70D6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526685</xdr:colOff>
      <xdr:row>2</xdr:row>
      <xdr:rowOff>1325880</xdr:rowOff>
    </xdr:from>
    <xdr:to>
      <xdr:col>5</xdr:col>
      <xdr:colOff>378021</xdr:colOff>
      <xdr:row>2</xdr:row>
      <xdr:rowOff>1676400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0A0D77E8-B3CA-9DCB-5A9A-770C03DE0DF0}"/>
            </a:ext>
          </a:extLst>
        </xdr:cNvPr>
        <xdr:cNvSpPr txBox="1"/>
      </xdr:nvSpPr>
      <xdr:spPr>
        <a:xfrm>
          <a:off x="3056525" y="8442960"/>
          <a:ext cx="483796" cy="350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6A2870C-5DC1-4FFE-B9F8-1D186326878F}" type="TxLink">
            <a:rPr kumimoji="1" lang="en-US" altLang="en-US" sz="55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5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521539</xdr:colOff>
      <xdr:row>0</xdr:row>
      <xdr:rowOff>3393440</xdr:rowOff>
    </xdr:from>
    <xdr:to>
      <xdr:col>5</xdr:col>
      <xdr:colOff>532425</xdr:colOff>
      <xdr:row>0</xdr:row>
      <xdr:rowOff>3495040</xdr:rowOff>
    </xdr:to>
    <xdr:sp macro="" textlink="印字値!$B$5">
      <xdr:nvSpPr>
        <xdr:cNvPr id="27" name="主表09内書">
          <a:extLst>
            <a:ext uri="{FF2B5EF4-FFF2-40B4-BE49-F238E27FC236}">
              <a16:creationId xmlns:a16="http://schemas.microsoft.com/office/drawing/2014/main" id="{DACD288D-2D4B-02B8-CC15-CDF3199857ED}"/>
            </a:ext>
          </a:extLst>
        </xdr:cNvPr>
        <xdr:cNvSpPr txBox="1"/>
      </xdr:nvSpPr>
      <xdr:spPr>
        <a:xfrm>
          <a:off x="3051379" y="3393440"/>
          <a:ext cx="643346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l"/>
          <a:fld id="{70958D8D-EF45-46E4-9C5C-CFAC8A4804E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0</xdr:row>
      <xdr:rowOff>3418840</xdr:rowOff>
    </xdr:from>
    <xdr:to>
      <xdr:col>10</xdr:col>
      <xdr:colOff>396423</xdr:colOff>
      <xdr:row>1</xdr:row>
      <xdr:rowOff>693420</xdr:rowOff>
    </xdr:to>
    <xdr:sp macro="" textlink="印字値!$A$26">
      <xdr:nvSpPr>
        <xdr:cNvPr id="28" name="主表22">
          <a:extLst>
            <a:ext uri="{FF2B5EF4-FFF2-40B4-BE49-F238E27FC236}">
              <a16:creationId xmlns:a16="http://schemas.microsoft.com/office/drawing/2014/main" id="{91DFADE3-2F99-0CB8-9F49-EC65EACEBB72}"/>
            </a:ext>
          </a:extLst>
        </xdr:cNvPr>
        <xdr:cNvSpPr txBox="1"/>
      </xdr:nvSpPr>
      <xdr:spPr>
        <a:xfrm>
          <a:off x="6087971" y="3418840"/>
          <a:ext cx="633052" cy="8331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8CEAAE6-BB25-44F3-B64A-2AECF7E27890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1</xdr:row>
      <xdr:rowOff>764540</xdr:rowOff>
    </xdr:from>
    <xdr:to>
      <xdr:col>10</xdr:col>
      <xdr:colOff>396423</xdr:colOff>
      <xdr:row>1</xdr:row>
      <xdr:rowOff>1902460</xdr:rowOff>
    </xdr:to>
    <xdr:sp macro="" textlink="印字値!$A$27">
      <xdr:nvSpPr>
        <xdr:cNvPr id="29" name="主表23">
          <a:extLst>
            <a:ext uri="{FF2B5EF4-FFF2-40B4-BE49-F238E27FC236}">
              <a16:creationId xmlns:a16="http://schemas.microsoft.com/office/drawing/2014/main" id="{623CD7CF-2291-6EE0-3653-10D7B4570565}"/>
            </a:ext>
          </a:extLst>
        </xdr:cNvPr>
        <xdr:cNvSpPr txBox="1"/>
      </xdr:nvSpPr>
      <xdr:spPr>
        <a:xfrm>
          <a:off x="6087971" y="4323080"/>
          <a:ext cx="633052" cy="11379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FECA90E-EF8E-42CD-9F53-F48C5DF7BAC3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1</xdr:row>
      <xdr:rowOff>1973580</xdr:rowOff>
    </xdr:from>
    <xdr:to>
      <xdr:col>10</xdr:col>
      <xdr:colOff>396423</xdr:colOff>
      <xdr:row>1</xdr:row>
      <xdr:rowOff>2603500</xdr:rowOff>
    </xdr:to>
    <xdr:sp macro="" textlink="印字値!$A$28">
      <xdr:nvSpPr>
        <xdr:cNvPr id="30" name="主表24">
          <a:extLst>
            <a:ext uri="{FF2B5EF4-FFF2-40B4-BE49-F238E27FC236}">
              <a16:creationId xmlns:a16="http://schemas.microsoft.com/office/drawing/2014/main" id="{F257A1A6-54BE-9DE9-AECE-D42B81AB46A6}"/>
            </a:ext>
          </a:extLst>
        </xdr:cNvPr>
        <xdr:cNvSpPr txBox="1"/>
      </xdr:nvSpPr>
      <xdr:spPr>
        <a:xfrm>
          <a:off x="6087971" y="5532120"/>
          <a:ext cx="633052" cy="6299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08918E7-F629-441F-941A-F1C37B0103A9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1</xdr:row>
      <xdr:rowOff>2674620</xdr:rowOff>
    </xdr:from>
    <xdr:to>
      <xdr:col>10</xdr:col>
      <xdr:colOff>396423</xdr:colOff>
      <xdr:row>1</xdr:row>
      <xdr:rowOff>3208020</xdr:rowOff>
    </xdr:to>
    <xdr:sp macro="" textlink="印字値!$A$29">
      <xdr:nvSpPr>
        <xdr:cNvPr id="31" name="主表25">
          <a:extLst>
            <a:ext uri="{FF2B5EF4-FFF2-40B4-BE49-F238E27FC236}">
              <a16:creationId xmlns:a16="http://schemas.microsoft.com/office/drawing/2014/main" id="{FA8D418C-9669-1F2F-190E-0FC736FE6639}"/>
            </a:ext>
          </a:extLst>
        </xdr:cNvPr>
        <xdr:cNvSpPr txBox="1"/>
      </xdr:nvSpPr>
      <xdr:spPr>
        <a:xfrm>
          <a:off x="6087971" y="6233160"/>
          <a:ext cx="633052" cy="533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5442FC9-AAC0-473F-B48D-EFE535959CE6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1</xdr:row>
      <xdr:rowOff>3279140</xdr:rowOff>
    </xdr:from>
    <xdr:to>
      <xdr:col>10</xdr:col>
      <xdr:colOff>396423</xdr:colOff>
      <xdr:row>2</xdr:row>
      <xdr:rowOff>355600</xdr:rowOff>
    </xdr:to>
    <xdr:sp macro="" textlink="印字値!$A$30">
      <xdr:nvSpPr>
        <xdr:cNvPr id="32" name="主表26">
          <a:extLst>
            <a:ext uri="{FF2B5EF4-FFF2-40B4-BE49-F238E27FC236}">
              <a16:creationId xmlns:a16="http://schemas.microsoft.com/office/drawing/2014/main" id="{73658239-0C96-2144-8162-618891D9B3C1}"/>
            </a:ext>
          </a:extLst>
        </xdr:cNvPr>
        <xdr:cNvSpPr txBox="1"/>
      </xdr:nvSpPr>
      <xdr:spPr>
        <a:xfrm>
          <a:off x="6087971" y="6837680"/>
          <a:ext cx="633052" cy="635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74EE275-E897-47B8-921E-20EF50F4D164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2</xdr:row>
      <xdr:rowOff>426720</xdr:rowOff>
    </xdr:from>
    <xdr:to>
      <xdr:col>10</xdr:col>
      <xdr:colOff>396423</xdr:colOff>
      <xdr:row>2</xdr:row>
      <xdr:rowOff>1056640</xdr:rowOff>
    </xdr:to>
    <xdr:sp macro="" textlink="印字値!$A$31">
      <xdr:nvSpPr>
        <xdr:cNvPr id="33" name="主表27">
          <a:extLst>
            <a:ext uri="{FF2B5EF4-FFF2-40B4-BE49-F238E27FC236}">
              <a16:creationId xmlns:a16="http://schemas.microsoft.com/office/drawing/2014/main" id="{5C961D6D-F000-FB9D-2C4C-AB5978765ADC}"/>
            </a:ext>
          </a:extLst>
        </xdr:cNvPr>
        <xdr:cNvSpPr txBox="1"/>
      </xdr:nvSpPr>
      <xdr:spPr>
        <a:xfrm>
          <a:off x="6087971" y="7543800"/>
          <a:ext cx="633052" cy="6299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658624C-9422-4E98-A190-C4760076F4FF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395831</xdr:colOff>
      <xdr:row>2</xdr:row>
      <xdr:rowOff>1127760</xdr:rowOff>
    </xdr:from>
    <xdr:to>
      <xdr:col>10</xdr:col>
      <xdr:colOff>396423</xdr:colOff>
      <xdr:row>2</xdr:row>
      <xdr:rowOff>1661160</xdr:rowOff>
    </xdr:to>
    <xdr:sp macro="" textlink="印字値!$A$32">
      <xdr:nvSpPr>
        <xdr:cNvPr id="34" name="主表28">
          <a:extLst>
            <a:ext uri="{FF2B5EF4-FFF2-40B4-BE49-F238E27FC236}">
              <a16:creationId xmlns:a16="http://schemas.microsoft.com/office/drawing/2014/main" id="{9969664D-E1C9-72B8-54CF-41574D9EEFBA}"/>
            </a:ext>
          </a:extLst>
        </xdr:cNvPr>
        <xdr:cNvSpPr txBox="1"/>
      </xdr:nvSpPr>
      <xdr:spPr>
        <a:xfrm>
          <a:off x="6087971" y="8244840"/>
          <a:ext cx="633052" cy="533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3CCFE58-59AF-4147-8A4F-8E7310BEBC6B}" type="TxLink">
            <a:rPr kumimoji="1" lang="en-US" altLang="en-US" sz="6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6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33655</xdr:colOff>
      <xdr:row>3</xdr:row>
      <xdr:rowOff>2921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9693A396-77DA-8296-C689-213E6C2C97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7958455" cy="11255121"/>
        </a:xfrm>
        <a:prstGeom prst="rect">
          <a:avLst/>
        </a:prstGeom>
      </xdr:spPr>
    </xdr:pic>
    <xdr:clientData/>
  </xdr:twoCellAnchor>
  <xdr:twoCellAnchor editAs="absolute">
    <xdr:from>
      <xdr:col>6</xdr:col>
      <xdr:colOff>401699</xdr:colOff>
      <xdr:row>0</xdr:row>
      <xdr:rowOff>477428</xdr:rowOff>
    </xdr:from>
    <xdr:to>
      <xdr:col>8</xdr:col>
      <xdr:colOff>100310</xdr:colOff>
      <xdr:row>0</xdr:row>
      <xdr:rowOff>858355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3408FA9F-F2F1-7F03-CFE1-70C98DC8813E}"/>
            </a:ext>
          </a:extLst>
        </xdr:cNvPr>
        <xdr:cNvSpPr txBox="1"/>
      </xdr:nvSpPr>
      <xdr:spPr>
        <a:xfrm>
          <a:off x="4379339" y="477428"/>
          <a:ext cx="1024491" cy="380927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ctr"/>
          <a:fld id="{2BB476EF-8D58-4869-8B36-2670A47D3683}" type="TxLink">
            <a:rPr kumimoji="1" lang="en-US" altLang="en-US" sz="7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2026.4.1
2027.3.31</a:t>
          </a:fld>
          <a:endParaRPr kumimoji="1" lang="ja-JP" altLang="en-US" sz="7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497872</xdr:colOff>
      <xdr:row>0</xdr:row>
      <xdr:rowOff>482507</xdr:rowOff>
    </xdr:from>
    <xdr:to>
      <xdr:col>10</xdr:col>
      <xdr:colOff>543076</xdr:colOff>
      <xdr:row>0</xdr:row>
      <xdr:rowOff>858355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86C1077C-74EA-578E-9C9A-F127CB7FD5DC}"/>
            </a:ext>
          </a:extLst>
        </xdr:cNvPr>
        <xdr:cNvSpPr txBox="1"/>
      </xdr:nvSpPr>
      <xdr:spPr>
        <a:xfrm>
          <a:off x="5801392" y="482507"/>
          <a:ext cx="1371084" cy="37584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0B88997F-9AB3-4EC5-BA2B-0C0BC0DFEB34}" type="TxLink">
            <a:rPr kumimoji="1" lang="en-US" altLang="en-US" sz="4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4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924383</xdr:rowOff>
    </xdr:from>
    <xdr:to>
      <xdr:col>5</xdr:col>
      <xdr:colOff>585525</xdr:colOff>
      <xdr:row>0</xdr:row>
      <xdr:rowOff>1325626</xdr:rowOff>
    </xdr:to>
    <xdr:sp macro="" textlink="印字値!$C$5">
      <xdr:nvSpPr>
        <xdr:cNvPr id="6" name="付表一01">
          <a:extLst>
            <a:ext uri="{FF2B5EF4-FFF2-40B4-BE49-F238E27FC236}">
              <a16:creationId xmlns:a16="http://schemas.microsoft.com/office/drawing/2014/main" id="{50F48D01-CC9C-12FF-CABC-B4B99E89FA7E}"/>
            </a:ext>
          </a:extLst>
        </xdr:cNvPr>
        <xdr:cNvSpPr txBox="1"/>
      </xdr:nvSpPr>
      <xdr:spPr>
        <a:xfrm>
          <a:off x="3064322" y="924383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7C7F8D0-9DF0-4054-AA43-D00E92F5A3F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1396732</xdr:rowOff>
    </xdr:from>
    <xdr:to>
      <xdr:col>5</xdr:col>
      <xdr:colOff>585525</xdr:colOff>
      <xdr:row>0</xdr:row>
      <xdr:rowOff>1803054</xdr:rowOff>
    </xdr:to>
    <xdr:sp macro="" textlink="印字値!$C$6">
      <xdr:nvSpPr>
        <xdr:cNvPr id="7" name="付表一02">
          <a:extLst>
            <a:ext uri="{FF2B5EF4-FFF2-40B4-BE49-F238E27FC236}">
              <a16:creationId xmlns:a16="http://schemas.microsoft.com/office/drawing/2014/main" id="{58B05BFF-7646-938D-62A9-7E31657317B9}"/>
            </a:ext>
          </a:extLst>
        </xdr:cNvPr>
        <xdr:cNvSpPr txBox="1"/>
      </xdr:nvSpPr>
      <xdr:spPr>
        <a:xfrm>
          <a:off x="3064322" y="1396732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E36A3C4-5AA4-46A1-B42A-6051B32856CF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1874160</xdr:rowOff>
    </xdr:from>
    <xdr:to>
      <xdr:col>5</xdr:col>
      <xdr:colOff>585525</xdr:colOff>
      <xdr:row>0</xdr:row>
      <xdr:rowOff>2275403</xdr:rowOff>
    </xdr:to>
    <xdr:sp macro="" textlink="印字値!$C$7">
      <xdr:nvSpPr>
        <xdr:cNvPr id="8" name="付表一03">
          <a:extLst>
            <a:ext uri="{FF2B5EF4-FFF2-40B4-BE49-F238E27FC236}">
              <a16:creationId xmlns:a16="http://schemas.microsoft.com/office/drawing/2014/main" id="{8C28CCAD-E8C7-EA93-16E1-E71CAACB0F09}"/>
            </a:ext>
          </a:extLst>
        </xdr:cNvPr>
        <xdr:cNvSpPr txBox="1"/>
      </xdr:nvSpPr>
      <xdr:spPr>
        <a:xfrm>
          <a:off x="3064322" y="1874160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9155C0D-5C5B-4CA4-92CC-DBBFFF9B1417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2346510</xdr:rowOff>
    </xdr:from>
    <xdr:to>
      <xdr:col>5</xdr:col>
      <xdr:colOff>585525</xdr:colOff>
      <xdr:row>0</xdr:row>
      <xdr:rowOff>2752832</xdr:rowOff>
    </xdr:to>
    <xdr:sp macro="" textlink="印字値!$C$8">
      <xdr:nvSpPr>
        <xdr:cNvPr id="9" name="付表一04">
          <a:extLst>
            <a:ext uri="{FF2B5EF4-FFF2-40B4-BE49-F238E27FC236}">
              <a16:creationId xmlns:a16="http://schemas.microsoft.com/office/drawing/2014/main" id="{7BA45E5C-AFE4-44A6-2BEC-FA4205820EA4}"/>
            </a:ext>
          </a:extLst>
        </xdr:cNvPr>
        <xdr:cNvSpPr txBox="1"/>
      </xdr:nvSpPr>
      <xdr:spPr>
        <a:xfrm>
          <a:off x="3064322" y="2346510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75A9C7-5C3A-4ABA-A869-2ADC395AD0C7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2823938</xdr:rowOff>
    </xdr:from>
    <xdr:to>
      <xdr:col>5</xdr:col>
      <xdr:colOff>585525</xdr:colOff>
      <xdr:row>0</xdr:row>
      <xdr:rowOff>3225181</xdr:rowOff>
    </xdr:to>
    <xdr:sp macro="" textlink="印字値!$C$9">
      <xdr:nvSpPr>
        <xdr:cNvPr id="10" name="付表一05">
          <a:extLst>
            <a:ext uri="{FF2B5EF4-FFF2-40B4-BE49-F238E27FC236}">
              <a16:creationId xmlns:a16="http://schemas.microsoft.com/office/drawing/2014/main" id="{892633C7-6C07-E66B-CE95-A2E1FBB284A4}"/>
            </a:ext>
          </a:extLst>
        </xdr:cNvPr>
        <xdr:cNvSpPr txBox="1"/>
      </xdr:nvSpPr>
      <xdr:spPr>
        <a:xfrm>
          <a:off x="3064322" y="2823938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81DF813-FBE4-49C5-850A-9E9EFE110DC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0</xdr:row>
      <xdr:rowOff>3296288</xdr:rowOff>
    </xdr:from>
    <xdr:to>
      <xdr:col>5</xdr:col>
      <xdr:colOff>585525</xdr:colOff>
      <xdr:row>0</xdr:row>
      <xdr:rowOff>3702610</xdr:rowOff>
    </xdr:to>
    <xdr:sp macro="" textlink="印字値!$C$10">
      <xdr:nvSpPr>
        <xdr:cNvPr id="11" name="付表一06">
          <a:extLst>
            <a:ext uri="{FF2B5EF4-FFF2-40B4-BE49-F238E27FC236}">
              <a16:creationId xmlns:a16="http://schemas.microsoft.com/office/drawing/2014/main" id="{7C0EC8DE-78DF-0005-6742-6484CE00CEC3}"/>
            </a:ext>
          </a:extLst>
        </xdr:cNvPr>
        <xdr:cNvSpPr txBox="1"/>
      </xdr:nvSpPr>
      <xdr:spPr>
        <a:xfrm>
          <a:off x="3064322" y="3296288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9C6A5A3-FC70-40D1-976D-B4EA1CB2EC43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24676</xdr:rowOff>
    </xdr:from>
    <xdr:to>
      <xdr:col>5</xdr:col>
      <xdr:colOff>585525</xdr:colOff>
      <xdr:row>1</xdr:row>
      <xdr:rowOff>425919</xdr:rowOff>
    </xdr:to>
    <xdr:sp macro="" textlink="印字値!$C$11">
      <xdr:nvSpPr>
        <xdr:cNvPr id="12" name="付表一07">
          <a:extLst>
            <a:ext uri="{FF2B5EF4-FFF2-40B4-BE49-F238E27FC236}">
              <a16:creationId xmlns:a16="http://schemas.microsoft.com/office/drawing/2014/main" id="{F5B06FE0-6689-53C6-FD0E-A24F20C3B308}"/>
            </a:ext>
          </a:extLst>
        </xdr:cNvPr>
        <xdr:cNvSpPr txBox="1"/>
      </xdr:nvSpPr>
      <xdr:spPr>
        <a:xfrm>
          <a:off x="3064322" y="3773716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ED7F049-7BB1-4E01-8A04-0C676F4F9E5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497026</xdr:rowOff>
    </xdr:from>
    <xdr:to>
      <xdr:col>5</xdr:col>
      <xdr:colOff>585525</xdr:colOff>
      <xdr:row>1</xdr:row>
      <xdr:rowOff>903348</xdr:rowOff>
    </xdr:to>
    <xdr:sp macro="" textlink="印字値!$C$12">
      <xdr:nvSpPr>
        <xdr:cNvPr id="13" name="付表一08">
          <a:extLst>
            <a:ext uri="{FF2B5EF4-FFF2-40B4-BE49-F238E27FC236}">
              <a16:creationId xmlns:a16="http://schemas.microsoft.com/office/drawing/2014/main" id="{8B71FB9F-E184-4FAD-1290-788197277EE0}"/>
            </a:ext>
          </a:extLst>
        </xdr:cNvPr>
        <xdr:cNvSpPr txBox="1"/>
      </xdr:nvSpPr>
      <xdr:spPr>
        <a:xfrm>
          <a:off x="3064322" y="4246066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5B6B987-7A76-4CCB-AF08-AA66F48E876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974454</xdr:rowOff>
    </xdr:from>
    <xdr:to>
      <xdr:col>5</xdr:col>
      <xdr:colOff>585525</xdr:colOff>
      <xdr:row>1</xdr:row>
      <xdr:rowOff>1375697</xdr:rowOff>
    </xdr:to>
    <xdr:sp macro="" textlink="印字値!$C$13">
      <xdr:nvSpPr>
        <xdr:cNvPr id="14" name="付表一09">
          <a:extLst>
            <a:ext uri="{FF2B5EF4-FFF2-40B4-BE49-F238E27FC236}">
              <a16:creationId xmlns:a16="http://schemas.microsoft.com/office/drawing/2014/main" id="{6B663146-8CFA-757E-91A0-303396470630}"/>
            </a:ext>
          </a:extLst>
        </xdr:cNvPr>
        <xdr:cNvSpPr txBox="1"/>
      </xdr:nvSpPr>
      <xdr:spPr>
        <a:xfrm>
          <a:off x="3064322" y="4723494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2BADED5-136C-4A94-93CB-6DFC7B6A3D75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1446803</xdr:rowOff>
    </xdr:from>
    <xdr:to>
      <xdr:col>5</xdr:col>
      <xdr:colOff>585525</xdr:colOff>
      <xdr:row>1</xdr:row>
      <xdr:rowOff>1853125</xdr:rowOff>
    </xdr:to>
    <xdr:sp macro="" textlink="印字値!$C$14">
      <xdr:nvSpPr>
        <xdr:cNvPr id="15" name="付表一10">
          <a:extLst>
            <a:ext uri="{FF2B5EF4-FFF2-40B4-BE49-F238E27FC236}">
              <a16:creationId xmlns:a16="http://schemas.microsoft.com/office/drawing/2014/main" id="{D997F405-EAD6-8E92-206F-CD3203DE74FE}"/>
            </a:ext>
          </a:extLst>
        </xdr:cNvPr>
        <xdr:cNvSpPr txBox="1"/>
      </xdr:nvSpPr>
      <xdr:spPr>
        <a:xfrm>
          <a:off x="3064322" y="5195843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F4D7F5C-B0BE-45C8-876A-290602199AE6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1924232</xdr:rowOff>
    </xdr:from>
    <xdr:to>
      <xdr:col>5</xdr:col>
      <xdr:colOff>585525</xdr:colOff>
      <xdr:row>1</xdr:row>
      <xdr:rowOff>2325475</xdr:rowOff>
    </xdr:to>
    <xdr:sp macro="" textlink="印字値!$C$15">
      <xdr:nvSpPr>
        <xdr:cNvPr id="16" name="付表一11">
          <a:extLst>
            <a:ext uri="{FF2B5EF4-FFF2-40B4-BE49-F238E27FC236}">
              <a16:creationId xmlns:a16="http://schemas.microsoft.com/office/drawing/2014/main" id="{191F3B8B-FB53-6B3B-BB31-09585546C234}"/>
            </a:ext>
          </a:extLst>
        </xdr:cNvPr>
        <xdr:cNvSpPr txBox="1"/>
      </xdr:nvSpPr>
      <xdr:spPr>
        <a:xfrm>
          <a:off x="3064322" y="5673272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24451B2-1413-4650-94BA-747D52A1585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2396581</xdr:rowOff>
    </xdr:from>
    <xdr:to>
      <xdr:col>5</xdr:col>
      <xdr:colOff>585525</xdr:colOff>
      <xdr:row>1</xdr:row>
      <xdr:rowOff>2802903</xdr:rowOff>
    </xdr:to>
    <xdr:sp macro="" textlink="印字値!$C$16">
      <xdr:nvSpPr>
        <xdr:cNvPr id="17" name="付表一12">
          <a:extLst>
            <a:ext uri="{FF2B5EF4-FFF2-40B4-BE49-F238E27FC236}">
              <a16:creationId xmlns:a16="http://schemas.microsoft.com/office/drawing/2014/main" id="{D9769A50-F4A7-BEA1-B361-60A1B9F3B57D}"/>
            </a:ext>
          </a:extLst>
        </xdr:cNvPr>
        <xdr:cNvSpPr txBox="1"/>
      </xdr:nvSpPr>
      <xdr:spPr>
        <a:xfrm>
          <a:off x="3064322" y="6145621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CF02AEC-7DFE-4EF7-A79E-21E566586470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2874009</xdr:rowOff>
    </xdr:from>
    <xdr:to>
      <xdr:col>5</xdr:col>
      <xdr:colOff>585525</xdr:colOff>
      <xdr:row>1</xdr:row>
      <xdr:rowOff>3275252</xdr:rowOff>
    </xdr:to>
    <xdr:sp macro="" textlink="印字値!$C$17">
      <xdr:nvSpPr>
        <xdr:cNvPr id="18" name="付表一13">
          <a:extLst>
            <a:ext uri="{FF2B5EF4-FFF2-40B4-BE49-F238E27FC236}">
              <a16:creationId xmlns:a16="http://schemas.microsoft.com/office/drawing/2014/main" id="{CCCFB947-3CCC-2AC5-BFC2-BB5C700DEF2A}"/>
            </a:ext>
          </a:extLst>
        </xdr:cNvPr>
        <xdr:cNvSpPr txBox="1"/>
      </xdr:nvSpPr>
      <xdr:spPr>
        <a:xfrm>
          <a:off x="3064322" y="6623049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1325F07-909E-46CA-A228-784100FF520D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1</xdr:row>
      <xdr:rowOff>3346359</xdr:rowOff>
    </xdr:from>
    <xdr:to>
      <xdr:col>5</xdr:col>
      <xdr:colOff>585525</xdr:colOff>
      <xdr:row>2</xdr:row>
      <xdr:rowOff>3641</xdr:rowOff>
    </xdr:to>
    <xdr:sp macro="" textlink="印字値!$C$18">
      <xdr:nvSpPr>
        <xdr:cNvPr id="19" name="付表一14">
          <a:extLst>
            <a:ext uri="{FF2B5EF4-FFF2-40B4-BE49-F238E27FC236}">
              <a16:creationId xmlns:a16="http://schemas.microsoft.com/office/drawing/2014/main" id="{A41A99C8-62DA-00BC-C5AF-41E1BA659711}"/>
            </a:ext>
          </a:extLst>
        </xdr:cNvPr>
        <xdr:cNvSpPr txBox="1"/>
      </xdr:nvSpPr>
      <xdr:spPr>
        <a:xfrm>
          <a:off x="3064322" y="7095399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C5875DA-321C-4F20-B41D-2B00779D8585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2</xdr:row>
      <xdr:rowOff>74748</xdr:rowOff>
    </xdr:from>
    <xdr:to>
      <xdr:col>5</xdr:col>
      <xdr:colOff>585525</xdr:colOff>
      <xdr:row>2</xdr:row>
      <xdr:rowOff>597888</xdr:rowOff>
    </xdr:to>
    <xdr:sp macro="" textlink="印字値!$C$19">
      <xdr:nvSpPr>
        <xdr:cNvPr id="20" name="付表一15">
          <a:extLst>
            <a:ext uri="{FF2B5EF4-FFF2-40B4-BE49-F238E27FC236}">
              <a16:creationId xmlns:a16="http://schemas.microsoft.com/office/drawing/2014/main" id="{B8DE1706-A0BE-3B7C-F7D5-237862718496}"/>
            </a:ext>
          </a:extLst>
        </xdr:cNvPr>
        <xdr:cNvSpPr txBox="1"/>
      </xdr:nvSpPr>
      <xdr:spPr>
        <a:xfrm>
          <a:off x="3064322" y="7572828"/>
          <a:ext cx="835903" cy="52314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6A0204B-8ECF-436B-8541-B4A3188F244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2</xdr:row>
      <xdr:rowOff>668994</xdr:rowOff>
    </xdr:from>
    <xdr:to>
      <xdr:col>5</xdr:col>
      <xdr:colOff>585525</xdr:colOff>
      <xdr:row>2</xdr:row>
      <xdr:rowOff>1070237</xdr:rowOff>
    </xdr:to>
    <xdr:sp macro="" textlink="印字値!$C$20">
      <xdr:nvSpPr>
        <xdr:cNvPr id="21" name="付表一16">
          <a:extLst>
            <a:ext uri="{FF2B5EF4-FFF2-40B4-BE49-F238E27FC236}">
              <a16:creationId xmlns:a16="http://schemas.microsoft.com/office/drawing/2014/main" id="{D99F5378-52B5-9BE5-3648-3FD8F62AD8E3}"/>
            </a:ext>
          </a:extLst>
        </xdr:cNvPr>
        <xdr:cNvSpPr txBox="1"/>
      </xdr:nvSpPr>
      <xdr:spPr>
        <a:xfrm>
          <a:off x="3064322" y="8167074"/>
          <a:ext cx="835903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AE6345D-50AB-4A85-A4CB-5B3C4A014AC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412562</xdr:colOff>
      <xdr:row>2</xdr:row>
      <xdr:rowOff>1141343</xdr:rowOff>
    </xdr:from>
    <xdr:to>
      <xdr:col>5</xdr:col>
      <xdr:colOff>585525</xdr:colOff>
      <xdr:row>2</xdr:row>
      <xdr:rowOff>1547665</xdr:rowOff>
    </xdr:to>
    <xdr:sp macro="" textlink="印字値!$C$21">
      <xdr:nvSpPr>
        <xdr:cNvPr id="22" name="付表一17">
          <a:extLst>
            <a:ext uri="{FF2B5EF4-FFF2-40B4-BE49-F238E27FC236}">
              <a16:creationId xmlns:a16="http://schemas.microsoft.com/office/drawing/2014/main" id="{7DA576E4-50C8-4367-B5FC-DA6838511FE0}"/>
            </a:ext>
          </a:extLst>
        </xdr:cNvPr>
        <xdr:cNvSpPr txBox="1"/>
      </xdr:nvSpPr>
      <xdr:spPr>
        <a:xfrm>
          <a:off x="3064322" y="8639423"/>
          <a:ext cx="835903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CFE83F-AA71-4FD3-9262-F3BEE0CA63A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924383</xdr:rowOff>
    </xdr:from>
    <xdr:to>
      <xdr:col>10</xdr:col>
      <xdr:colOff>543077</xdr:colOff>
      <xdr:row>0</xdr:row>
      <xdr:rowOff>1325626</xdr:rowOff>
    </xdr:to>
    <xdr:sp macro="" textlink="印字値!$C$22">
      <xdr:nvSpPr>
        <xdr:cNvPr id="23" name="付表一18">
          <a:extLst>
            <a:ext uri="{FF2B5EF4-FFF2-40B4-BE49-F238E27FC236}">
              <a16:creationId xmlns:a16="http://schemas.microsoft.com/office/drawing/2014/main" id="{06833612-C3BC-88F1-A9CA-0EDD7F038AC3}"/>
            </a:ext>
          </a:extLst>
        </xdr:cNvPr>
        <xdr:cNvSpPr txBox="1"/>
      </xdr:nvSpPr>
      <xdr:spPr>
        <a:xfrm>
          <a:off x="6341671" y="924383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033FCA5-C148-48AE-B991-C2E145C99B8D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1396732</xdr:rowOff>
    </xdr:from>
    <xdr:to>
      <xdr:col>10</xdr:col>
      <xdr:colOff>543077</xdr:colOff>
      <xdr:row>0</xdr:row>
      <xdr:rowOff>1803054</xdr:rowOff>
    </xdr:to>
    <xdr:sp macro="" textlink="印字値!$C$23">
      <xdr:nvSpPr>
        <xdr:cNvPr id="24" name="付表一19">
          <a:extLst>
            <a:ext uri="{FF2B5EF4-FFF2-40B4-BE49-F238E27FC236}">
              <a16:creationId xmlns:a16="http://schemas.microsoft.com/office/drawing/2014/main" id="{AEDED10F-E28E-E7D1-282D-8838354CD13D}"/>
            </a:ext>
          </a:extLst>
        </xdr:cNvPr>
        <xdr:cNvSpPr txBox="1"/>
      </xdr:nvSpPr>
      <xdr:spPr>
        <a:xfrm>
          <a:off x="6341671" y="1396732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C863E56-FD10-4B0D-BB1D-9ABCB0CC3CBF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1874160</xdr:rowOff>
    </xdr:from>
    <xdr:to>
      <xdr:col>10</xdr:col>
      <xdr:colOff>543077</xdr:colOff>
      <xdr:row>0</xdr:row>
      <xdr:rowOff>2275403</xdr:rowOff>
    </xdr:to>
    <xdr:sp macro="" textlink="印字値!$C$24">
      <xdr:nvSpPr>
        <xdr:cNvPr id="25" name="付表一20">
          <a:extLst>
            <a:ext uri="{FF2B5EF4-FFF2-40B4-BE49-F238E27FC236}">
              <a16:creationId xmlns:a16="http://schemas.microsoft.com/office/drawing/2014/main" id="{6C301CB2-0EE1-C6F5-2316-3D98DF44D3DB}"/>
            </a:ext>
          </a:extLst>
        </xdr:cNvPr>
        <xdr:cNvSpPr txBox="1"/>
      </xdr:nvSpPr>
      <xdr:spPr>
        <a:xfrm>
          <a:off x="6341671" y="1874160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780B41-C22D-418E-BB20-12B28F0A29EB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2346510</xdr:rowOff>
    </xdr:from>
    <xdr:to>
      <xdr:col>10</xdr:col>
      <xdr:colOff>543077</xdr:colOff>
      <xdr:row>0</xdr:row>
      <xdr:rowOff>2752832</xdr:rowOff>
    </xdr:to>
    <xdr:sp macro="" textlink="印字値!$C$25">
      <xdr:nvSpPr>
        <xdr:cNvPr id="26" name="付表一21">
          <a:extLst>
            <a:ext uri="{FF2B5EF4-FFF2-40B4-BE49-F238E27FC236}">
              <a16:creationId xmlns:a16="http://schemas.microsoft.com/office/drawing/2014/main" id="{75AE4C6F-7E6F-0B65-E502-94817FFB3CE8}"/>
            </a:ext>
          </a:extLst>
        </xdr:cNvPr>
        <xdr:cNvSpPr txBox="1"/>
      </xdr:nvSpPr>
      <xdr:spPr>
        <a:xfrm>
          <a:off x="6341671" y="2346510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BE40D9-EA1F-4A96-8598-AA3A2548DD7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2823938</xdr:rowOff>
    </xdr:from>
    <xdr:to>
      <xdr:col>10</xdr:col>
      <xdr:colOff>543077</xdr:colOff>
      <xdr:row>0</xdr:row>
      <xdr:rowOff>3225181</xdr:rowOff>
    </xdr:to>
    <xdr:sp macro="" textlink="印字値!$C$26">
      <xdr:nvSpPr>
        <xdr:cNvPr id="27" name="付表一22">
          <a:extLst>
            <a:ext uri="{FF2B5EF4-FFF2-40B4-BE49-F238E27FC236}">
              <a16:creationId xmlns:a16="http://schemas.microsoft.com/office/drawing/2014/main" id="{21B342AD-B1BA-08D5-1325-4B8FAD8C83DB}"/>
            </a:ext>
          </a:extLst>
        </xdr:cNvPr>
        <xdr:cNvSpPr txBox="1"/>
      </xdr:nvSpPr>
      <xdr:spPr>
        <a:xfrm>
          <a:off x="6341671" y="2823938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38DDF59-77CB-4F79-BABE-01F63AC658F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0</xdr:row>
      <xdr:rowOff>3296288</xdr:rowOff>
    </xdr:from>
    <xdr:to>
      <xdr:col>10</xdr:col>
      <xdr:colOff>543077</xdr:colOff>
      <xdr:row>0</xdr:row>
      <xdr:rowOff>3702610</xdr:rowOff>
    </xdr:to>
    <xdr:sp macro="" textlink="印字値!$C$27">
      <xdr:nvSpPr>
        <xdr:cNvPr id="28" name="付表一23">
          <a:extLst>
            <a:ext uri="{FF2B5EF4-FFF2-40B4-BE49-F238E27FC236}">
              <a16:creationId xmlns:a16="http://schemas.microsoft.com/office/drawing/2014/main" id="{52D9E44A-B7CC-5CCB-F053-C154C0908256}"/>
            </a:ext>
          </a:extLst>
        </xdr:cNvPr>
        <xdr:cNvSpPr txBox="1"/>
      </xdr:nvSpPr>
      <xdr:spPr>
        <a:xfrm>
          <a:off x="6341671" y="3296288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EA159B9-B8E6-4F65-B8EA-ED759F4E9D23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24676</xdr:rowOff>
    </xdr:from>
    <xdr:to>
      <xdr:col>10</xdr:col>
      <xdr:colOff>543077</xdr:colOff>
      <xdr:row>1</xdr:row>
      <xdr:rowOff>425919</xdr:rowOff>
    </xdr:to>
    <xdr:sp macro="" textlink="印字値!$C$28">
      <xdr:nvSpPr>
        <xdr:cNvPr id="29" name="付表一24">
          <a:extLst>
            <a:ext uri="{FF2B5EF4-FFF2-40B4-BE49-F238E27FC236}">
              <a16:creationId xmlns:a16="http://schemas.microsoft.com/office/drawing/2014/main" id="{B54D18E2-E06E-15EA-9BFC-D52A64DD8E7F}"/>
            </a:ext>
          </a:extLst>
        </xdr:cNvPr>
        <xdr:cNvSpPr txBox="1"/>
      </xdr:nvSpPr>
      <xdr:spPr>
        <a:xfrm>
          <a:off x="6341671" y="3773716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3D965CA-0560-4F18-9CF3-EB80C67AE2EA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497026</xdr:rowOff>
    </xdr:from>
    <xdr:to>
      <xdr:col>10</xdr:col>
      <xdr:colOff>543077</xdr:colOff>
      <xdr:row>1</xdr:row>
      <xdr:rowOff>903348</xdr:rowOff>
    </xdr:to>
    <xdr:sp macro="" textlink="印字値!$C$29">
      <xdr:nvSpPr>
        <xdr:cNvPr id="30" name="付表一25">
          <a:extLst>
            <a:ext uri="{FF2B5EF4-FFF2-40B4-BE49-F238E27FC236}">
              <a16:creationId xmlns:a16="http://schemas.microsoft.com/office/drawing/2014/main" id="{7E829A7C-42BB-042C-86C1-64831848C552}"/>
            </a:ext>
          </a:extLst>
        </xdr:cNvPr>
        <xdr:cNvSpPr txBox="1"/>
      </xdr:nvSpPr>
      <xdr:spPr>
        <a:xfrm>
          <a:off x="6341671" y="4246066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50607EC-D2A5-4989-84B0-8D2C04FC1A1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974454</xdr:rowOff>
    </xdr:from>
    <xdr:to>
      <xdr:col>10</xdr:col>
      <xdr:colOff>543077</xdr:colOff>
      <xdr:row>1</xdr:row>
      <xdr:rowOff>1375697</xdr:rowOff>
    </xdr:to>
    <xdr:sp macro="" textlink="印字値!$C$30">
      <xdr:nvSpPr>
        <xdr:cNvPr id="31" name="付表一26">
          <a:extLst>
            <a:ext uri="{FF2B5EF4-FFF2-40B4-BE49-F238E27FC236}">
              <a16:creationId xmlns:a16="http://schemas.microsoft.com/office/drawing/2014/main" id="{C6CD4FBF-724B-7FB6-1225-92BDDBD68CF3}"/>
            </a:ext>
          </a:extLst>
        </xdr:cNvPr>
        <xdr:cNvSpPr txBox="1"/>
      </xdr:nvSpPr>
      <xdr:spPr>
        <a:xfrm>
          <a:off x="6341671" y="4723494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152B168-0EF8-44BC-8570-86E9BD8ACC84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1446803</xdr:rowOff>
    </xdr:from>
    <xdr:to>
      <xdr:col>10</xdr:col>
      <xdr:colOff>543077</xdr:colOff>
      <xdr:row>1</xdr:row>
      <xdr:rowOff>1853125</xdr:rowOff>
    </xdr:to>
    <xdr:sp macro="" textlink="印字値!$C$31">
      <xdr:nvSpPr>
        <xdr:cNvPr id="32" name="付表一27">
          <a:extLst>
            <a:ext uri="{FF2B5EF4-FFF2-40B4-BE49-F238E27FC236}">
              <a16:creationId xmlns:a16="http://schemas.microsoft.com/office/drawing/2014/main" id="{AB3A742C-5184-44AC-660E-85C424DD84E6}"/>
            </a:ext>
          </a:extLst>
        </xdr:cNvPr>
        <xdr:cNvSpPr txBox="1"/>
      </xdr:nvSpPr>
      <xdr:spPr>
        <a:xfrm>
          <a:off x="6341671" y="5195843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5527F0F-600B-46F0-B5A5-91A4644490B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1924232</xdr:rowOff>
    </xdr:from>
    <xdr:to>
      <xdr:col>10</xdr:col>
      <xdr:colOff>543077</xdr:colOff>
      <xdr:row>1</xdr:row>
      <xdr:rowOff>2325475</xdr:rowOff>
    </xdr:to>
    <xdr:sp macro="" textlink="印字値!$C$32">
      <xdr:nvSpPr>
        <xdr:cNvPr id="33" name="付表一28">
          <a:extLst>
            <a:ext uri="{FF2B5EF4-FFF2-40B4-BE49-F238E27FC236}">
              <a16:creationId xmlns:a16="http://schemas.microsoft.com/office/drawing/2014/main" id="{35033E99-5427-C876-92F0-FBFD8EAA1D25}"/>
            </a:ext>
          </a:extLst>
        </xdr:cNvPr>
        <xdr:cNvSpPr txBox="1"/>
      </xdr:nvSpPr>
      <xdr:spPr>
        <a:xfrm>
          <a:off x="6341671" y="5673272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8CD9CB9-A9DD-4F58-B176-592AA2E0D64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2396581</xdr:rowOff>
    </xdr:from>
    <xdr:to>
      <xdr:col>10</xdr:col>
      <xdr:colOff>543077</xdr:colOff>
      <xdr:row>1</xdr:row>
      <xdr:rowOff>2802903</xdr:rowOff>
    </xdr:to>
    <xdr:sp macro="" textlink="印字値!$C$33">
      <xdr:nvSpPr>
        <xdr:cNvPr id="34" name="付表一29">
          <a:extLst>
            <a:ext uri="{FF2B5EF4-FFF2-40B4-BE49-F238E27FC236}">
              <a16:creationId xmlns:a16="http://schemas.microsoft.com/office/drawing/2014/main" id="{13260E09-E5EF-2F95-4F31-EDE99DDBE393}"/>
            </a:ext>
          </a:extLst>
        </xdr:cNvPr>
        <xdr:cNvSpPr txBox="1"/>
      </xdr:nvSpPr>
      <xdr:spPr>
        <a:xfrm>
          <a:off x="6341671" y="6145621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4604F01-45EA-4FF4-A781-2A300B11414D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2874009</xdr:rowOff>
    </xdr:from>
    <xdr:to>
      <xdr:col>10</xdr:col>
      <xdr:colOff>543077</xdr:colOff>
      <xdr:row>1</xdr:row>
      <xdr:rowOff>3275252</xdr:rowOff>
    </xdr:to>
    <xdr:sp macro="" textlink="印字値!$C$34">
      <xdr:nvSpPr>
        <xdr:cNvPr id="35" name="付表一30">
          <a:extLst>
            <a:ext uri="{FF2B5EF4-FFF2-40B4-BE49-F238E27FC236}">
              <a16:creationId xmlns:a16="http://schemas.microsoft.com/office/drawing/2014/main" id="{0C4F385C-1DE1-433C-1948-58A196002285}"/>
            </a:ext>
          </a:extLst>
        </xdr:cNvPr>
        <xdr:cNvSpPr txBox="1"/>
      </xdr:nvSpPr>
      <xdr:spPr>
        <a:xfrm>
          <a:off x="6341671" y="6623049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E41FF6-20BE-4371-8A00-FFA7CADDDDE1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1</xdr:row>
      <xdr:rowOff>3346359</xdr:rowOff>
    </xdr:from>
    <xdr:to>
      <xdr:col>10</xdr:col>
      <xdr:colOff>543077</xdr:colOff>
      <xdr:row>2</xdr:row>
      <xdr:rowOff>3641</xdr:rowOff>
    </xdr:to>
    <xdr:sp macro="" textlink="印字値!$C$35">
      <xdr:nvSpPr>
        <xdr:cNvPr id="36" name="付表一31">
          <a:extLst>
            <a:ext uri="{FF2B5EF4-FFF2-40B4-BE49-F238E27FC236}">
              <a16:creationId xmlns:a16="http://schemas.microsoft.com/office/drawing/2014/main" id="{968192E6-DE6D-8504-C601-A36F51E8F522}"/>
            </a:ext>
          </a:extLst>
        </xdr:cNvPr>
        <xdr:cNvSpPr txBox="1"/>
      </xdr:nvSpPr>
      <xdr:spPr>
        <a:xfrm>
          <a:off x="6341671" y="7095399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717874C-0380-431E-93A3-C6A47198C7C5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2</xdr:row>
      <xdr:rowOff>74748</xdr:rowOff>
    </xdr:from>
    <xdr:to>
      <xdr:col>10</xdr:col>
      <xdr:colOff>543077</xdr:colOff>
      <xdr:row>2</xdr:row>
      <xdr:rowOff>597888</xdr:rowOff>
    </xdr:to>
    <xdr:sp macro="" textlink="印字値!$C$36">
      <xdr:nvSpPr>
        <xdr:cNvPr id="37" name="付表一32">
          <a:extLst>
            <a:ext uri="{FF2B5EF4-FFF2-40B4-BE49-F238E27FC236}">
              <a16:creationId xmlns:a16="http://schemas.microsoft.com/office/drawing/2014/main" id="{2401EA45-661B-2F14-44D8-31E81D83A9DB}"/>
            </a:ext>
          </a:extLst>
        </xdr:cNvPr>
        <xdr:cNvSpPr txBox="1"/>
      </xdr:nvSpPr>
      <xdr:spPr>
        <a:xfrm>
          <a:off x="6341671" y="7572828"/>
          <a:ext cx="830806" cy="52314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A9FB3E0-E7F4-46A3-BA2A-602C43AE83B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2</xdr:row>
      <xdr:rowOff>668994</xdr:rowOff>
    </xdr:from>
    <xdr:to>
      <xdr:col>10</xdr:col>
      <xdr:colOff>543077</xdr:colOff>
      <xdr:row>2</xdr:row>
      <xdr:rowOff>1070237</xdr:rowOff>
    </xdr:to>
    <xdr:sp macro="" textlink="印字値!$C$37">
      <xdr:nvSpPr>
        <xdr:cNvPr id="38" name="付表一33">
          <a:extLst>
            <a:ext uri="{FF2B5EF4-FFF2-40B4-BE49-F238E27FC236}">
              <a16:creationId xmlns:a16="http://schemas.microsoft.com/office/drawing/2014/main" id="{DBEA1A91-BFC1-EFC7-E9C4-1C7B6D8EAB2F}"/>
            </a:ext>
          </a:extLst>
        </xdr:cNvPr>
        <xdr:cNvSpPr txBox="1"/>
      </xdr:nvSpPr>
      <xdr:spPr>
        <a:xfrm>
          <a:off x="6341671" y="8167074"/>
          <a:ext cx="830806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AFD474-898B-4E40-8C3A-B0606541358E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375211</xdr:colOff>
      <xdr:row>2</xdr:row>
      <xdr:rowOff>1141343</xdr:rowOff>
    </xdr:from>
    <xdr:to>
      <xdr:col>10</xdr:col>
      <xdr:colOff>543077</xdr:colOff>
      <xdr:row>2</xdr:row>
      <xdr:rowOff>1547665</xdr:rowOff>
    </xdr:to>
    <xdr:sp macro="" textlink="印字値!$C$38">
      <xdr:nvSpPr>
        <xdr:cNvPr id="39" name="付表一34">
          <a:extLst>
            <a:ext uri="{FF2B5EF4-FFF2-40B4-BE49-F238E27FC236}">
              <a16:creationId xmlns:a16="http://schemas.microsoft.com/office/drawing/2014/main" id="{D67B6B20-3ECF-1F62-F7E0-2DC3341F4A58}"/>
            </a:ext>
          </a:extLst>
        </xdr:cNvPr>
        <xdr:cNvSpPr txBox="1"/>
      </xdr:nvSpPr>
      <xdr:spPr>
        <a:xfrm>
          <a:off x="6341671" y="8639423"/>
          <a:ext cx="830806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0D3154B-CA3F-4B2A-8368-929A26BFAC14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33655</xdr:colOff>
      <xdr:row>3</xdr:row>
      <xdr:rowOff>2921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ACEFDBCB-667D-AD31-7D25-79F78AF3E0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7958455" cy="11255121"/>
        </a:xfrm>
        <a:prstGeom prst="rect">
          <a:avLst/>
        </a:prstGeom>
      </xdr:spPr>
    </xdr:pic>
    <xdr:clientData/>
  </xdr:twoCellAnchor>
  <xdr:twoCellAnchor editAs="absolute">
    <xdr:from>
      <xdr:col>6</xdr:col>
      <xdr:colOff>401811</xdr:colOff>
      <xdr:row>0</xdr:row>
      <xdr:rowOff>477428</xdr:rowOff>
    </xdr:from>
    <xdr:to>
      <xdr:col>8</xdr:col>
      <xdr:colOff>14034</xdr:colOff>
      <xdr:row>0</xdr:row>
      <xdr:rowOff>858355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96FB37DD-91FA-CC66-B24D-3B16C3D26AB2}"/>
            </a:ext>
          </a:extLst>
        </xdr:cNvPr>
        <xdr:cNvSpPr txBox="1"/>
      </xdr:nvSpPr>
      <xdr:spPr>
        <a:xfrm>
          <a:off x="4379451" y="477428"/>
          <a:ext cx="938103" cy="380927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ctr"/>
          <a:fld id="{5055C68B-0E55-4248-9918-04449A79D498}" type="TxLink">
            <a:rPr kumimoji="1" lang="en-US" altLang="en-US" sz="7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2026.4.1
2027.3.31</a:t>
          </a:fld>
          <a:endParaRPr kumimoji="1" lang="ja-JP" altLang="en-US" sz="7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411708</xdr:colOff>
      <xdr:row>0</xdr:row>
      <xdr:rowOff>482507</xdr:rowOff>
    </xdr:from>
    <xdr:to>
      <xdr:col>10</xdr:col>
      <xdr:colOff>543967</xdr:colOff>
      <xdr:row>0</xdr:row>
      <xdr:rowOff>858355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6556D12E-883B-D5DD-5CDE-2FFABCB45B42}"/>
            </a:ext>
          </a:extLst>
        </xdr:cNvPr>
        <xdr:cNvSpPr txBox="1"/>
      </xdr:nvSpPr>
      <xdr:spPr>
        <a:xfrm>
          <a:off x="5715228" y="482507"/>
          <a:ext cx="1458139" cy="37584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E59EBE42-E264-4B1F-83EA-C6EFC399E4A0}" type="TxLink">
            <a:rPr kumimoji="1" lang="en-US" altLang="en-US" sz="4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4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0</xdr:row>
      <xdr:rowOff>1112307</xdr:rowOff>
    </xdr:from>
    <xdr:to>
      <xdr:col>5</xdr:col>
      <xdr:colOff>585502</xdr:colOff>
      <xdr:row>0</xdr:row>
      <xdr:rowOff>1538945</xdr:rowOff>
    </xdr:to>
    <xdr:sp macro="" textlink="印字値!$E$5">
      <xdr:nvSpPr>
        <xdr:cNvPr id="6" name="付表二01">
          <a:extLst>
            <a:ext uri="{FF2B5EF4-FFF2-40B4-BE49-F238E27FC236}">
              <a16:creationId xmlns:a16="http://schemas.microsoft.com/office/drawing/2014/main" id="{29D8BBF9-6302-E312-EACC-FD1F9C0F2D40}"/>
            </a:ext>
          </a:extLst>
        </xdr:cNvPr>
        <xdr:cNvSpPr txBox="1"/>
      </xdr:nvSpPr>
      <xdr:spPr>
        <a:xfrm>
          <a:off x="3150739" y="1112307"/>
          <a:ext cx="749463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281F3E-C36B-42F7-9C59-DA6501FDF501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0</xdr:row>
      <xdr:rowOff>1610051</xdr:rowOff>
    </xdr:from>
    <xdr:to>
      <xdr:col>5</xdr:col>
      <xdr:colOff>585502</xdr:colOff>
      <xdr:row>0</xdr:row>
      <xdr:rowOff>2041768</xdr:rowOff>
    </xdr:to>
    <xdr:sp macro="" textlink="印字値!$E$6">
      <xdr:nvSpPr>
        <xdr:cNvPr id="7" name="付表二02">
          <a:extLst>
            <a:ext uri="{FF2B5EF4-FFF2-40B4-BE49-F238E27FC236}">
              <a16:creationId xmlns:a16="http://schemas.microsoft.com/office/drawing/2014/main" id="{2F8D8EC8-CDB7-CFF6-850B-4C4CC673AA57}"/>
            </a:ext>
          </a:extLst>
        </xdr:cNvPr>
        <xdr:cNvSpPr txBox="1"/>
      </xdr:nvSpPr>
      <xdr:spPr>
        <a:xfrm>
          <a:off x="3150739" y="1610051"/>
          <a:ext cx="749463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8B3B3B6-3CE3-4D25-8E6F-6FC41FA6849F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0</xdr:row>
      <xdr:rowOff>2112875</xdr:rowOff>
    </xdr:from>
    <xdr:to>
      <xdr:col>5</xdr:col>
      <xdr:colOff>585502</xdr:colOff>
      <xdr:row>0</xdr:row>
      <xdr:rowOff>2539513</xdr:rowOff>
    </xdr:to>
    <xdr:sp macro="" textlink="印字値!$E$7">
      <xdr:nvSpPr>
        <xdr:cNvPr id="8" name="付表二03">
          <a:extLst>
            <a:ext uri="{FF2B5EF4-FFF2-40B4-BE49-F238E27FC236}">
              <a16:creationId xmlns:a16="http://schemas.microsoft.com/office/drawing/2014/main" id="{DE854DD7-D441-69D8-103B-B3AE97E6612D}"/>
            </a:ext>
          </a:extLst>
        </xdr:cNvPr>
        <xdr:cNvSpPr txBox="1"/>
      </xdr:nvSpPr>
      <xdr:spPr>
        <a:xfrm>
          <a:off x="3150739" y="2112875"/>
          <a:ext cx="749463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5E5D432-6C0C-4917-9DE2-59E0CE75232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0</xdr:row>
      <xdr:rowOff>2610619</xdr:rowOff>
    </xdr:from>
    <xdr:to>
      <xdr:col>5</xdr:col>
      <xdr:colOff>585502</xdr:colOff>
      <xdr:row>0</xdr:row>
      <xdr:rowOff>3042336</xdr:rowOff>
    </xdr:to>
    <xdr:sp macro="" textlink="印字値!$E$8">
      <xdr:nvSpPr>
        <xdr:cNvPr id="9" name="付表二04">
          <a:extLst>
            <a:ext uri="{FF2B5EF4-FFF2-40B4-BE49-F238E27FC236}">
              <a16:creationId xmlns:a16="http://schemas.microsoft.com/office/drawing/2014/main" id="{032DECB5-65E0-EEB0-3CC5-DC31F36EB121}"/>
            </a:ext>
          </a:extLst>
        </xdr:cNvPr>
        <xdr:cNvSpPr txBox="1"/>
      </xdr:nvSpPr>
      <xdr:spPr>
        <a:xfrm>
          <a:off x="3150739" y="2610619"/>
          <a:ext cx="749463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6365E96-0B10-477D-82AE-0D3FDC4976A1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0</xdr:row>
      <xdr:rowOff>3113443</xdr:rowOff>
    </xdr:from>
    <xdr:to>
      <xdr:col>5</xdr:col>
      <xdr:colOff>585502</xdr:colOff>
      <xdr:row>0</xdr:row>
      <xdr:rowOff>3540081</xdr:rowOff>
    </xdr:to>
    <xdr:sp macro="" textlink="印字値!$E$9">
      <xdr:nvSpPr>
        <xdr:cNvPr id="10" name="付表二05">
          <a:extLst>
            <a:ext uri="{FF2B5EF4-FFF2-40B4-BE49-F238E27FC236}">
              <a16:creationId xmlns:a16="http://schemas.microsoft.com/office/drawing/2014/main" id="{A151D50B-D628-1BB9-9415-A357D0893CC7}"/>
            </a:ext>
          </a:extLst>
        </xdr:cNvPr>
        <xdr:cNvSpPr txBox="1"/>
      </xdr:nvSpPr>
      <xdr:spPr>
        <a:xfrm>
          <a:off x="3150739" y="3113443"/>
          <a:ext cx="749463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92920F-21F3-4E2D-B211-432339A6820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0</xdr:row>
      <xdr:rowOff>1112307</xdr:rowOff>
    </xdr:from>
    <xdr:to>
      <xdr:col>10</xdr:col>
      <xdr:colOff>543968</xdr:colOff>
      <xdr:row>0</xdr:row>
      <xdr:rowOff>1538945</xdr:rowOff>
    </xdr:to>
    <xdr:sp macro="" textlink="印字値!$E$10">
      <xdr:nvSpPr>
        <xdr:cNvPr id="11" name="付表二06">
          <a:extLst>
            <a:ext uri="{FF2B5EF4-FFF2-40B4-BE49-F238E27FC236}">
              <a16:creationId xmlns:a16="http://schemas.microsoft.com/office/drawing/2014/main" id="{0C78D554-A0E7-0B5F-06D9-31B8EEF8484A}"/>
            </a:ext>
          </a:extLst>
        </xdr:cNvPr>
        <xdr:cNvSpPr txBox="1"/>
      </xdr:nvSpPr>
      <xdr:spPr>
        <a:xfrm>
          <a:off x="6429003" y="1112307"/>
          <a:ext cx="744365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372B837-3414-4FE5-BAE5-6116FEEAC7F6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0</xdr:row>
      <xdr:rowOff>1610051</xdr:rowOff>
    </xdr:from>
    <xdr:to>
      <xdr:col>10</xdr:col>
      <xdr:colOff>543968</xdr:colOff>
      <xdr:row>0</xdr:row>
      <xdr:rowOff>2041768</xdr:rowOff>
    </xdr:to>
    <xdr:sp macro="" textlink="印字値!$E$11">
      <xdr:nvSpPr>
        <xdr:cNvPr id="12" name="付表二07">
          <a:extLst>
            <a:ext uri="{FF2B5EF4-FFF2-40B4-BE49-F238E27FC236}">
              <a16:creationId xmlns:a16="http://schemas.microsoft.com/office/drawing/2014/main" id="{42DB7B12-8CF0-D827-CC7E-569A46030ECE}"/>
            </a:ext>
          </a:extLst>
        </xdr:cNvPr>
        <xdr:cNvSpPr txBox="1"/>
      </xdr:nvSpPr>
      <xdr:spPr>
        <a:xfrm>
          <a:off x="6429003" y="1610051"/>
          <a:ext cx="744365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12F3B43-DCFA-4E50-880A-C8E9E5E41380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0</xdr:row>
      <xdr:rowOff>2112875</xdr:rowOff>
    </xdr:from>
    <xdr:to>
      <xdr:col>10</xdr:col>
      <xdr:colOff>543968</xdr:colOff>
      <xdr:row>0</xdr:row>
      <xdr:rowOff>2539513</xdr:rowOff>
    </xdr:to>
    <xdr:sp macro="" textlink="印字値!$E$12">
      <xdr:nvSpPr>
        <xdr:cNvPr id="13" name="付表二08">
          <a:extLst>
            <a:ext uri="{FF2B5EF4-FFF2-40B4-BE49-F238E27FC236}">
              <a16:creationId xmlns:a16="http://schemas.microsoft.com/office/drawing/2014/main" id="{581149B6-0A6E-DAD7-69F3-2E9554E1B3A9}"/>
            </a:ext>
          </a:extLst>
        </xdr:cNvPr>
        <xdr:cNvSpPr txBox="1"/>
      </xdr:nvSpPr>
      <xdr:spPr>
        <a:xfrm>
          <a:off x="6429003" y="2112875"/>
          <a:ext cx="744365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E42C7C3-D4FE-419D-81B3-1258E9E170B4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0</xdr:row>
      <xdr:rowOff>2610619</xdr:rowOff>
    </xdr:from>
    <xdr:to>
      <xdr:col>10</xdr:col>
      <xdr:colOff>543968</xdr:colOff>
      <xdr:row>0</xdr:row>
      <xdr:rowOff>3042336</xdr:rowOff>
    </xdr:to>
    <xdr:sp macro="" textlink="印字値!$E$13">
      <xdr:nvSpPr>
        <xdr:cNvPr id="14" name="付表二09">
          <a:extLst>
            <a:ext uri="{FF2B5EF4-FFF2-40B4-BE49-F238E27FC236}">
              <a16:creationId xmlns:a16="http://schemas.microsoft.com/office/drawing/2014/main" id="{00BBAE8E-B0EF-0612-F01C-E0A76FAF0755}"/>
            </a:ext>
          </a:extLst>
        </xdr:cNvPr>
        <xdr:cNvSpPr txBox="1"/>
      </xdr:nvSpPr>
      <xdr:spPr>
        <a:xfrm>
          <a:off x="6429003" y="2610619"/>
          <a:ext cx="744365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09762B6-7FF3-4CEF-A9C2-DBA014DDF35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0</xdr:row>
      <xdr:rowOff>3113443</xdr:rowOff>
    </xdr:from>
    <xdr:to>
      <xdr:col>10</xdr:col>
      <xdr:colOff>543968</xdr:colOff>
      <xdr:row>0</xdr:row>
      <xdr:rowOff>3540081</xdr:rowOff>
    </xdr:to>
    <xdr:sp macro="" textlink="印字値!$E$14">
      <xdr:nvSpPr>
        <xdr:cNvPr id="15" name="付表二10">
          <a:extLst>
            <a:ext uri="{FF2B5EF4-FFF2-40B4-BE49-F238E27FC236}">
              <a16:creationId xmlns:a16="http://schemas.microsoft.com/office/drawing/2014/main" id="{9A99D924-F990-04B4-83F5-AE9943654DDF}"/>
            </a:ext>
          </a:extLst>
        </xdr:cNvPr>
        <xdr:cNvSpPr txBox="1"/>
      </xdr:nvSpPr>
      <xdr:spPr>
        <a:xfrm>
          <a:off x="6429003" y="3113443"/>
          <a:ext cx="744365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ABA4883-223A-4394-8906-96303F06481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50071</xdr:rowOff>
    </xdr:from>
    <xdr:to>
      <xdr:col>5</xdr:col>
      <xdr:colOff>585502</xdr:colOff>
      <xdr:row>1</xdr:row>
      <xdr:rowOff>690028</xdr:rowOff>
    </xdr:to>
    <xdr:sp macro="" textlink="印字値!$E$15">
      <xdr:nvSpPr>
        <xdr:cNvPr id="16" name="付表二11">
          <a:extLst>
            <a:ext uri="{FF2B5EF4-FFF2-40B4-BE49-F238E27FC236}">
              <a16:creationId xmlns:a16="http://schemas.microsoft.com/office/drawing/2014/main" id="{BB58F2FE-51C6-4A26-AF89-FA010B864AF2}"/>
            </a:ext>
          </a:extLst>
        </xdr:cNvPr>
        <xdr:cNvSpPr txBox="1"/>
      </xdr:nvSpPr>
      <xdr:spPr>
        <a:xfrm>
          <a:off x="3150739" y="3799111"/>
          <a:ext cx="749463" cy="63995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471CE4-B627-4B44-8D15-1245E5317C92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761135</xdr:rowOff>
    </xdr:from>
    <xdr:to>
      <xdr:col>5</xdr:col>
      <xdr:colOff>585502</xdr:colOff>
      <xdr:row>1</xdr:row>
      <xdr:rowOff>1401092</xdr:rowOff>
    </xdr:to>
    <xdr:sp macro="" textlink="印字値!$E$16">
      <xdr:nvSpPr>
        <xdr:cNvPr id="17" name="付表二12">
          <a:extLst>
            <a:ext uri="{FF2B5EF4-FFF2-40B4-BE49-F238E27FC236}">
              <a16:creationId xmlns:a16="http://schemas.microsoft.com/office/drawing/2014/main" id="{30E7BB6A-9BC9-AD15-EA78-6BBB02461DF7}"/>
            </a:ext>
          </a:extLst>
        </xdr:cNvPr>
        <xdr:cNvSpPr txBox="1"/>
      </xdr:nvSpPr>
      <xdr:spPr>
        <a:xfrm>
          <a:off x="3150739" y="4510175"/>
          <a:ext cx="749463" cy="63995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8E5543D-A868-442B-8D58-D5C53BB15BE3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1472198</xdr:rowOff>
    </xdr:from>
    <xdr:to>
      <xdr:col>5</xdr:col>
      <xdr:colOff>585502</xdr:colOff>
      <xdr:row>1</xdr:row>
      <xdr:rowOff>2117234</xdr:rowOff>
    </xdr:to>
    <xdr:sp macro="" textlink="印字値!$E$17">
      <xdr:nvSpPr>
        <xdr:cNvPr id="18" name="付表二13">
          <a:extLst>
            <a:ext uri="{FF2B5EF4-FFF2-40B4-BE49-F238E27FC236}">
              <a16:creationId xmlns:a16="http://schemas.microsoft.com/office/drawing/2014/main" id="{59A94180-D13B-FF8D-A822-CCE4D49B9B89}"/>
            </a:ext>
          </a:extLst>
        </xdr:cNvPr>
        <xdr:cNvSpPr txBox="1"/>
      </xdr:nvSpPr>
      <xdr:spPr>
        <a:xfrm>
          <a:off x="3150739" y="5221238"/>
          <a:ext cx="749463" cy="64503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4B7D2A8-7006-44C2-81D9-E77D111CF72C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50071</xdr:rowOff>
    </xdr:from>
    <xdr:to>
      <xdr:col>10</xdr:col>
      <xdr:colOff>543968</xdr:colOff>
      <xdr:row>1</xdr:row>
      <xdr:rowOff>451314</xdr:rowOff>
    </xdr:to>
    <xdr:sp macro="" textlink="印字値!$E$18">
      <xdr:nvSpPr>
        <xdr:cNvPr id="19" name="付表二14">
          <a:extLst>
            <a:ext uri="{FF2B5EF4-FFF2-40B4-BE49-F238E27FC236}">
              <a16:creationId xmlns:a16="http://schemas.microsoft.com/office/drawing/2014/main" id="{0DEB6C72-9DCD-32B9-3AD2-74E5749451DA}"/>
            </a:ext>
          </a:extLst>
        </xdr:cNvPr>
        <xdr:cNvSpPr txBox="1"/>
      </xdr:nvSpPr>
      <xdr:spPr>
        <a:xfrm>
          <a:off x="6429003" y="3799111"/>
          <a:ext cx="744365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1A92F98-F2DD-4A83-9D84-4C06DF9398C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522421</xdr:rowOff>
    </xdr:from>
    <xdr:to>
      <xdr:col>10</xdr:col>
      <xdr:colOff>543968</xdr:colOff>
      <xdr:row>1</xdr:row>
      <xdr:rowOff>928743</xdr:rowOff>
    </xdr:to>
    <xdr:sp macro="" textlink="印字値!$E$19">
      <xdr:nvSpPr>
        <xdr:cNvPr id="20" name="付表二15">
          <a:extLst>
            <a:ext uri="{FF2B5EF4-FFF2-40B4-BE49-F238E27FC236}">
              <a16:creationId xmlns:a16="http://schemas.microsoft.com/office/drawing/2014/main" id="{225EF766-94E1-0965-7BE2-EC12D90BD5EB}"/>
            </a:ext>
          </a:extLst>
        </xdr:cNvPr>
        <xdr:cNvSpPr txBox="1"/>
      </xdr:nvSpPr>
      <xdr:spPr>
        <a:xfrm>
          <a:off x="6429003" y="4271461"/>
          <a:ext cx="744365" cy="406322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6319F9C-9BE4-4753-839A-0F3035E9317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999849</xdr:rowOff>
    </xdr:from>
    <xdr:to>
      <xdr:col>10</xdr:col>
      <xdr:colOff>543968</xdr:colOff>
      <xdr:row>1</xdr:row>
      <xdr:rowOff>1401092</xdr:rowOff>
    </xdr:to>
    <xdr:sp macro="" textlink="印字値!$E$20">
      <xdr:nvSpPr>
        <xdr:cNvPr id="21" name="付表二16">
          <a:extLst>
            <a:ext uri="{FF2B5EF4-FFF2-40B4-BE49-F238E27FC236}">
              <a16:creationId xmlns:a16="http://schemas.microsoft.com/office/drawing/2014/main" id="{5A6D7105-FDB1-7F18-79BD-15EBAE819802}"/>
            </a:ext>
          </a:extLst>
        </xdr:cNvPr>
        <xdr:cNvSpPr txBox="1"/>
      </xdr:nvSpPr>
      <xdr:spPr>
        <a:xfrm>
          <a:off x="6429003" y="4748889"/>
          <a:ext cx="744365" cy="40124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03913D7-521D-4599-97E0-FFE2F8A8F509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1472198</xdr:rowOff>
    </xdr:from>
    <xdr:to>
      <xdr:col>10</xdr:col>
      <xdr:colOff>543968</xdr:colOff>
      <xdr:row>1</xdr:row>
      <xdr:rowOff>2117234</xdr:rowOff>
    </xdr:to>
    <xdr:sp macro="" textlink="印字値!$E$21">
      <xdr:nvSpPr>
        <xdr:cNvPr id="22" name="付表二17">
          <a:extLst>
            <a:ext uri="{FF2B5EF4-FFF2-40B4-BE49-F238E27FC236}">
              <a16:creationId xmlns:a16="http://schemas.microsoft.com/office/drawing/2014/main" id="{60D3F3EC-78DF-CB7A-24F8-C95EBDDB9344}"/>
            </a:ext>
          </a:extLst>
        </xdr:cNvPr>
        <xdr:cNvSpPr txBox="1"/>
      </xdr:nvSpPr>
      <xdr:spPr>
        <a:xfrm>
          <a:off x="6429003" y="5221238"/>
          <a:ext cx="744365" cy="64503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AE56F72-6845-49E3-BF7F-2346AB2B1AF0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2371186</xdr:rowOff>
    </xdr:from>
    <xdr:to>
      <xdr:col>5</xdr:col>
      <xdr:colOff>585502</xdr:colOff>
      <xdr:row>1</xdr:row>
      <xdr:rowOff>2802903</xdr:rowOff>
    </xdr:to>
    <xdr:sp macro="" textlink="印字値!$E$22">
      <xdr:nvSpPr>
        <xdr:cNvPr id="23" name="付表二18">
          <a:extLst>
            <a:ext uri="{FF2B5EF4-FFF2-40B4-BE49-F238E27FC236}">
              <a16:creationId xmlns:a16="http://schemas.microsoft.com/office/drawing/2014/main" id="{46F0A8DF-5678-38DB-EDD8-E8927DDE783E}"/>
            </a:ext>
          </a:extLst>
        </xdr:cNvPr>
        <xdr:cNvSpPr txBox="1"/>
      </xdr:nvSpPr>
      <xdr:spPr>
        <a:xfrm>
          <a:off x="3150739" y="6120226"/>
          <a:ext cx="749463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711F5E3-3DA9-4152-964E-FFCC0CA96375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2874009</xdr:rowOff>
    </xdr:from>
    <xdr:to>
      <xdr:col>5</xdr:col>
      <xdr:colOff>585502</xdr:colOff>
      <xdr:row>1</xdr:row>
      <xdr:rowOff>3300647</xdr:rowOff>
    </xdr:to>
    <xdr:sp macro="" textlink="印字値!$E$23">
      <xdr:nvSpPr>
        <xdr:cNvPr id="24" name="付表二19">
          <a:extLst>
            <a:ext uri="{FF2B5EF4-FFF2-40B4-BE49-F238E27FC236}">
              <a16:creationId xmlns:a16="http://schemas.microsoft.com/office/drawing/2014/main" id="{D9FE538B-1822-73E0-22A8-276FBCCA214A}"/>
            </a:ext>
          </a:extLst>
        </xdr:cNvPr>
        <xdr:cNvSpPr txBox="1"/>
      </xdr:nvSpPr>
      <xdr:spPr>
        <a:xfrm>
          <a:off x="3150739" y="6623049"/>
          <a:ext cx="749463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66ABFE-D4C9-443E-8ED6-990A6D8ECE91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1</xdr:row>
      <xdr:rowOff>3371754</xdr:rowOff>
    </xdr:from>
    <xdr:to>
      <xdr:col>5</xdr:col>
      <xdr:colOff>585502</xdr:colOff>
      <xdr:row>2</xdr:row>
      <xdr:rowOff>54431</xdr:rowOff>
    </xdr:to>
    <xdr:sp macro="" textlink="印字値!$E$24">
      <xdr:nvSpPr>
        <xdr:cNvPr id="25" name="付表二20">
          <a:extLst>
            <a:ext uri="{FF2B5EF4-FFF2-40B4-BE49-F238E27FC236}">
              <a16:creationId xmlns:a16="http://schemas.microsoft.com/office/drawing/2014/main" id="{2C862D59-63AE-09BF-65CF-235E8A8C0608}"/>
            </a:ext>
          </a:extLst>
        </xdr:cNvPr>
        <xdr:cNvSpPr txBox="1"/>
      </xdr:nvSpPr>
      <xdr:spPr>
        <a:xfrm>
          <a:off x="3150739" y="7120794"/>
          <a:ext cx="749463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86E8BB1-8511-4325-816A-40F48362D19F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2</xdr:row>
      <xdr:rowOff>125538</xdr:rowOff>
    </xdr:from>
    <xdr:to>
      <xdr:col>5</xdr:col>
      <xdr:colOff>585502</xdr:colOff>
      <xdr:row>2</xdr:row>
      <xdr:rowOff>552176</xdr:rowOff>
    </xdr:to>
    <xdr:sp macro="" textlink="印字値!$E$25">
      <xdr:nvSpPr>
        <xdr:cNvPr id="26" name="付表二21">
          <a:extLst>
            <a:ext uri="{FF2B5EF4-FFF2-40B4-BE49-F238E27FC236}">
              <a16:creationId xmlns:a16="http://schemas.microsoft.com/office/drawing/2014/main" id="{737D1105-784C-2CB5-0695-3A0CB9E24E69}"/>
            </a:ext>
          </a:extLst>
        </xdr:cNvPr>
        <xdr:cNvSpPr txBox="1"/>
      </xdr:nvSpPr>
      <xdr:spPr>
        <a:xfrm>
          <a:off x="3150739" y="7623618"/>
          <a:ext cx="749463" cy="426638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79A5CC-0FE6-4C69-BBF7-BFAAECBE5F9E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498979</xdr:colOff>
      <xdr:row>2</xdr:row>
      <xdr:rowOff>623282</xdr:rowOff>
    </xdr:from>
    <xdr:to>
      <xdr:col>5</xdr:col>
      <xdr:colOff>585502</xdr:colOff>
      <xdr:row>2</xdr:row>
      <xdr:rowOff>1054999</xdr:rowOff>
    </xdr:to>
    <xdr:sp macro="" textlink="印字値!$E$26">
      <xdr:nvSpPr>
        <xdr:cNvPr id="27" name="付表二22">
          <a:extLst>
            <a:ext uri="{FF2B5EF4-FFF2-40B4-BE49-F238E27FC236}">
              <a16:creationId xmlns:a16="http://schemas.microsoft.com/office/drawing/2014/main" id="{0CEE882F-2D79-F648-E4A3-E6593EC4B84E}"/>
            </a:ext>
          </a:extLst>
        </xdr:cNvPr>
        <xdr:cNvSpPr txBox="1"/>
      </xdr:nvSpPr>
      <xdr:spPr>
        <a:xfrm>
          <a:off x="3150739" y="8121362"/>
          <a:ext cx="749463" cy="431717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90BEC93-2113-4641-AAE0-C41632B843A5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2371186</xdr:rowOff>
    </xdr:from>
    <xdr:to>
      <xdr:col>10</xdr:col>
      <xdr:colOff>543968</xdr:colOff>
      <xdr:row>1</xdr:row>
      <xdr:rowOff>2924800</xdr:rowOff>
    </xdr:to>
    <xdr:sp macro="" textlink="印字値!$E$27">
      <xdr:nvSpPr>
        <xdr:cNvPr id="28" name="付表二23">
          <a:extLst>
            <a:ext uri="{FF2B5EF4-FFF2-40B4-BE49-F238E27FC236}">
              <a16:creationId xmlns:a16="http://schemas.microsoft.com/office/drawing/2014/main" id="{CCB25491-2935-3499-559D-33B570DC7CEA}"/>
            </a:ext>
          </a:extLst>
        </xdr:cNvPr>
        <xdr:cNvSpPr txBox="1"/>
      </xdr:nvSpPr>
      <xdr:spPr>
        <a:xfrm>
          <a:off x="6429003" y="6120226"/>
          <a:ext cx="744365" cy="553614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3EB9E60-84D5-4224-A35E-01C702B81F1D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2995906</xdr:rowOff>
    </xdr:from>
    <xdr:to>
      <xdr:col>10</xdr:col>
      <xdr:colOff>543968</xdr:colOff>
      <xdr:row>1</xdr:row>
      <xdr:rowOff>3554599</xdr:rowOff>
    </xdr:to>
    <xdr:sp macro="" textlink="印字値!$E$28">
      <xdr:nvSpPr>
        <xdr:cNvPr id="29" name="付表二24">
          <a:extLst>
            <a:ext uri="{FF2B5EF4-FFF2-40B4-BE49-F238E27FC236}">
              <a16:creationId xmlns:a16="http://schemas.microsoft.com/office/drawing/2014/main" id="{394BF851-5BB7-DEBF-B7DB-A328A530126B}"/>
            </a:ext>
          </a:extLst>
        </xdr:cNvPr>
        <xdr:cNvSpPr txBox="1"/>
      </xdr:nvSpPr>
      <xdr:spPr>
        <a:xfrm>
          <a:off x="6429003" y="6744946"/>
          <a:ext cx="744365" cy="558693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31D4EC4-0915-4459-81BA-FF86E6BE1FAC}" type="TxLink">
            <a:rPr kumimoji="1" lang="en-US" altLang="en-US" sz="6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0.00000000</a:t>
          </a:fld>
          <a:endParaRPr kumimoji="1" lang="ja-JP" altLang="en-US" sz="6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1</xdr:row>
      <xdr:rowOff>3625705</xdr:rowOff>
    </xdr:from>
    <xdr:to>
      <xdr:col>10</xdr:col>
      <xdr:colOff>543968</xdr:colOff>
      <xdr:row>2</xdr:row>
      <xdr:rowOff>430279</xdr:rowOff>
    </xdr:to>
    <xdr:sp macro="" textlink="印字値!$E$29">
      <xdr:nvSpPr>
        <xdr:cNvPr id="30" name="付表二25">
          <a:extLst>
            <a:ext uri="{FF2B5EF4-FFF2-40B4-BE49-F238E27FC236}">
              <a16:creationId xmlns:a16="http://schemas.microsoft.com/office/drawing/2014/main" id="{9F4CDDED-B2F0-7FE8-6F11-A803508FEF5B}"/>
            </a:ext>
          </a:extLst>
        </xdr:cNvPr>
        <xdr:cNvSpPr txBox="1"/>
      </xdr:nvSpPr>
      <xdr:spPr>
        <a:xfrm>
          <a:off x="6429003" y="7374745"/>
          <a:ext cx="744365" cy="553614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7F89289-34A2-4D03-ADE6-AE5673278DB0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462543</xdr:colOff>
      <xdr:row>2</xdr:row>
      <xdr:rowOff>501385</xdr:rowOff>
    </xdr:from>
    <xdr:to>
      <xdr:col>10</xdr:col>
      <xdr:colOff>543968</xdr:colOff>
      <xdr:row>2</xdr:row>
      <xdr:rowOff>1054999</xdr:rowOff>
    </xdr:to>
    <xdr:sp macro="" textlink="印字値!$E$30">
      <xdr:nvSpPr>
        <xdr:cNvPr id="31" name="付表二26">
          <a:extLst>
            <a:ext uri="{FF2B5EF4-FFF2-40B4-BE49-F238E27FC236}">
              <a16:creationId xmlns:a16="http://schemas.microsoft.com/office/drawing/2014/main" id="{1C3531CE-86F3-E6F7-DABC-49597A1C0E53}"/>
            </a:ext>
          </a:extLst>
        </xdr:cNvPr>
        <xdr:cNvSpPr txBox="1"/>
      </xdr:nvSpPr>
      <xdr:spPr>
        <a:xfrm>
          <a:off x="6429003" y="7999465"/>
          <a:ext cx="744365" cy="553614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AD8F03A-F4B3-4027-86B4-CB0645D31A17}" type="TxLink">
            <a:rPr kumimoji="1" lang="en-US" altLang="en-US" sz="7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0</a:t>
          </a:fld>
          <a:endParaRPr kumimoji="1" lang="ja-JP" altLang="en-US" sz="7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ta.go.jp/law/tsutatsu/kihon/hojin/16/16_01_02.htm" TargetMode="External"/><Relationship Id="rId3" Type="http://schemas.openxmlformats.org/officeDocument/2006/relationships/hyperlink" Target="https://www.nta.go.jp/taxes/tetsuzuki/shinsei/annai/hojin/shinkoku/itiran2026/pdf/03%2801%29-ki.pdf" TargetMode="External"/><Relationship Id="rId7" Type="http://schemas.openxmlformats.org/officeDocument/2006/relationships/hyperlink" Target="https://www.nta.go.jp/taxes/tetsuzuki/shinsei/annai/hojin/shinkoku/itiran2026/pdf/03%2801%29-f2-ki.pdf" TargetMode="External"/><Relationship Id="rId2" Type="http://schemas.openxmlformats.org/officeDocument/2006/relationships/hyperlink" Target="https://www.nta.go.jp/taxes/tetsuzuki/shinsei/annai/hojin/shinkoku/itiran2026/pdf/03%2801%29.pdf" TargetMode="External"/><Relationship Id="rId1" Type="http://schemas.openxmlformats.org/officeDocument/2006/relationships/hyperlink" Target="https://www.nta.go.jp/taxes/tetsuzuki/shinsei/annai/hojin/shinkoku/itiran2026/01.htm" TargetMode="External"/><Relationship Id="rId6" Type="http://schemas.openxmlformats.org/officeDocument/2006/relationships/hyperlink" Target="https://www.nta.go.jp/taxes/tetsuzuki/shinsei/annai/hojin/shinkoku/itiran2026/pdf/03%2801%29-f2.pdf" TargetMode="External"/><Relationship Id="rId11" Type="http://schemas.openxmlformats.org/officeDocument/2006/relationships/printerSettings" Target="../printerSettings/printerSettings10.bin"/><Relationship Id="rId5" Type="http://schemas.openxmlformats.org/officeDocument/2006/relationships/hyperlink" Target="https://www.nta.go.jp/taxes/tetsuzuki/shinsei/annai/hojin/shinkoku/itiran2026/pdf/03%2801%29-f1-ki.pdf" TargetMode="External"/><Relationship Id="rId10" Type="http://schemas.openxmlformats.org/officeDocument/2006/relationships/hyperlink" Target="https://laws.e-gov.go.jp/law/337AC0000000066" TargetMode="External"/><Relationship Id="rId4" Type="http://schemas.openxmlformats.org/officeDocument/2006/relationships/hyperlink" Target="https://www.nta.go.jp/taxes/tetsuzuki/shinsei/annai/hojin/shinkoku/itiran2026/pdf/03%2801%29-f1.pdf" TargetMode="External"/><Relationship Id="rId9" Type="http://schemas.openxmlformats.org/officeDocument/2006/relationships/hyperlink" Target="https://laws.e-gov.go.jp/law/340AC0000000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EA985-2EB4-4FF6-9436-C3CC75E8439F}">
  <sheetPr>
    <tabColor rgb="FF17365D"/>
    <pageSetUpPr fitToPage="1"/>
  </sheetPr>
  <dimension ref="A1:H28"/>
  <sheetViews>
    <sheetView showGridLines="0" tabSelected="1" zoomScale="90" zoomScaleNormal="90" workbookViewId="0">
      <selection sqref="A1:H1"/>
    </sheetView>
  </sheetViews>
  <sheetFormatPr defaultRowHeight="18"/>
  <cols>
    <col min="1" max="8" width="17.69921875" customWidth="1"/>
  </cols>
  <sheetData>
    <row r="1" spans="1:8" ht="28.8">
      <c r="A1" s="30" t="s">
        <v>435</v>
      </c>
      <c r="B1" s="5"/>
      <c r="C1" s="5"/>
      <c r="D1" s="5"/>
      <c r="E1" s="5"/>
      <c r="F1" s="5"/>
      <c r="G1" s="5"/>
      <c r="H1" s="5"/>
    </row>
    <row r="2" spans="1:8">
      <c r="A2" s="31" t="s">
        <v>436</v>
      </c>
      <c r="B2" s="5"/>
      <c r="C2" s="5"/>
      <c r="D2" s="5"/>
      <c r="E2" s="5"/>
      <c r="F2" s="5"/>
      <c r="G2" s="5"/>
      <c r="H2" s="5"/>
    </row>
    <row r="3" spans="1:8">
      <c r="A3" s="7"/>
      <c r="B3" s="7"/>
      <c r="C3" s="7"/>
      <c r="D3" s="7"/>
      <c r="E3" s="7"/>
      <c r="F3" s="7"/>
      <c r="G3" s="7"/>
      <c r="H3" s="7"/>
    </row>
    <row r="4" spans="1:8" ht="22.95" customHeight="1">
      <c r="A4" s="8" t="s">
        <v>437</v>
      </c>
      <c r="B4" s="8"/>
      <c r="C4" s="8"/>
      <c r="D4" s="8"/>
      <c r="E4" s="8"/>
      <c r="F4" s="8"/>
      <c r="G4" s="8"/>
      <c r="H4" s="8"/>
    </row>
    <row r="5" spans="1:8" ht="21.6">
      <c r="A5" s="9" t="s">
        <v>438</v>
      </c>
      <c r="B5" s="9"/>
      <c r="C5" s="9"/>
      <c r="D5" s="9"/>
      <c r="E5" s="9"/>
      <c r="F5" s="32">
        <f>m_08</f>
        <v>0</v>
      </c>
      <c r="G5" s="33"/>
      <c r="H5" s="33"/>
    </row>
    <row r="6" spans="1:8" ht="21.6">
      <c r="A6" s="9" t="s">
        <v>439</v>
      </c>
      <c r="B6" s="9"/>
      <c r="C6" s="9"/>
      <c r="D6" s="9"/>
      <c r="E6" s="9"/>
      <c r="F6" s="32">
        <f>m_21</f>
        <v>0</v>
      </c>
      <c r="G6" s="33"/>
      <c r="H6" s="33"/>
    </row>
    <row r="7" spans="1:8" ht="21.6">
      <c r="A7" s="9" t="s">
        <v>440</v>
      </c>
      <c r="B7" s="9"/>
      <c r="C7" s="9"/>
      <c r="D7" s="9"/>
      <c r="E7" s="9"/>
      <c r="F7" s="32">
        <f>f1_34</f>
        <v>20000000</v>
      </c>
      <c r="G7" s="33"/>
      <c r="H7" s="33"/>
    </row>
    <row r="8" spans="1:8" ht="21.6">
      <c r="A8" s="9" t="s">
        <v>441</v>
      </c>
      <c r="B8" s="9"/>
      <c r="C8" s="9"/>
      <c r="D8" s="9"/>
      <c r="E8" s="9"/>
      <c r="F8" s="32">
        <f>m_28</f>
        <v>0</v>
      </c>
      <c r="G8" s="33"/>
      <c r="H8" s="33"/>
    </row>
    <row r="9" spans="1:8">
      <c r="A9" s="7"/>
      <c r="B9" s="7"/>
      <c r="C9" s="7"/>
      <c r="D9" s="7"/>
      <c r="E9" s="7"/>
      <c r="F9" s="7"/>
      <c r="G9" s="7"/>
      <c r="H9" s="7"/>
    </row>
    <row r="10" spans="1:8" ht="22.95" customHeight="1">
      <c r="A10" s="8" t="s">
        <v>442</v>
      </c>
      <c r="B10" s="8"/>
      <c r="C10" s="8"/>
      <c r="D10" s="8"/>
      <c r="E10" s="8"/>
      <c r="F10" s="8"/>
      <c r="G10" s="8"/>
      <c r="H10" s="8"/>
    </row>
    <row r="11" spans="1:8">
      <c r="A11" s="9" t="s">
        <v>443</v>
      </c>
      <c r="B11" s="9"/>
      <c r="C11" s="9"/>
      <c r="D11" s="9"/>
      <c r="E11" s="9"/>
      <c r="F11" s="34" t="str">
        <f>IF(inp_end&gt;=DATE(2026,4,1),"OK：令和8年様式の対象","要確認：事業年度終了日が令和8年4月1日前")</f>
        <v>OK：令和8年様式の対象</v>
      </c>
      <c r="G11" s="34"/>
      <c r="H11" s="34"/>
    </row>
    <row r="12" spans="1:8">
      <c r="A12" s="9" t="s">
        <v>444</v>
      </c>
      <c r="B12" s="9"/>
      <c r="C12" s="9"/>
      <c r="D12" s="9"/>
      <c r="E12" s="9"/>
      <c r="F12" s="34" t="str">
        <f>IF(inp_special="はい","OK：別表二で特定同族会社","要確認：本別表の適用対象か確認")</f>
        <v>OK：別表二で特定同族会社</v>
      </c>
      <c r="G12" s="34"/>
      <c r="H12" s="34"/>
    </row>
    <row r="13" spans="1:8">
      <c r="A13" s="9" t="s">
        <v>445</v>
      </c>
      <c r="B13" s="9"/>
      <c r="C13" s="9"/>
      <c r="D13" s="9"/>
      <c r="E13" s="9"/>
      <c r="F13" s="34" t="str">
        <f>IF(inp_group="はい","付表二を使用","非通算法人：付表二の数値は0")</f>
        <v>非通算法人：付表二の数値は0</v>
      </c>
      <c r="G13" s="34"/>
      <c r="H13" s="34"/>
    </row>
    <row r="14" spans="1:8">
      <c r="A14" s="9" t="s">
        <v>446</v>
      </c>
      <c r="B14" s="9"/>
      <c r="C14" s="9"/>
      <c r="D14" s="9"/>
      <c r="E14" s="9"/>
      <c r="F14" s="34" t="str">
        <f>IF(inp_months="","要確認",inp_months&amp;"か月")</f>
        <v>12か月</v>
      </c>
      <c r="G14" s="34"/>
      <c r="H14" s="34"/>
    </row>
    <row r="15" spans="1:8">
      <c r="A15" s="7"/>
      <c r="B15" s="7"/>
      <c r="C15" s="7"/>
      <c r="D15" s="7"/>
      <c r="E15" s="7"/>
      <c r="F15" s="7"/>
      <c r="G15" s="7"/>
      <c r="H15" s="7"/>
    </row>
    <row r="16" spans="1:8" ht="22.95" customHeight="1">
      <c r="A16" s="35" t="s">
        <v>447</v>
      </c>
      <c r="B16" s="35"/>
      <c r="C16" s="35"/>
      <c r="D16" s="35"/>
      <c r="E16" s="35"/>
      <c r="F16" s="35"/>
      <c r="G16" s="35"/>
      <c r="H16" s="35"/>
    </row>
    <row r="17" spans="1:8" ht="24" customHeight="1">
      <c r="A17" s="36" t="s">
        <v>448</v>
      </c>
      <c r="B17" s="36"/>
      <c r="C17" s="36"/>
      <c r="D17" s="36"/>
      <c r="E17" s="36"/>
      <c r="F17" s="36"/>
      <c r="G17" s="36"/>
      <c r="H17" s="36"/>
    </row>
    <row r="18" spans="1:8" ht="24" customHeight="1">
      <c r="A18" s="36" t="s">
        <v>449</v>
      </c>
      <c r="B18" s="36"/>
      <c r="C18" s="36"/>
      <c r="D18" s="36"/>
      <c r="E18" s="36"/>
      <c r="F18" s="36"/>
      <c r="G18" s="36"/>
      <c r="H18" s="36"/>
    </row>
    <row r="19" spans="1:8" ht="24" customHeight="1">
      <c r="A19" s="36" t="s">
        <v>450</v>
      </c>
      <c r="B19" s="36"/>
      <c r="C19" s="36"/>
      <c r="D19" s="36"/>
      <c r="E19" s="36"/>
      <c r="F19" s="36"/>
      <c r="G19" s="36"/>
      <c r="H19" s="36"/>
    </row>
    <row r="20" spans="1:8" ht="24" customHeight="1">
      <c r="A20" s="36" t="s">
        <v>451</v>
      </c>
      <c r="B20" s="36"/>
      <c r="C20" s="36"/>
      <c r="D20" s="36"/>
      <c r="E20" s="36"/>
      <c r="F20" s="36"/>
      <c r="G20" s="36"/>
      <c r="H20" s="36"/>
    </row>
    <row r="21" spans="1:8" ht="24" customHeight="1">
      <c r="A21" s="36" t="s">
        <v>452</v>
      </c>
      <c r="B21" s="36"/>
      <c r="C21" s="36"/>
      <c r="D21" s="36"/>
      <c r="E21" s="36"/>
      <c r="F21" s="36"/>
      <c r="G21" s="36"/>
      <c r="H21" s="36"/>
    </row>
    <row r="22" spans="1:8">
      <c r="A22" s="7"/>
      <c r="B22" s="7"/>
      <c r="C22" s="7"/>
      <c r="D22" s="7"/>
      <c r="E22" s="7"/>
      <c r="F22" s="7"/>
      <c r="G22" s="7"/>
      <c r="H22" s="7"/>
    </row>
    <row r="23" spans="1:8" ht="22.95" customHeight="1">
      <c r="A23" s="8" t="s">
        <v>453</v>
      </c>
      <c r="B23" s="8"/>
      <c r="C23" s="8"/>
      <c r="D23" s="8"/>
      <c r="E23" s="8"/>
      <c r="F23" s="8"/>
      <c r="G23" s="8"/>
      <c r="H23" s="8"/>
    </row>
    <row r="24" spans="1:8">
      <c r="A24" s="37" t="s">
        <v>454</v>
      </c>
      <c r="B24" s="37" t="s">
        <v>455</v>
      </c>
      <c r="C24" s="37" t="s">
        <v>456</v>
      </c>
      <c r="D24" s="37" t="s">
        <v>457</v>
      </c>
      <c r="E24" s="37" t="s">
        <v>458</v>
      </c>
      <c r="F24" s="37" t="s">
        <v>459</v>
      </c>
      <c r="G24" s="37" t="s">
        <v>460</v>
      </c>
      <c r="H24" s="37" t="s">
        <v>461</v>
      </c>
    </row>
    <row r="25" spans="1:8">
      <c r="A25" s="7"/>
      <c r="B25" s="7"/>
      <c r="C25" s="7"/>
      <c r="D25" s="7"/>
      <c r="E25" s="7"/>
      <c r="F25" s="7"/>
      <c r="G25" s="7"/>
      <c r="H25" s="7"/>
    </row>
    <row r="26" spans="1:8">
      <c r="A26" s="38" t="s">
        <v>462</v>
      </c>
      <c r="B26" s="39"/>
      <c r="C26" s="39"/>
      <c r="D26" s="39"/>
      <c r="E26" s="39"/>
      <c r="F26" s="39"/>
      <c r="G26" s="39"/>
      <c r="H26" s="39"/>
    </row>
    <row r="27" spans="1:8">
      <c r="A27" s="39"/>
      <c r="B27" s="39"/>
      <c r="C27" s="39"/>
      <c r="D27" s="39"/>
      <c r="E27" s="39"/>
      <c r="F27" s="39"/>
      <c r="G27" s="39"/>
      <c r="H27" s="39"/>
    </row>
    <row r="28" spans="1:8">
      <c r="A28" s="39"/>
      <c r="B28" s="39"/>
      <c r="C28" s="39"/>
      <c r="D28" s="39"/>
      <c r="E28" s="39"/>
      <c r="F28" s="39"/>
      <c r="G28" s="39"/>
      <c r="H28" s="39"/>
    </row>
  </sheetData>
  <sheetProtection sheet="1" objects="1" scenarios="1"/>
  <mergeCells count="28">
    <mergeCell ref="A23:H23"/>
    <mergeCell ref="A26:H28"/>
    <mergeCell ref="A16:H16"/>
    <mergeCell ref="A17:H17"/>
    <mergeCell ref="A18:H18"/>
    <mergeCell ref="A19:H19"/>
    <mergeCell ref="A20:H20"/>
    <mergeCell ref="A21:H21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3"/>
  <hyperlinks>
    <hyperlink ref="A24" location="'入力'!A1" display="入力" xr:uid="{A54FD31F-A2A6-4899-8722-B924D051EF55}"/>
    <hyperlink ref="B24" location="'別表三一_計算'!A1" display="主表計算" xr:uid="{B6D89B09-09C6-490B-AF29-F0EB26D767A0}"/>
    <hyperlink ref="C24" location="'付表一_計算'!A1" display="付表一計算" xr:uid="{9CEBEADC-ACBD-49D3-95D4-BC1483439538}"/>
    <hyperlink ref="D24" location="'付表二_計算'!A1" display="付表二計算" xr:uid="{49C27C61-2D87-4A4C-81A3-BD8E68CA8C28}"/>
    <hyperlink ref="E24" location="'別表三(一)'!A1" display="別表三(一)" xr:uid="{5E14686C-FFB5-41DF-91B2-6FFC3FEDF167}"/>
    <hyperlink ref="F24" location="'別表三(一)付表一'!A1" display="付表一" xr:uid="{7E390F1A-BDCF-4475-8A62-60674D5792C8}"/>
    <hyperlink ref="G24" location="'別表三(一)付表二'!A1" display="付表二" xr:uid="{CF0E7228-3A15-45B3-B263-A6300B7CC217}"/>
    <hyperlink ref="H24" location="'検算'!A1" display="検算" xr:uid="{812F6CDD-F1D3-44AD-B48F-C725B0C4C39A}"/>
  </hyperlinks>
  <printOptions horizontalCentered="1"/>
  <pageMargins left="0.25" right="0.25" top="0.35" bottom="0.35" header="0.3" footer="0.3"/>
  <pageSetup paperSize="9" scale="9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F2B-ADA8-4506-9271-FE4E8DA1C486}">
  <sheetPr>
    <tabColor rgb="FFFFF2CC"/>
    <pageSetUpPr fitToPage="1"/>
  </sheetPr>
  <dimension ref="A1:E99"/>
  <sheetViews>
    <sheetView showGridLines="0" zoomScale="90" zoomScaleNormal="90" workbookViewId="0">
      <pane ySplit="13" topLeftCell="A14" activePane="bottomLeft" state="frozenSplit"/>
      <selection pane="bottomLeft" sqref="A1:E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</cols>
  <sheetData>
    <row r="1" spans="1:5" ht="26.4">
      <c r="A1" s="18" t="s">
        <v>0</v>
      </c>
      <c r="B1" s="19"/>
      <c r="C1" s="19"/>
      <c r="D1" s="19"/>
      <c r="E1" s="19"/>
    </row>
    <row r="2" spans="1:5">
      <c r="A2" s="20" t="s">
        <v>1</v>
      </c>
      <c r="B2" s="19"/>
      <c r="C2" s="19"/>
      <c r="D2" s="19"/>
      <c r="E2" s="19"/>
    </row>
    <row r="3" spans="1:5">
      <c r="A3" s="21"/>
      <c r="B3" s="21"/>
      <c r="C3" s="21"/>
      <c r="D3" s="21"/>
      <c r="E3" s="21"/>
    </row>
    <row r="4" spans="1:5" ht="22.95" customHeight="1">
      <c r="A4" s="8" t="s">
        <v>2</v>
      </c>
      <c r="B4" s="8"/>
      <c r="C4" s="8"/>
      <c r="D4" s="8"/>
      <c r="E4" s="8"/>
    </row>
    <row r="5" spans="1:5">
      <c r="A5" s="9" t="s">
        <v>3</v>
      </c>
      <c r="B5" s="9"/>
      <c r="C5" s="9"/>
      <c r="D5" s="48"/>
      <c r="E5" s="10"/>
    </row>
    <row r="6" spans="1:5">
      <c r="A6" s="9" t="s">
        <v>4</v>
      </c>
      <c r="B6" s="9"/>
      <c r="C6" s="9"/>
      <c r="D6" s="49">
        <f>DATE(2026,4,1)</f>
        <v>46113</v>
      </c>
      <c r="E6" s="10"/>
    </row>
    <row r="7" spans="1:5">
      <c r="A7" s="9" t="s">
        <v>5</v>
      </c>
      <c r="B7" s="9"/>
      <c r="C7" s="9"/>
      <c r="D7" s="49">
        <f>DATE(2027,3,31)</f>
        <v>46477</v>
      </c>
      <c r="E7" s="10"/>
    </row>
    <row r="8" spans="1:5">
      <c r="A8" s="9" t="s">
        <v>6</v>
      </c>
      <c r="B8" s="9"/>
      <c r="C8" s="9"/>
      <c r="D8" s="13">
        <f>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</f>
        <v>12</v>
      </c>
      <c r="E8" s="10"/>
    </row>
    <row r="9" spans="1:5">
      <c r="A9" s="9" t="s">
        <v>7</v>
      </c>
      <c r="B9" s="9"/>
      <c r="C9" s="9"/>
      <c r="D9" s="47" t="s">
        <v>555</v>
      </c>
      <c r="E9" s="10"/>
    </row>
    <row r="10" spans="1:5">
      <c r="A10" s="9" t="s">
        <v>8</v>
      </c>
      <c r="B10" s="9"/>
      <c r="C10" s="9"/>
      <c r="D10" s="47" t="s">
        <v>556</v>
      </c>
      <c r="E10" s="10"/>
    </row>
    <row r="11" spans="1:5">
      <c r="A11" s="9" t="s">
        <v>9</v>
      </c>
      <c r="B11" s="9"/>
      <c r="C11" s="9"/>
      <c r="D11" s="47" t="s">
        <v>10</v>
      </c>
      <c r="E11" s="10"/>
    </row>
    <row r="12" spans="1:5">
      <c r="A12" s="21"/>
      <c r="B12" s="21"/>
      <c r="C12" s="21"/>
      <c r="D12" s="14"/>
      <c r="E12" s="21"/>
    </row>
    <row r="13" spans="1:5" ht="22.95" customHeight="1">
      <c r="A13" s="8" t="s">
        <v>11</v>
      </c>
      <c r="B13" s="8"/>
      <c r="C13" s="8"/>
      <c r="D13" s="15"/>
      <c r="E13" s="8"/>
    </row>
    <row r="14" spans="1:5">
      <c r="A14" s="11" t="s">
        <v>12</v>
      </c>
      <c r="B14" s="11" t="s">
        <v>13</v>
      </c>
      <c r="C14" s="11" t="s">
        <v>14</v>
      </c>
      <c r="D14" s="16" t="s">
        <v>15</v>
      </c>
      <c r="E14" s="11" t="s">
        <v>16</v>
      </c>
    </row>
    <row r="15" spans="1:5" ht="31.95" customHeight="1">
      <c r="A15" s="10" t="s">
        <v>17</v>
      </c>
      <c r="B15" s="12" t="s">
        <v>18</v>
      </c>
      <c r="C15" s="12" t="s">
        <v>19</v>
      </c>
      <c r="D15" s="46">
        <v>0</v>
      </c>
      <c r="E15" s="12" t="s">
        <v>20</v>
      </c>
    </row>
    <row r="16" spans="1:5" ht="31.95" customHeight="1">
      <c r="A16" s="10" t="s">
        <v>21</v>
      </c>
      <c r="B16" s="12" t="s">
        <v>22</v>
      </c>
      <c r="C16" s="12" t="s">
        <v>23</v>
      </c>
      <c r="D16" s="46">
        <v>0</v>
      </c>
      <c r="E16" s="12" t="s">
        <v>24</v>
      </c>
    </row>
    <row r="17" spans="1:5" ht="31.95" customHeight="1">
      <c r="A17" s="10" t="s">
        <v>25</v>
      </c>
      <c r="B17" s="12" t="s">
        <v>26</v>
      </c>
      <c r="C17" s="12" t="s">
        <v>27</v>
      </c>
      <c r="D17" s="46">
        <v>0</v>
      </c>
      <c r="E17" s="12" t="s">
        <v>28</v>
      </c>
    </row>
    <row r="18" spans="1:5" ht="31.95" customHeight="1">
      <c r="A18" s="10" t="s">
        <v>29</v>
      </c>
      <c r="B18" s="12" t="s">
        <v>30</v>
      </c>
      <c r="C18" s="12" t="s">
        <v>31</v>
      </c>
      <c r="D18" s="46">
        <v>0</v>
      </c>
      <c r="E18" s="12" t="s">
        <v>32</v>
      </c>
    </row>
    <row r="19" spans="1:5" ht="31.95" customHeight="1">
      <c r="A19" s="10" t="s">
        <v>33</v>
      </c>
      <c r="B19" s="12" t="s">
        <v>34</v>
      </c>
      <c r="C19" s="12" t="s">
        <v>35</v>
      </c>
      <c r="D19" s="46">
        <v>0</v>
      </c>
      <c r="E19" s="12" t="s">
        <v>32</v>
      </c>
    </row>
    <row r="20" spans="1:5" ht="31.95" customHeight="1">
      <c r="A20" s="10" t="s">
        <v>36</v>
      </c>
      <c r="B20" s="12" t="s">
        <v>37</v>
      </c>
      <c r="C20" s="12" t="s">
        <v>37</v>
      </c>
      <c r="D20" s="46">
        <v>0</v>
      </c>
      <c r="E20" s="12" t="s">
        <v>38</v>
      </c>
    </row>
    <row r="21" spans="1:5" ht="31.95" customHeight="1">
      <c r="A21" s="10" t="s">
        <v>39</v>
      </c>
      <c r="B21" s="12" t="s">
        <v>40</v>
      </c>
      <c r="C21" s="12" t="s">
        <v>40</v>
      </c>
      <c r="D21" s="46">
        <v>0</v>
      </c>
      <c r="E21" s="12" t="s">
        <v>41</v>
      </c>
    </row>
    <row r="22" spans="1:5" ht="31.95" customHeight="1">
      <c r="A22" s="10" t="s">
        <v>42</v>
      </c>
      <c r="B22" s="12" t="s">
        <v>43</v>
      </c>
      <c r="C22" s="12" t="s">
        <v>43</v>
      </c>
      <c r="D22" s="46">
        <v>0</v>
      </c>
      <c r="E22" s="12" t="s">
        <v>44</v>
      </c>
    </row>
    <row r="23" spans="1:5" ht="31.95" customHeight="1">
      <c r="A23" s="10" t="s">
        <v>45</v>
      </c>
      <c r="B23" s="12" t="s">
        <v>46</v>
      </c>
      <c r="C23" s="12" t="s">
        <v>46</v>
      </c>
      <c r="D23" s="46">
        <v>0</v>
      </c>
      <c r="E23" s="12"/>
    </row>
    <row r="24" spans="1:5" ht="31.95" customHeight="1">
      <c r="A24" s="10" t="s">
        <v>47</v>
      </c>
      <c r="B24" s="12" t="s">
        <v>48</v>
      </c>
      <c r="C24" s="12" t="s">
        <v>48</v>
      </c>
      <c r="D24" s="46">
        <v>0</v>
      </c>
      <c r="E24" s="12"/>
    </row>
    <row r="25" spans="1:5" ht="31.95" customHeight="1">
      <c r="A25" s="10" t="s">
        <v>49</v>
      </c>
      <c r="B25" s="12" t="s">
        <v>50</v>
      </c>
      <c r="C25" s="12" t="s">
        <v>50</v>
      </c>
      <c r="D25" s="46">
        <v>0</v>
      </c>
      <c r="E25" s="12"/>
    </row>
    <row r="26" spans="1:5" ht="31.95" customHeight="1">
      <c r="A26" s="10" t="s">
        <v>51</v>
      </c>
      <c r="B26" s="12" t="s">
        <v>52</v>
      </c>
      <c r="C26" s="12" t="s">
        <v>52</v>
      </c>
      <c r="D26" s="46">
        <v>0</v>
      </c>
      <c r="E26" s="12"/>
    </row>
    <row r="27" spans="1:5" ht="31.95" customHeight="1">
      <c r="A27" s="10" t="s">
        <v>53</v>
      </c>
      <c r="B27" s="12" t="s">
        <v>54</v>
      </c>
      <c r="C27" s="12" t="s">
        <v>54</v>
      </c>
      <c r="D27" s="46">
        <v>0</v>
      </c>
      <c r="E27" s="12"/>
    </row>
    <row r="28" spans="1:5" ht="31.95" customHeight="1">
      <c r="A28" s="10" t="s">
        <v>55</v>
      </c>
      <c r="B28" s="12" t="s">
        <v>56</v>
      </c>
      <c r="C28" s="12" t="s">
        <v>56</v>
      </c>
      <c r="D28" s="46">
        <v>0</v>
      </c>
      <c r="E28" s="12" t="s">
        <v>57</v>
      </c>
    </row>
    <row r="29" spans="1:5" ht="31.95" customHeight="1">
      <c r="A29" s="10" t="s">
        <v>58</v>
      </c>
      <c r="B29" s="12" t="s">
        <v>59</v>
      </c>
      <c r="C29" s="12" t="s">
        <v>59</v>
      </c>
      <c r="D29" s="46">
        <v>0</v>
      </c>
      <c r="E29" s="12" t="s">
        <v>57</v>
      </c>
    </row>
    <row r="30" spans="1:5" ht="31.95" customHeight="1">
      <c r="A30" s="10" t="s">
        <v>60</v>
      </c>
      <c r="B30" s="12" t="s">
        <v>61</v>
      </c>
      <c r="C30" s="12" t="s">
        <v>61</v>
      </c>
      <c r="D30" s="46">
        <v>0</v>
      </c>
      <c r="E30" s="12" t="s">
        <v>57</v>
      </c>
    </row>
    <row r="31" spans="1:5" ht="31.95" customHeight="1">
      <c r="A31" s="10" t="s">
        <v>62</v>
      </c>
      <c r="B31" s="12" t="s">
        <v>63</v>
      </c>
      <c r="C31" s="12" t="s">
        <v>63</v>
      </c>
      <c r="D31" s="46">
        <v>0</v>
      </c>
      <c r="E31" s="12" t="s">
        <v>64</v>
      </c>
    </row>
    <row r="32" spans="1:5" ht="31.95" customHeight="1">
      <c r="A32" s="10" t="s">
        <v>65</v>
      </c>
      <c r="B32" s="12" t="s">
        <v>66</v>
      </c>
      <c r="C32" s="12" t="s">
        <v>66</v>
      </c>
      <c r="D32" s="46">
        <v>0</v>
      </c>
      <c r="E32" s="12" t="s">
        <v>67</v>
      </c>
    </row>
    <row r="33" spans="1:5" ht="31.95" customHeight="1">
      <c r="A33" s="10" t="s">
        <v>68</v>
      </c>
      <c r="B33" s="12" t="s">
        <v>69</v>
      </c>
      <c r="C33" s="12" t="s">
        <v>69</v>
      </c>
      <c r="D33" s="46">
        <v>0</v>
      </c>
      <c r="E33" s="12" t="s">
        <v>67</v>
      </c>
    </row>
    <row r="34" spans="1:5" ht="31.95" customHeight="1">
      <c r="A34" s="10" t="s">
        <v>70</v>
      </c>
      <c r="B34" s="12" t="s">
        <v>71</v>
      </c>
      <c r="C34" s="12" t="s">
        <v>71</v>
      </c>
      <c r="D34" s="46">
        <v>0</v>
      </c>
      <c r="E34" s="12" t="s">
        <v>67</v>
      </c>
    </row>
    <row r="35" spans="1:5" ht="31.95" customHeight="1">
      <c r="A35" s="10" t="s">
        <v>72</v>
      </c>
      <c r="B35" s="12" t="s">
        <v>73</v>
      </c>
      <c r="C35" s="12" t="s">
        <v>73</v>
      </c>
      <c r="D35" s="46">
        <v>0</v>
      </c>
      <c r="E35" s="12" t="s">
        <v>67</v>
      </c>
    </row>
    <row r="36" spans="1:5" ht="31.95" customHeight="1">
      <c r="A36" s="10" t="s">
        <v>74</v>
      </c>
      <c r="B36" s="12" t="s">
        <v>75</v>
      </c>
      <c r="C36" s="12" t="s">
        <v>76</v>
      </c>
      <c r="D36" s="46">
        <v>0</v>
      </c>
      <c r="E36" s="12" t="s">
        <v>77</v>
      </c>
    </row>
    <row r="37" spans="1:5" ht="31.95" customHeight="1">
      <c r="A37" s="10" t="s">
        <v>78</v>
      </c>
      <c r="B37" s="12" t="s">
        <v>79</v>
      </c>
      <c r="C37" s="12" t="s">
        <v>80</v>
      </c>
      <c r="D37" s="46">
        <v>0</v>
      </c>
      <c r="E37" s="12"/>
    </row>
    <row r="38" spans="1:5" ht="31.95" customHeight="1">
      <c r="A38" s="10" t="s">
        <v>81</v>
      </c>
      <c r="B38" s="12" t="s">
        <v>82</v>
      </c>
      <c r="C38" s="12" t="s">
        <v>83</v>
      </c>
      <c r="D38" s="46">
        <v>0</v>
      </c>
      <c r="E38" s="12" t="s">
        <v>84</v>
      </c>
    </row>
    <row r="39" spans="1:5" ht="31.95" customHeight="1">
      <c r="A39" s="10" t="s">
        <v>85</v>
      </c>
      <c r="B39" s="12" t="s">
        <v>86</v>
      </c>
      <c r="C39" s="12" t="s">
        <v>87</v>
      </c>
      <c r="D39" s="46">
        <v>0</v>
      </c>
      <c r="E39" s="12"/>
    </row>
    <row r="40" spans="1:5" ht="31.95" customHeight="1">
      <c r="A40" s="10" t="s">
        <v>88</v>
      </c>
      <c r="B40" s="12" t="s">
        <v>89</v>
      </c>
      <c r="C40" s="12" t="s">
        <v>90</v>
      </c>
      <c r="D40" s="46">
        <v>0</v>
      </c>
      <c r="E40" s="12"/>
    </row>
    <row r="41" spans="1:5" ht="31.95" customHeight="1">
      <c r="A41" s="10" t="s">
        <v>91</v>
      </c>
      <c r="B41" s="12" t="s">
        <v>92</v>
      </c>
      <c r="C41" s="12" t="s">
        <v>93</v>
      </c>
      <c r="D41" s="46">
        <v>0</v>
      </c>
      <c r="E41" s="12" t="s">
        <v>94</v>
      </c>
    </row>
    <row r="42" spans="1:5" ht="31.95" customHeight="1">
      <c r="A42" s="10" t="s">
        <v>95</v>
      </c>
      <c r="B42" s="12" t="s">
        <v>96</v>
      </c>
      <c r="C42" s="12" t="s">
        <v>93</v>
      </c>
      <c r="D42" s="46">
        <v>0</v>
      </c>
      <c r="E42" s="12" t="s">
        <v>94</v>
      </c>
    </row>
    <row r="43" spans="1:5" ht="31.95" customHeight="1">
      <c r="A43" s="10" t="s">
        <v>97</v>
      </c>
      <c r="B43" s="12" t="s">
        <v>98</v>
      </c>
      <c r="C43" s="12" t="s">
        <v>93</v>
      </c>
      <c r="D43" s="46">
        <v>0</v>
      </c>
      <c r="E43" s="12" t="s">
        <v>99</v>
      </c>
    </row>
    <row r="44" spans="1:5" ht="31.95" customHeight="1">
      <c r="A44" s="10" t="s">
        <v>100</v>
      </c>
      <c r="B44" s="12" t="s">
        <v>101</v>
      </c>
      <c r="C44" s="12" t="s">
        <v>102</v>
      </c>
      <c r="D44" s="46">
        <v>0</v>
      </c>
      <c r="E44" s="12" t="s">
        <v>94</v>
      </c>
    </row>
    <row r="45" spans="1:5" ht="31.95" customHeight="1">
      <c r="A45" s="10" t="s">
        <v>103</v>
      </c>
      <c r="B45" s="12" t="s">
        <v>104</v>
      </c>
      <c r="C45" s="12" t="s">
        <v>102</v>
      </c>
      <c r="D45" s="46">
        <v>0</v>
      </c>
      <c r="E45" s="12" t="s">
        <v>99</v>
      </c>
    </row>
    <row r="46" spans="1:5" ht="31.95" customHeight="1">
      <c r="A46" s="10" t="s">
        <v>105</v>
      </c>
      <c r="B46" s="12" t="s">
        <v>106</v>
      </c>
      <c r="C46" s="12" t="s">
        <v>102</v>
      </c>
      <c r="D46" s="46">
        <v>0</v>
      </c>
      <c r="E46" s="12" t="s">
        <v>94</v>
      </c>
    </row>
    <row r="47" spans="1:5" ht="31.95" customHeight="1">
      <c r="A47" s="10" t="s">
        <v>107</v>
      </c>
      <c r="B47" s="12" t="s">
        <v>108</v>
      </c>
      <c r="C47" s="12" t="s">
        <v>102</v>
      </c>
      <c r="D47" s="46">
        <v>0</v>
      </c>
      <c r="E47" s="12" t="s">
        <v>99</v>
      </c>
    </row>
    <row r="48" spans="1:5" ht="31.95" customHeight="1">
      <c r="A48" s="10" t="s">
        <v>109</v>
      </c>
      <c r="B48" s="12" t="s">
        <v>110</v>
      </c>
      <c r="C48" s="12" t="s">
        <v>102</v>
      </c>
      <c r="D48" s="46">
        <v>0</v>
      </c>
      <c r="E48" s="12" t="s">
        <v>99</v>
      </c>
    </row>
    <row r="49" spans="1:5" ht="31.95" customHeight="1">
      <c r="A49" s="10" t="s">
        <v>111</v>
      </c>
      <c r="B49" s="12" t="s">
        <v>112</v>
      </c>
      <c r="C49" s="12" t="s">
        <v>102</v>
      </c>
      <c r="D49" s="46">
        <v>0</v>
      </c>
      <c r="E49" s="12" t="s">
        <v>94</v>
      </c>
    </row>
    <row r="50" spans="1:5" ht="31.95" customHeight="1">
      <c r="A50" s="10" t="s">
        <v>113</v>
      </c>
      <c r="B50" s="12" t="s">
        <v>114</v>
      </c>
      <c r="C50" s="12" t="s">
        <v>115</v>
      </c>
      <c r="D50" s="46">
        <v>0</v>
      </c>
      <c r="E50" s="12" t="s">
        <v>116</v>
      </c>
    </row>
    <row r="51" spans="1:5" ht="31.95" customHeight="1">
      <c r="A51" s="10" t="s">
        <v>117</v>
      </c>
      <c r="B51" s="12" t="s">
        <v>118</v>
      </c>
      <c r="C51" s="12" t="s">
        <v>115</v>
      </c>
      <c r="D51" s="46">
        <v>0</v>
      </c>
      <c r="E51" s="12" t="s">
        <v>116</v>
      </c>
    </row>
    <row r="52" spans="1:5" ht="31.95" customHeight="1">
      <c r="A52" s="10" t="s">
        <v>119</v>
      </c>
      <c r="B52" s="12" t="s">
        <v>120</v>
      </c>
      <c r="C52" s="12" t="s">
        <v>121</v>
      </c>
      <c r="D52" s="46">
        <v>0</v>
      </c>
      <c r="E52" s="12" t="s">
        <v>122</v>
      </c>
    </row>
    <row r="53" spans="1:5" ht="31.95" customHeight="1">
      <c r="A53" s="10" t="s">
        <v>123</v>
      </c>
      <c r="B53" s="12" t="s">
        <v>124</v>
      </c>
      <c r="C53" s="12" t="s">
        <v>121</v>
      </c>
      <c r="D53" s="46">
        <v>0</v>
      </c>
      <c r="E53" s="12" t="s">
        <v>122</v>
      </c>
    </row>
    <row r="54" spans="1:5">
      <c r="A54" s="10"/>
      <c r="B54" s="10"/>
      <c r="C54" s="10"/>
      <c r="D54" s="17"/>
      <c r="E54" s="10"/>
    </row>
    <row r="55" spans="1:5" ht="22.95" customHeight="1">
      <c r="A55" s="8" t="s">
        <v>125</v>
      </c>
      <c r="B55" s="8"/>
      <c r="C55" s="8"/>
      <c r="D55" s="15"/>
      <c r="E55" s="8"/>
    </row>
    <row r="56" spans="1:5">
      <c r="A56" s="11" t="s">
        <v>12</v>
      </c>
      <c r="B56" s="11" t="s">
        <v>13</v>
      </c>
      <c r="C56" s="11" t="s">
        <v>14</v>
      </c>
      <c r="D56" s="16" t="s">
        <v>15</v>
      </c>
      <c r="E56" s="11" t="s">
        <v>16</v>
      </c>
    </row>
    <row r="57" spans="1:5" ht="31.95" customHeight="1">
      <c r="A57" s="10" t="s">
        <v>126</v>
      </c>
      <c r="B57" s="12" t="s">
        <v>127</v>
      </c>
      <c r="C57" s="12" t="s">
        <v>128</v>
      </c>
      <c r="D57" s="46">
        <v>0</v>
      </c>
      <c r="E57" s="12"/>
    </row>
    <row r="58" spans="1:5" ht="31.95" customHeight="1">
      <c r="A58" s="10" t="s">
        <v>129</v>
      </c>
      <c r="B58" s="12" t="s">
        <v>130</v>
      </c>
      <c r="C58" s="12" t="s">
        <v>131</v>
      </c>
      <c r="D58" s="46">
        <v>0</v>
      </c>
      <c r="E58" s="12" t="s">
        <v>132</v>
      </c>
    </row>
    <row r="59" spans="1:5" ht="31.95" customHeight="1">
      <c r="A59" s="10" t="s">
        <v>133</v>
      </c>
      <c r="B59" s="12" t="s">
        <v>134</v>
      </c>
      <c r="C59" s="12" t="s">
        <v>135</v>
      </c>
      <c r="D59" s="46">
        <v>0</v>
      </c>
      <c r="E59" s="12"/>
    </row>
    <row r="60" spans="1:5" ht="31.95" customHeight="1">
      <c r="A60" s="10" t="s">
        <v>136</v>
      </c>
      <c r="B60" s="12" t="s">
        <v>137</v>
      </c>
      <c r="C60" s="12" t="s">
        <v>138</v>
      </c>
      <c r="D60" s="46">
        <v>0</v>
      </c>
      <c r="E60" s="12"/>
    </row>
    <row r="61" spans="1:5" ht="31.95" customHeight="1">
      <c r="A61" s="10" t="s">
        <v>139</v>
      </c>
      <c r="B61" s="12" t="s">
        <v>140</v>
      </c>
      <c r="C61" s="12" t="s">
        <v>141</v>
      </c>
      <c r="D61" s="46">
        <v>0</v>
      </c>
      <c r="E61" s="12"/>
    </row>
    <row r="62" spans="1:5" ht="31.95" customHeight="1">
      <c r="A62" s="10" t="s">
        <v>142</v>
      </c>
      <c r="B62" s="12" t="s">
        <v>143</v>
      </c>
      <c r="C62" s="12" t="s">
        <v>144</v>
      </c>
      <c r="D62" s="46">
        <v>0</v>
      </c>
      <c r="E62" s="12" t="s">
        <v>145</v>
      </c>
    </row>
    <row r="63" spans="1:5" ht="31.95" customHeight="1">
      <c r="A63" s="10" t="s">
        <v>146</v>
      </c>
      <c r="B63" s="12" t="s">
        <v>147</v>
      </c>
      <c r="C63" s="12" t="s">
        <v>148</v>
      </c>
      <c r="D63" s="46">
        <v>0</v>
      </c>
      <c r="E63" s="12" t="s">
        <v>32</v>
      </c>
    </row>
    <row r="64" spans="1:5" ht="31.95" customHeight="1">
      <c r="A64" s="10" t="s">
        <v>149</v>
      </c>
      <c r="B64" s="12" t="s">
        <v>150</v>
      </c>
      <c r="C64" s="12" t="s">
        <v>151</v>
      </c>
      <c r="D64" s="46">
        <v>0</v>
      </c>
      <c r="E64" s="12"/>
    </row>
    <row r="65" spans="1:5" ht="31.95" customHeight="1">
      <c r="A65" s="10" t="s">
        <v>152</v>
      </c>
      <c r="B65" s="12" t="s">
        <v>153</v>
      </c>
      <c r="C65" s="12" t="s">
        <v>151</v>
      </c>
      <c r="D65" s="46">
        <v>0</v>
      </c>
      <c r="E65" s="12"/>
    </row>
    <row r="66" spans="1:5" ht="31.95" customHeight="1">
      <c r="A66" s="10" t="s">
        <v>154</v>
      </c>
      <c r="B66" s="12" t="s">
        <v>155</v>
      </c>
      <c r="C66" s="12" t="s">
        <v>156</v>
      </c>
      <c r="D66" s="46">
        <v>0</v>
      </c>
      <c r="E66" s="12"/>
    </row>
    <row r="67" spans="1:5" ht="31.95" customHeight="1">
      <c r="A67" s="10" t="s">
        <v>157</v>
      </c>
      <c r="B67" s="12" t="s">
        <v>158</v>
      </c>
      <c r="C67" s="12" t="s">
        <v>159</v>
      </c>
      <c r="D67" s="46">
        <v>0</v>
      </c>
      <c r="E67" s="12"/>
    </row>
    <row r="68" spans="1:5" ht="31.95" customHeight="1">
      <c r="A68" s="10" t="s">
        <v>160</v>
      </c>
      <c r="B68" s="12" t="s">
        <v>161</v>
      </c>
      <c r="C68" s="12" t="s">
        <v>159</v>
      </c>
      <c r="D68" s="46">
        <v>0</v>
      </c>
      <c r="E68" s="12"/>
    </row>
    <row r="69" spans="1:5" ht="31.95" customHeight="1">
      <c r="A69" s="10" t="s">
        <v>162</v>
      </c>
      <c r="B69" s="12" t="s">
        <v>163</v>
      </c>
      <c r="C69" s="12" t="s">
        <v>164</v>
      </c>
      <c r="D69" s="46">
        <v>0</v>
      </c>
      <c r="E69" s="12"/>
    </row>
    <row r="70" spans="1:5" ht="31.95" customHeight="1">
      <c r="A70" s="10" t="s">
        <v>165</v>
      </c>
      <c r="B70" s="12" t="s">
        <v>166</v>
      </c>
      <c r="C70" s="12" t="s">
        <v>164</v>
      </c>
      <c r="D70" s="46">
        <v>0</v>
      </c>
      <c r="E70" s="12" t="s">
        <v>167</v>
      </c>
    </row>
    <row r="71" spans="1:5" ht="31.95" customHeight="1">
      <c r="A71" s="10" t="s">
        <v>168</v>
      </c>
      <c r="B71" s="12" t="s">
        <v>169</v>
      </c>
      <c r="C71" s="12" t="s">
        <v>170</v>
      </c>
      <c r="D71" s="46">
        <v>0</v>
      </c>
      <c r="E71" s="12"/>
    </row>
    <row r="72" spans="1:5" ht="31.95" customHeight="1">
      <c r="A72" s="10" t="s">
        <v>171</v>
      </c>
      <c r="B72" s="12" t="s">
        <v>172</v>
      </c>
      <c r="C72" s="12" t="s">
        <v>173</v>
      </c>
      <c r="D72" s="46">
        <v>0</v>
      </c>
      <c r="E72" s="12" t="s">
        <v>174</v>
      </c>
    </row>
    <row r="73" spans="1:5" ht="31.95" customHeight="1">
      <c r="A73" s="10" t="s">
        <v>175</v>
      </c>
      <c r="B73" s="12" t="s">
        <v>176</v>
      </c>
      <c r="C73" s="12" t="s">
        <v>177</v>
      </c>
      <c r="D73" s="46">
        <v>0</v>
      </c>
      <c r="E73" s="12"/>
    </row>
    <row r="74" spans="1:5" ht="31.95" customHeight="1">
      <c r="A74" s="10" t="s">
        <v>178</v>
      </c>
      <c r="B74" s="12" t="s">
        <v>179</v>
      </c>
      <c r="C74" s="12" t="s">
        <v>180</v>
      </c>
      <c r="D74" s="46">
        <v>0</v>
      </c>
      <c r="E74" s="12"/>
    </row>
    <row r="75" spans="1:5" ht="31.95" customHeight="1">
      <c r="A75" s="10" t="s">
        <v>181</v>
      </c>
      <c r="B75" s="12" t="s">
        <v>182</v>
      </c>
      <c r="C75" s="12" t="s">
        <v>183</v>
      </c>
      <c r="D75" s="46">
        <v>0</v>
      </c>
      <c r="E75" s="12"/>
    </row>
    <row r="76" spans="1:5" ht="31.95" customHeight="1">
      <c r="A76" s="10" t="s">
        <v>184</v>
      </c>
      <c r="B76" s="12" t="s">
        <v>185</v>
      </c>
      <c r="C76" s="12" t="s">
        <v>186</v>
      </c>
      <c r="D76" s="46">
        <v>0</v>
      </c>
      <c r="E76" s="12"/>
    </row>
    <row r="77" spans="1:5" ht="31.95" customHeight="1">
      <c r="A77" s="10" t="s">
        <v>187</v>
      </c>
      <c r="B77" s="12" t="s">
        <v>188</v>
      </c>
      <c r="C77" s="12" t="s">
        <v>189</v>
      </c>
      <c r="D77" s="46">
        <v>0</v>
      </c>
      <c r="E77" s="12"/>
    </row>
    <row r="78" spans="1:5" ht="31.95" customHeight="1">
      <c r="A78" s="10" t="s">
        <v>190</v>
      </c>
      <c r="B78" s="12" t="s">
        <v>191</v>
      </c>
      <c r="C78" s="12" t="s">
        <v>192</v>
      </c>
      <c r="D78" s="46">
        <v>0</v>
      </c>
      <c r="E78" s="12"/>
    </row>
    <row r="79" spans="1:5" ht="31.95" customHeight="1">
      <c r="A79" s="10" t="s">
        <v>193</v>
      </c>
      <c r="B79" s="12" t="s">
        <v>194</v>
      </c>
      <c r="C79" s="12" t="s">
        <v>195</v>
      </c>
      <c r="D79" s="46">
        <v>0</v>
      </c>
      <c r="E79" s="12" t="s">
        <v>196</v>
      </c>
    </row>
    <row r="80" spans="1:5" ht="31.95" customHeight="1">
      <c r="A80" s="10" t="s">
        <v>197</v>
      </c>
      <c r="B80" s="12" t="s">
        <v>198</v>
      </c>
      <c r="C80" s="12" t="s">
        <v>199</v>
      </c>
      <c r="D80" s="46">
        <v>0</v>
      </c>
      <c r="E80" s="12"/>
    </row>
    <row r="81" spans="1:5" ht="31.95" customHeight="1">
      <c r="A81" s="10" t="s">
        <v>200</v>
      </c>
      <c r="B81" s="12" t="s">
        <v>201</v>
      </c>
      <c r="C81" s="12" t="s">
        <v>202</v>
      </c>
      <c r="D81" s="46">
        <v>0</v>
      </c>
      <c r="E81" s="12" t="s">
        <v>196</v>
      </c>
    </row>
    <row r="82" spans="1:5" ht="31.95" customHeight="1">
      <c r="A82" s="10" t="s">
        <v>203</v>
      </c>
      <c r="B82" s="12" t="s">
        <v>204</v>
      </c>
      <c r="C82" s="12" t="s">
        <v>205</v>
      </c>
      <c r="D82" s="46">
        <v>0</v>
      </c>
      <c r="E82" s="12"/>
    </row>
    <row r="83" spans="1:5" ht="31.95" customHeight="1">
      <c r="A83" s="10" t="s">
        <v>206</v>
      </c>
      <c r="B83" s="12" t="s">
        <v>207</v>
      </c>
      <c r="C83" s="12" t="s">
        <v>208</v>
      </c>
      <c r="D83" s="46">
        <v>0</v>
      </c>
      <c r="E83" s="12"/>
    </row>
    <row r="84" spans="1:5" ht="31.95" customHeight="1">
      <c r="A84" s="10" t="s">
        <v>209</v>
      </c>
      <c r="B84" s="12" t="s">
        <v>210</v>
      </c>
      <c r="C84" s="12" t="s">
        <v>211</v>
      </c>
      <c r="D84" s="46">
        <v>0</v>
      </c>
      <c r="E84" s="12" t="s">
        <v>196</v>
      </c>
    </row>
    <row r="85" spans="1:5">
      <c r="A85" s="10"/>
      <c r="B85" s="10"/>
      <c r="C85" s="10"/>
      <c r="D85" s="17"/>
      <c r="E85" s="10"/>
    </row>
    <row r="86" spans="1:5" ht="22.95" customHeight="1">
      <c r="A86" s="8" t="s">
        <v>212</v>
      </c>
      <c r="B86" s="8"/>
      <c r="C86" s="8"/>
      <c r="D86" s="15"/>
      <c r="E86" s="8"/>
    </row>
    <row r="87" spans="1:5">
      <c r="A87" s="11" t="s">
        <v>12</v>
      </c>
      <c r="B87" s="11" t="s">
        <v>13</v>
      </c>
      <c r="C87" s="11" t="s">
        <v>14</v>
      </c>
      <c r="D87" s="16" t="s">
        <v>15</v>
      </c>
      <c r="E87" s="11" t="s">
        <v>16</v>
      </c>
    </row>
    <row r="88" spans="1:5" ht="31.95" customHeight="1">
      <c r="A88" s="10" t="s">
        <v>213</v>
      </c>
      <c r="B88" s="12" t="s">
        <v>214</v>
      </c>
      <c r="C88" s="12" t="s">
        <v>215</v>
      </c>
      <c r="D88" s="46">
        <v>0</v>
      </c>
      <c r="E88" s="12"/>
    </row>
    <row r="89" spans="1:5" ht="31.95" customHeight="1">
      <c r="A89" s="10" t="s">
        <v>216</v>
      </c>
      <c r="B89" s="12" t="s">
        <v>217</v>
      </c>
      <c r="C89" s="12" t="s">
        <v>218</v>
      </c>
      <c r="D89" s="46">
        <v>0</v>
      </c>
      <c r="E89" s="12"/>
    </row>
    <row r="90" spans="1:5" ht="31.95" customHeight="1">
      <c r="A90" s="10" t="s">
        <v>219</v>
      </c>
      <c r="B90" s="12" t="s">
        <v>220</v>
      </c>
      <c r="C90" s="12" t="s">
        <v>221</v>
      </c>
      <c r="D90" s="46">
        <v>0</v>
      </c>
      <c r="E90" s="12"/>
    </row>
    <row r="91" spans="1:5" ht="31.95" customHeight="1">
      <c r="A91" s="10" t="s">
        <v>222</v>
      </c>
      <c r="B91" s="12" t="s">
        <v>220</v>
      </c>
      <c r="C91" s="12" t="s">
        <v>223</v>
      </c>
      <c r="D91" s="46">
        <v>0</v>
      </c>
      <c r="E91" s="12"/>
    </row>
    <row r="92" spans="1:5" ht="31.95" customHeight="1">
      <c r="A92" s="10" t="s">
        <v>224</v>
      </c>
      <c r="B92" s="12" t="s">
        <v>225</v>
      </c>
      <c r="C92" s="12" t="s">
        <v>226</v>
      </c>
      <c r="D92" s="46">
        <v>0</v>
      </c>
      <c r="E92" s="12"/>
    </row>
    <row r="93" spans="1:5" ht="31.95" customHeight="1">
      <c r="A93" s="10" t="s">
        <v>227</v>
      </c>
      <c r="B93" s="12" t="s">
        <v>228</v>
      </c>
      <c r="C93" s="12" t="s">
        <v>229</v>
      </c>
      <c r="D93" s="46">
        <v>0</v>
      </c>
      <c r="E93" s="12"/>
    </row>
    <row r="94" spans="1:5" ht="31.95" customHeight="1">
      <c r="A94" s="10" t="s">
        <v>230</v>
      </c>
      <c r="B94" s="12" t="s">
        <v>231</v>
      </c>
      <c r="C94" s="12" t="s">
        <v>232</v>
      </c>
      <c r="D94" s="46">
        <v>0</v>
      </c>
      <c r="E94" s="12" t="s">
        <v>233</v>
      </c>
    </row>
    <row r="95" spans="1:5" ht="31.95" customHeight="1">
      <c r="A95" s="10" t="s">
        <v>234</v>
      </c>
      <c r="B95" s="12" t="s">
        <v>235</v>
      </c>
      <c r="C95" s="12" t="s">
        <v>236</v>
      </c>
      <c r="D95" s="46">
        <v>0</v>
      </c>
      <c r="E95" s="12"/>
    </row>
    <row r="96" spans="1:5" ht="31.95" customHeight="1">
      <c r="A96" s="10" t="s">
        <v>237</v>
      </c>
      <c r="B96" s="12" t="s">
        <v>238</v>
      </c>
      <c r="C96" s="12" t="s">
        <v>239</v>
      </c>
      <c r="D96" s="46">
        <v>0</v>
      </c>
      <c r="E96" s="12"/>
    </row>
    <row r="97" spans="1:5" ht="31.95" customHeight="1">
      <c r="A97" s="10" t="s">
        <v>240</v>
      </c>
      <c r="B97" s="12" t="s">
        <v>241</v>
      </c>
      <c r="C97" s="12" t="s">
        <v>242</v>
      </c>
      <c r="D97" s="46">
        <v>0</v>
      </c>
      <c r="E97" s="12"/>
    </row>
    <row r="98" spans="1:5" ht="31.95" customHeight="1">
      <c r="A98" s="10" t="s">
        <v>243</v>
      </c>
      <c r="B98" s="12" t="s">
        <v>244</v>
      </c>
      <c r="C98" s="12" t="s">
        <v>245</v>
      </c>
      <c r="D98" s="46">
        <v>0</v>
      </c>
      <c r="E98" s="12"/>
    </row>
    <row r="99" spans="1:5" ht="31.95" customHeight="1">
      <c r="A99" s="10" t="s">
        <v>246</v>
      </c>
      <c r="B99" s="12" t="s">
        <v>247</v>
      </c>
      <c r="C99" s="12" t="s">
        <v>248</v>
      </c>
      <c r="D99" s="46">
        <v>0</v>
      </c>
      <c r="E99" s="12"/>
    </row>
  </sheetData>
  <sheetProtection sheet="1" objects="1" scenarios="1"/>
  <mergeCells count="13">
    <mergeCell ref="A86:E86"/>
    <mergeCell ref="A8:C8"/>
    <mergeCell ref="A9:C9"/>
    <mergeCell ref="A10:C10"/>
    <mergeCell ref="A11:C11"/>
    <mergeCell ref="A13:E13"/>
    <mergeCell ref="A55:E55"/>
    <mergeCell ref="A1:E1"/>
    <mergeCell ref="A2:E2"/>
    <mergeCell ref="A4:E4"/>
    <mergeCell ref="A5:C5"/>
    <mergeCell ref="A6:C6"/>
    <mergeCell ref="A7:C7"/>
  </mergeCells>
  <phoneticPr fontId="3"/>
  <dataValidations count="84">
    <dataValidation type="custom" showInputMessage="1" showErrorMessage="1" errorTitle="開始日の入力エラー" error="1900/1/1～2100/12/31の有効な日付を入力してください。" sqref="D6" xr:uid="{79D367D7-CA68-455E-8AE5-1C632FB91535}">
      <formula1>AND(ISNUMBER(D6),D6&gt;=DATE(1900,1,1),D6&lt;=DATE(2100,12,31))</formula1>
    </dataValidation>
    <dataValidation type="custom" showInputMessage="1" showErrorMessage="1" errorTitle="終了日の入力エラー" error="開始日以後、かつ暦による12か月以内の有効な日付を入力してください。" sqref="D7" xr:uid="{ABFD990F-1C90-49B9-8F69-E97C56FAD35B}">
      <formula1>AND(ISNUMBER(D7),ISNUMBER(D6),D7&gt;=D6,D7&lt;=IF(DAY(EDATE(D6,12))&lt;DAY(D6),EDATE(D6,12),EDATE(D6,12)-1))</formula1>
    </dataValidation>
    <dataValidation type="list" showInputMessage="1" showErrorMessage="1" sqref="D9" xr:uid="{1EA889D9-9F12-494F-BC6E-78E9E862CD54}">
      <formula1>"該当,非該当"</formula1>
    </dataValidation>
    <dataValidation type="list" showInputMessage="1" showErrorMessage="1" sqref="D10" xr:uid="{AA6A887F-8BAC-4C7E-8085-D95B5A77A1AF}">
      <formula1>"はい,いいえ"</formula1>
    </dataValidation>
    <dataValidation type="list" showInputMessage="1" showErrorMessage="1" sqref="D11" xr:uid="{D09E9150-13EF-4D2D-99CE-8AD2C565C8B1}">
      <formula1>"はい,いいえ"</formula1>
    </dataValidation>
    <dataValidation type="whole" operator="greaterThanOrEqual" allowBlank="1" showInputMessage="1" showErrorMessage="1" errorTitle="入力エラー" error="0以上の整数（円）を入力してください。" sqref="D15" xr:uid="{D40A939B-6919-4B5A-BB7D-4D6B4FAA1BB7}">
      <formula1>0</formula1>
    </dataValidation>
    <dataValidation type="whole" operator="greaterThanOrEqual" allowBlank="1" showInputMessage="1" showErrorMessage="1" errorTitle="入力エラー" error="0以上の整数（円）を入力してください。" sqref="D16" xr:uid="{E7C9360C-A5BA-4631-AD12-41ECA9B4F71C}">
      <formula1>0</formula1>
    </dataValidation>
    <dataValidation type="whole" operator="greaterThanOrEqual" allowBlank="1" showInputMessage="1" showErrorMessage="1" errorTitle="入力エラー" error="0以上の整数（円）を入力してください。" sqref="D17" xr:uid="{34E37B5D-0973-4F44-982E-B0E89BBFC741}">
      <formula1>0</formula1>
    </dataValidation>
    <dataValidation type="whole" operator="greaterThanOrEqual" allowBlank="1" showInputMessage="1" showErrorMessage="1" errorTitle="入力エラー" error="0以上の整数（円）を入力してください。" sqref="D18" xr:uid="{EF7D0C78-4CB0-4B71-B1A3-6A6BEA1D5716}">
      <formula1>0</formula1>
    </dataValidation>
    <dataValidation type="whole" operator="greaterThanOrEqual" allowBlank="1" showInputMessage="1" showErrorMessage="1" errorTitle="入力エラー" error="0以上の整数（円）を入力してください。" sqref="D19" xr:uid="{C6187825-ED86-4F56-AA56-2E2523B9E3A7}">
      <formula1>0</formula1>
    </dataValidation>
    <dataValidation type="whole" operator="greaterThanOrEqual" allowBlank="1" showInputMessage="1" showErrorMessage="1" errorTitle="入力エラー" error="0以上の整数（円）を入力してください。" sqref="D20" xr:uid="{D6B47B72-82C5-4DB9-83F1-97428E9C8ACF}">
      <formula1>0</formula1>
    </dataValidation>
    <dataValidation type="whole" operator="greaterThanOrEqual" allowBlank="1" showInputMessage="1" showErrorMessage="1" errorTitle="入力エラー" error="0以上の整数（円）を入力してください。" sqref="D21" xr:uid="{F0187D63-82CE-4CB1-8BCC-006AB5ECD095}">
      <formula1>0</formula1>
    </dataValidation>
    <dataValidation type="whole" operator="greaterThanOrEqual" allowBlank="1" showInputMessage="1" showErrorMessage="1" errorTitle="入力エラー" error="0以上の整数（円）を入力してください。" sqref="D22" xr:uid="{A918F328-AF35-4961-8BBE-AFB53B2B7FCC}">
      <formula1>0</formula1>
    </dataValidation>
    <dataValidation type="whole" operator="greaterThanOrEqual" allowBlank="1" showInputMessage="1" showErrorMessage="1" errorTitle="入力エラー" error="0以上の整数（円）を入力してください。" sqref="D23" xr:uid="{C1CA42F4-7FB1-40C4-A714-7EB11717F0C2}">
      <formula1>0</formula1>
    </dataValidation>
    <dataValidation type="whole" operator="greaterThanOrEqual" allowBlank="1" showInputMessage="1" showErrorMessage="1" errorTitle="入力エラー" error="0以上の整数（円）を入力してください。" sqref="D24" xr:uid="{FC2D3A09-2109-447D-AD40-4AB0E9617448}">
      <formula1>0</formula1>
    </dataValidation>
    <dataValidation type="whole" operator="greaterThanOrEqual" allowBlank="1" showInputMessage="1" showErrorMessage="1" errorTitle="入力エラー" error="0以上の整数（円）を入力してください。" sqref="D25" xr:uid="{8E26F36A-1B2A-40C1-8F6E-FF13D5C6357C}">
      <formula1>0</formula1>
    </dataValidation>
    <dataValidation type="whole" operator="greaterThanOrEqual" allowBlank="1" showInputMessage="1" showErrorMessage="1" errorTitle="入力エラー" error="0以上の整数（円）を入力してください。" sqref="D26" xr:uid="{7B057133-D914-4706-9253-3E37C20D2A11}">
      <formula1>0</formula1>
    </dataValidation>
    <dataValidation type="whole" operator="greaterThanOrEqual" allowBlank="1" showInputMessage="1" showErrorMessage="1" errorTitle="入力エラー" error="0以上の整数（円）を入力してください。" sqref="D27" xr:uid="{EC3B8447-0042-47E9-B414-1414D8FE1F74}">
      <formula1>0</formula1>
    </dataValidation>
    <dataValidation type="whole" operator="greaterThanOrEqual" allowBlank="1" showInputMessage="1" showErrorMessage="1" errorTitle="入力エラー" error="0以上の整数（円）を入力してください。" sqref="D28" xr:uid="{AC29AE56-1ECA-47F6-AFF0-252432C29DF3}">
      <formula1>0</formula1>
    </dataValidation>
    <dataValidation type="whole" operator="greaterThanOrEqual" allowBlank="1" showInputMessage="1" showErrorMessage="1" errorTitle="入力エラー" error="0以上の整数（円）を入力してください。" sqref="D29" xr:uid="{642CF21E-2CC7-4DBB-B0A4-999858076BDB}">
      <formula1>0</formula1>
    </dataValidation>
    <dataValidation type="whole" operator="greaterThanOrEqual" allowBlank="1" showInputMessage="1" showErrorMessage="1" errorTitle="入力エラー" error="0以上の整数（円）を入力してください。" sqref="D30" xr:uid="{31A7D993-B72D-48CA-9680-549EB03201FE}">
      <formula1>0</formula1>
    </dataValidation>
    <dataValidation type="whole" operator="greaterThanOrEqual" allowBlank="1" showInputMessage="1" showErrorMessage="1" errorTitle="入力エラー" error="0以上の整数（円）を入力してください。" sqref="D31" xr:uid="{60D4473A-7B10-4574-9A68-3ADD34C8DED1}">
      <formula1>0</formula1>
    </dataValidation>
    <dataValidation type="whole" operator="greaterThanOrEqual" allowBlank="1" showInputMessage="1" showErrorMessage="1" errorTitle="入力エラー" error="0以上の整数（円）を入力してください。" sqref="D32" xr:uid="{44737D8D-6001-4294-B319-69AE7D208D84}">
      <formula1>0</formula1>
    </dataValidation>
    <dataValidation type="whole" operator="greaterThanOrEqual" allowBlank="1" showInputMessage="1" showErrorMessage="1" errorTitle="入力エラー" error="0以上の整数（円）を入力してください。" sqref="D33" xr:uid="{FC103C12-BA75-448E-A6CB-2D6DB4F1CE8F}">
      <formula1>0</formula1>
    </dataValidation>
    <dataValidation type="whole" operator="greaterThanOrEqual" allowBlank="1" showInputMessage="1" showErrorMessage="1" errorTitle="入力エラー" error="0以上の整数（円）を入力してください。" sqref="D34" xr:uid="{B5F66596-AAC4-4774-9DFF-B008A383DF00}">
      <formula1>0</formula1>
    </dataValidation>
    <dataValidation type="whole" operator="greaterThanOrEqual" allowBlank="1" showInputMessage="1" showErrorMessage="1" errorTitle="入力エラー" error="0以上の整数（円）を入力してください。" sqref="D35" xr:uid="{DD238607-F079-44A4-8F8F-41CA5A57028D}">
      <formula1>0</formula1>
    </dataValidation>
    <dataValidation type="whole" operator="greaterThanOrEqual" allowBlank="1" showInputMessage="1" showErrorMessage="1" errorTitle="入力エラー" error="0以上の整数（円）を入力してください。" sqref="D36" xr:uid="{56C3476F-805A-4267-A7EF-AB8DD0B6C440}">
      <formula1>0</formula1>
    </dataValidation>
    <dataValidation type="whole" operator="greaterThanOrEqual" allowBlank="1" showInputMessage="1" showErrorMessage="1" errorTitle="入力エラー" error="0以上の整数（円）を入力してください。" sqref="D37" xr:uid="{674B014F-9E89-480F-A5B3-F0FF5667EA3B}">
      <formula1>0</formula1>
    </dataValidation>
    <dataValidation type="whole" operator="greaterThanOrEqual" allowBlank="1" showInputMessage="1" showErrorMessage="1" errorTitle="入力エラー" error="0以上の整数（円）を入力してください。" sqref="D38" xr:uid="{A593106F-83E3-435A-8C4B-990EC994A323}">
      <formula1>0</formula1>
    </dataValidation>
    <dataValidation type="whole" operator="greaterThanOrEqual" allowBlank="1" showInputMessage="1" showErrorMessage="1" errorTitle="入力エラー" error="0以上の整数（円）を入力してください。" sqref="D39" xr:uid="{F1935E77-5001-4394-890C-FF20DFDC0339}">
      <formula1>0</formula1>
    </dataValidation>
    <dataValidation type="whole" operator="greaterThanOrEqual" allowBlank="1" showInputMessage="1" showErrorMessage="1" errorTitle="入力エラー" error="0以上の整数（円）を入力してください。" sqref="D40" xr:uid="{3BEB2BA9-8DD1-4A2D-A597-34C37290FBBC}">
      <formula1>0</formula1>
    </dataValidation>
    <dataValidation type="whole" operator="greaterThanOrEqual" allowBlank="1" showInputMessage="1" showErrorMessage="1" errorTitle="入力エラー" error="0以上の整数（円）を入力してください。" sqref="D41" xr:uid="{0894B485-7370-4450-9E2D-C4C898571FB9}">
      <formula1>0</formula1>
    </dataValidation>
    <dataValidation type="whole" operator="greaterThanOrEqual" allowBlank="1" showInputMessage="1" showErrorMessage="1" errorTitle="入力エラー" error="0以上の整数（円）を入力してください。" sqref="D42" xr:uid="{612D3E1F-4CDA-459F-966F-8869798C2DF0}">
      <formula1>0</formula1>
    </dataValidation>
    <dataValidation type="whole" operator="greaterThanOrEqual" allowBlank="1" showInputMessage="1" showErrorMessage="1" errorTitle="入力エラー" error="0以上の整数（円）を入力してください。" sqref="D43" xr:uid="{09ECA191-791F-449F-B082-E6605E4748A2}">
      <formula1>0</formula1>
    </dataValidation>
    <dataValidation type="whole" operator="greaterThanOrEqual" allowBlank="1" showInputMessage="1" showErrorMessage="1" errorTitle="入力エラー" error="0以上の整数（円）を入力してください。" sqref="D44" xr:uid="{CAF0333C-408E-44ED-804F-C98E5CFCE5C8}">
      <formula1>0</formula1>
    </dataValidation>
    <dataValidation type="whole" operator="greaterThanOrEqual" allowBlank="1" showInputMessage="1" showErrorMessage="1" errorTitle="入力エラー" error="0以上の整数（円）を入力してください。" sqref="D45" xr:uid="{CCAEE3EE-8EDA-4E9E-A997-06FD4D9C8343}">
      <formula1>0</formula1>
    </dataValidation>
    <dataValidation type="whole" operator="greaterThanOrEqual" allowBlank="1" showInputMessage="1" showErrorMessage="1" errorTitle="入力エラー" error="0以上の整数（円）を入力してください。" sqref="D46" xr:uid="{C024A3FC-C292-4AEB-BADC-1E8BB00B2912}">
      <formula1>0</formula1>
    </dataValidation>
    <dataValidation type="whole" operator="greaterThanOrEqual" allowBlank="1" showInputMessage="1" showErrorMessage="1" errorTitle="入力エラー" error="0以上の整数（円）を入力してください。" sqref="D47" xr:uid="{9E4217F7-A538-44F5-B769-5384B80843A9}">
      <formula1>0</formula1>
    </dataValidation>
    <dataValidation type="whole" operator="greaterThanOrEqual" allowBlank="1" showInputMessage="1" showErrorMessage="1" errorTitle="入力エラー" error="0以上の整数（円）を入力してください。" sqref="D48" xr:uid="{1CA3EB1E-55FE-4B5D-8C84-781FA6E3F468}">
      <formula1>0</formula1>
    </dataValidation>
    <dataValidation type="whole" operator="greaterThanOrEqual" allowBlank="1" showInputMessage="1" showErrorMessage="1" errorTitle="入力エラー" error="0以上の整数（円）を入力してください。" sqref="D49" xr:uid="{59FC6B9F-EE42-4AC1-B81E-D170E3936EE5}">
      <formula1>0</formula1>
    </dataValidation>
    <dataValidation type="whole" operator="greaterThanOrEqual" allowBlank="1" showInputMessage="1" showErrorMessage="1" errorTitle="入力エラー" error="0以上の整数（円）を入力してください。" sqref="D50" xr:uid="{581DBEE2-C5A5-46BD-AE92-BEA383CA3224}">
      <formula1>0</formula1>
    </dataValidation>
    <dataValidation type="whole" operator="greaterThanOrEqual" allowBlank="1" showInputMessage="1" showErrorMessage="1" errorTitle="入力エラー" error="0以上の整数（円）を入力してください。" sqref="D51" xr:uid="{B44B447F-16EC-433A-9251-7715B78947BC}">
      <formula1>0</formula1>
    </dataValidation>
    <dataValidation type="whole" operator="greaterThanOrEqual" allowBlank="1" showInputMessage="1" showErrorMessage="1" errorTitle="入力エラー" error="0以上の整数（円）を入力してください。" sqref="D52" xr:uid="{41F1FB30-B1EF-45D6-A351-51E4E0FE8E93}">
      <formula1>0</formula1>
    </dataValidation>
    <dataValidation type="whole" operator="greaterThanOrEqual" allowBlank="1" showInputMessage="1" showErrorMessage="1" errorTitle="入力エラー" error="0以上の整数（円）を入力してください。" sqref="D53" xr:uid="{24D449D0-E481-4B96-9067-4DC945366057}">
      <formula1>0</formula1>
    </dataValidation>
    <dataValidation type="whole" operator="greaterThanOrEqual" allowBlank="1" showInputMessage="1" showErrorMessage="1" errorTitle="入力エラー" error="0以上の整数（円）を入力してください。" sqref="D57" xr:uid="{980D93E4-299F-488B-A03A-818783D76C5C}">
      <formula1>0</formula1>
    </dataValidation>
    <dataValidation type="whole" operator="greaterThanOrEqual" allowBlank="1" showInputMessage="1" showErrorMessage="1" errorTitle="入力エラー" error="0以上の整数（円）を入力してください。" sqref="D58" xr:uid="{27DEBA4A-8BE3-49DD-9506-6E2577F85365}">
      <formula1>0</formula1>
    </dataValidation>
    <dataValidation type="whole" operator="greaterThanOrEqual" allowBlank="1" showInputMessage="1" showErrorMessage="1" errorTitle="入力エラー" error="0以上の整数（円）を入力してください。" sqref="D59" xr:uid="{98B20CE8-48DA-443C-9F90-C1F70EF0FA0E}">
      <formula1>0</formula1>
    </dataValidation>
    <dataValidation type="whole" operator="greaterThanOrEqual" allowBlank="1" showInputMessage="1" showErrorMessage="1" errorTitle="入力エラー" error="0以上の整数（円）を入力してください。" sqref="D60" xr:uid="{AB34FF72-EEB0-4CEC-B7D2-7AFB4DC292DF}">
      <formula1>0</formula1>
    </dataValidation>
    <dataValidation type="whole" operator="greaterThanOrEqual" allowBlank="1" showInputMessage="1" showErrorMessage="1" errorTitle="入力エラー" error="0以上の整数（円）を入力してください。" sqref="D61" xr:uid="{E7FD7F91-E7F7-4DC8-87C3-28314A9CF004}">
      <formula1>0</formula1>
    </dataValidation>
    <dataValidation type="custom" showInputMessage="1" showErrorMessage="1" errorTitle="入力エラー" error="正又は負の整数（円）を入力してください。" sqref="D62" xr:uid="{931A5706-443E-4806-AF03-4FBE04686672}">
      <formula1>AND(ISNUMBER(D62),D62=INT(D62))</formula1>
    </dataValidation>
    <dataValidation type="whole" operator="greaterThanOrEqual" allowBlank="1" showInputMessage="1" showErrorMessage="1" errorTitle="入力エラー" error="0以上の整数（円）を入力してください。" sqref="D63" xr:uid="{FDC09AEA-F20E-4959-B81C-ABEDDCF72840}">
      <formula1>0</formula1>
    </dataValidation>
    <dataValidation type="whole" operator="greaterThanOrEqual" allowBlank="1" showInputMessage="1" showErrorMessage="1" errorTitle="入力エラー" error="0以上の整数（円）を入力してください。" sqref="D64" xr:uid="{CD9CA812-D478-4F18-A80F-BE7DF2DCEB25}">
      <formula1>0</formula1>
    </dataValidation>
    <dataValidation type="whole" operator="greaterThanOrEqual" allowBlank="1" showInputMessage="1" showErrorMessage="1" errorTitle="入力エラー" error="0以上の整数（円）を入力してください。" sqref="D65" xr:uid="{36FCDFC5-9C8D-4D0C-B1D4-431221C09FCD}">
      <formula1>0</formula1>
    </dataValidation>
    <dataValidation type="whole" operator="greaterThanOrEqual" allowBlank="1" showInputMessage="1" showErrorMessage="1" errorTitle="入力エラー" error="0以上の整数（円）を入力してください。" sqref="D66" xr:uid="{A486E7EF-C2DC-42FB-A491-475E2355450E}">
      <formula1>0</formula1>
    </dataValidation>
    <dataValidation type="whole" operator="greaterThanOrEqual" allowBlank="1" showInputMessage="1" showErrorMessage="1" errorTitle="入力エラー" error="0以上の整数（円）を入力してください。" sqref="D67" xr:uid="{5CDD01B5-AB9F-49D5-A0C1-C17DCB22D131}">
      <formula1>0</formula1>
    </dataValidation>
    <dataValidation type="whole" operator="greaterThanOrEqual" allowBlank="1" showInputMessage="1" showErrorMessage="1" errorTitle="入力エラー" error="0以上の整数（円）を入力してください。" sqref="D68" xr:uid="{D08EA504-D27D-4589-886E-96C797F90A2B}">
      <formula1>0</formula1>
    </dataValidation>
    <dataValidation type="whole" operator="greaterThanOrEqual" allowBlank="1" showInputMessage="1" showErrorMessage="1" errorTitle="入力エラー" error="0以上の整数（円）を入力してください。" sqref="D69" xr:uid="{7D6BA249-08DD-416B-8290-07DCD7710FC6}">
      <formula1>0</formula1>
    </dataValidation>
    <dataValidation type="whole" operator="greaterThanOrEqual" allowBlank="1" showInputMessage="1" showErrorMessage="1" errorTitle="入力エラー" error="0以上の整数（円）を入力してください。" sqref="D70" xr:uid="{D306B262-E20C-4BEE-A6D4-1C3E482B9272}">
      <formula1>0</formula1>
    </dataValidation>
    <dataValidation type="whole" operator="greaterThanOrEqual" allowBlank="1" showInputMessage="1" showErrorMessage="1" errorTitle="入力エラー" error="0以上の整数（円）を入力してください。" sqref="D71" xr:uid="{C251AB85-28C4-47F2-8E20-B92643EC6897}">
      <formula1>0</formula1>
    </dataValidation>
    <dataValidation type="whole" operator="greaterThanOrEqual" allowBlank="1" showInputMessage="1" showErrorMessage="1" errorTitle="入力エラー" error="0以上の整数（円）を入力してください。" sqref="D72" xr:uid="{3C401182-6F7A-4910-AAB3-ED42C8781EC9}">
      <formula1>0</formula1>
    </dataValidation>
    <dataValidation type="whole" operator="greaterThanOrEqual" allowBlank="1" showInputMessage="1" showErrorMessage="1" errorTitle="入力エラー" error="0以上の整数（円）を入力してください。" sqref="D73" xr:uid="{F6832E4C-AF21-4BEA-A472-62495C45AB79}">
      <formula1>0</formula1>
    </dataValidation>
    <dataValidation type="whole" operator="greaterThanOrEqual" allowBlank="1" showInputMessage="1" showErrorMessage="1" errorTitle="入力エラー" error="0以上の整数（円）を入力してください。" sqref="D74" xr:uid="{908AEC6E-CE58-4C53-B815-B6DDB2DE6684}">
      <formula1>0</formula1>
    </dataValidation>
    <dataValidation type="whole" operator="greaterThanOrEqual" allowBlank="1" showInputMessage="1" showErrorMessage="1" errorTitle="入力エラー" error="0以上の整数（円）を入力してください。" sqref="D75" xr:uid="{BB0D9B9B-B870-4F04-AD5B-BAE589BE9400}">
      <formula1>0</formula1>
    </dataValidation>
    <dataValidation type="whole" operator="greaterThanOrEqual" allowBlank="1" showInputMessage="1" showErrorMessage="1" errorTitle="入力エラー" error="0以上の整数（円）を入力してください。" sqref="D76" xr:uid="{F99186F6-5433-456C-9AC1-E426DD0E680F}">
      <formula1>0</formula1>
    </dataValidation>
    <dataValidation type="whole" operator="greaterThanOrEqual" allowBlank="1" showInputMessage="1" showErrorMessage="1" errorTitle="入力エラー" error="0以上の整数（円）を入力してください。" sqref="D77" xr:uid="{6A815C90-A6D3-4BE0-8F40-4DAA42B14AD7}">
      <formula1>0</formula1>
    </dataValidation>
    <dataValidation type="whole" operator="greaterThanOrEqual" allowBlank="1" showInputMessage="1" showErrorMessage="1" errorTitle="入力エラー" error="0以上の整数（円）を入力してください。" sqref="D78" xr:uid="{C022FF27-9089-42D8-8EF7-BBDF5C24B811}">
      <formula1>0</formula1>
    </dataValidation>
    <dataValidation type="whole" operator="greaterThanOrEqual" allowBlank="1" showInputMessage="1" showErrorMessage="1" errorTitle="入力エラー" error="0以上の整数（円）を入力してください。" sqref="D79" xr:uid="{9164EE4E-A03B-4100-BE4B-3FD0BC8FC380}">
      <formula1>0</formula1>
    </dataValidation>
    <dataValidation type="whole" operator="greaterThanOrEqual" allowBlank="1" showInputMessage="1" showErrorMessage="1" errorTitle="入力エラー" error="0以上の整数（円）を入力してください。" sqref="D80" xr:uid="{257C7485-E04A-4F38-82C1-BCEB9EF0FD85}">
      <formula1>0</formula1>
    </dataValidation>
    <dataValidation type="whole" operator="greaterThanOrEqual" allowBlank="1" showInputMessage="1" showErrorMessage="1" errorTitle="入力エラー" error="0以上の整数（円）を入力してください。" sqref="D81" xr:uid="{095D108E-9084-4E65-9B95-545EEDC600D1}">
      <formula1>0</formula1>
    </dataValidation>
    <dataValidation type="whole" operator="greaterThanOrEqual" allowBlank="1" showInputMessage="1" showErrorMessage="1" errorTitle="入力エラー" error="0以上の整数（円）を入力してください。" sqref="D82" xr:uid="{99E176F6-6FF8-4FCA-8C65-93A0F4A10B53}">
      <formula1>0</formula1>
    </dataValidation>
    <dataValidation type="whole" operator="greaterThanOrEqual" allowBlank="1" showInputMessage="1" showErrorMessage="1" errorTitle="入力エラー" error="0以上の整数（円）を入力してください。" sqref="D83" xr:uid="{9AC9D17B-1A98-47AF-9525-E7288F49B4D3}">
      <formula1>0</formula1>
    </dataValidation>
    <dataValidation type="whole" operator="greaterThanOrEqual" allowBlank="1" showInputMessage="1" showErrorMessage="1" errorTitle="入力エラー" error="0以上の整数（円）を入力してください。" sqref="D84" xr:uid="{A1ABC525-72D2-4F77-8335-67D69C4737C3}">
      <formula1>0</formula1>
    </dataValidation>
    <dataValidation type="whole" operator="greaterThanOrEqual" allowBlank="1" showInputMessage="1" showErrorMessage="1" errorTitle="入力エラー" error="0以上の整数（円）を入力してください。" sqref="D88" xr:uid="{AA392124-2791-43DC-A738-76DFCD508AA4}">
      <formula1>0</formula1>
    </dataValidation>
    <dataValidation type="whole" operator="greaterThanOrEqual" allowBlank="1" showInputMessage="1" showErrorMessage="1" errorTitle="入力エラー" error="0以上の整数（円）を入力してください。" sqref="D89" xr:uid="{0F10BF81-AF2B-468C-BD03-B6043154681C}">
      <formula1>0</formula1>
    </dataValidation>
    <dataValidation type="whole" operator="greaterThanOrEqual" allowBlank="1" showInputMessage="1" showErrorMessage="1" errorTitle="入力エラー" error="0以上の整数（円）を入力してください。" sqref="D90" xr:uid="{2B409C2D-69A3-471B-8AA2-38197EC7E2F1}">
      <formula1>0</formula1>
    </dataValidation>
    <dataValidation type="whole" operator="greaterThanOrEqual" allowBlank="1" showInputMessage="1" showErrorMessage="1" errorTitle="入力エラー" error="0以上の整数（円）を入力してください。" sqref="D91" xr:uid="{30BF2853-92BE-4159-8EC4-FA026D53E3AD}">
      <formula1>0</formula1>
    </dataValidation>
    <dataValidation type="whole" operator="greaterThanOrEqual" allowBlank="1" showInputMessage="1" showErrorMessage="1" errorTitle="入力エラー" error="0以上の整数（円）を入力してください。" sqref="D92" xr:uid="{FE58FB1B-9AA4-43A3-9EF8-C56659A0F753}">
      <formula1>0</formula1>
    </dataValidation>
    <dataValidation type="whole" operator="greaterThanOrEqual" allowBlank="1" showInputMessage="1" showErrorMessage="1" errorTitle="入力エラー" error="0以上の整数（円）を入力してください。" sqref="D93" xr:uid="{72ADE1A9-330B-4235-8F54-BA8D7052A1F0}">
      <formula1>0</formula1>
    </dataValidation>
    <dataValidation type="whole" operator="greaterThanOrEqual" allowBlank="1" showInputMessage="1" showErrorMessage="1" errorTitle="入力エラー" error="0以上の整数（円）を入力してください。" sqref="D94" xr:uid="{FF842A92-ACBD-4825-BE0B-B95D4C907390}">
      <formula1>0</formula1>
    </dataValidation>
    <dataValidation type="whole" operator="greaterThanOrEqual" allowBlank="1" showInputMessage="1" showErrorMessage="1" errorTitle="入力エラー" error="0以上の整数（円）を入力してください。" sqref="D95" xr:uid="{2B253DF2-6C32-4DB7-A564-1D806915F47C}">
      <formula1>0</formula1>
    </dataValidation>
    <dataValidation type="whole" operator="greaterThanOrEqual" allowBlank="1" showInputMessage="1" showErrorMessage="1" errorTitle="入力エラー" error="0以上の整数（円）を入力してください。" sqref="D96" xr:uid="{46E462B7-7D06-4AB9-BBB3-64920B5EB55C}">
      <formula1>0</formula1>
    </dataValidation>
    <dataValidation type="whole" operator="greaterThanOrEqual" allowBlank="1" showInputMessage="1" showErrorMessage="1" errorTitle="入力エラー" error="0以上の整数（円）を入力してください。" sqref="D97" xr:uid="{43F6A1F0-840C-41DC-928E-D6F8CBBEE8DA}">
      <formula1>0</formula1>
    </dataValidation>
    <dataValidation type="whole" operator="greaterThanOrEqual" allowBlank="1" showInputMessage="1" showErrorMessage="1" errorTitle="入力エラー" error="0以上の整数（円）を入力してください。" sqref="D98" xr:uid="{5CA1E5E5-901A-4366-BA97-44026E49B915}">
      <formula1>0</formula1>
    </dataValidation>
    <dataValidation type="whole" operator="greaterThanOrEqual" allowBlank="1" showInputMessage="1" showErrorMessage="1" errorTitle="入力エラー" error="0以上の整数（円）を入力してください。" sqref="D99" xr:uid="{C8FA2B7B-9E14-400D-AAAA-ED85B04828B0}">
      <formula1>0</formula1>
    </dataValidation>
  </dataValidations>
  <printOptions horizontalCentered="1"/>
  <pageMargins left="0.25" right="0.25" top="0.35" bottom="0.35" header="0.3" footer="0.3"/>
  <pageSetup paperSize="9" scale="81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B72D-9C6D-4C78-AD83-3A636A2CF249}">
  <sheetPr>
    <tabColor rgb="FF2F75B5"/>
    <pageSetUpPr fitToPage="1"/>
  </sheetPr>
  <dimension ref="A1:G32"/>
  <sheetViews>
    <sheetView showGridLines="0" zoomScale="90" zoomScaleNormal="90" workbookViewId="0">
      <pane ySplit="4" topLeftCell="A5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4" t="s">
        <v>365</v>
      </c>
      <c r="B1" s="5"/>
      <c r="C1" s="5"/>
      <c r="D1" s="5"/>
      <c r="E1" s="5"/>
    </row>
    <row r="2" spans="1:7">
      <c r="A2" s="6" t="s">
        <v>250</v>
      </c>
      <c r="B2" s="5"/>
      <c r="C2" s="5"/>
      <c r="D2" s="5"/>
      <c r="E2" s="5"/>
    </row>
    <row r="3" spans="1:7">
      <c r="A3" s="7"/>
      <c r="B3" s="7"/>
      <c r="C3" s="7"/>
      <c r="D3" s="7"/>
      <c r="E3" s="7"/>
    </row>
    <row r="4" spans="1:7">
      <c r="A4" s="22" t="s">
        <v>251</v>
      </c>
      <c r="B4" s="22" t="s">
        <v>252</v>
      </c>
      <c r="C4" s="22" t="s">
        <v>253</v>
      </c>
      <c r="D4" s="22" t="s">
        <v>254</v>
      </c>
      <c r="E4" s="22" t="s">
        <v>255</v>
      </c>
      <c r="F4" s="26" t="s">
        <v>427</v>
      </c>
      <c r="G4" s="26" t="s">
        <v>428</v>
      </c>
    </row>
    <row r="5" spans="1:7" ht="37.950000000000003" customHeight="1">
      <c r="A5" s="23">
        <v>1</v>
      </c>
      <c r="B5" s="24" t="s">
        <v>366</v>
      </c>
      <c r="C5" s="24" t="s">
        <v>367</v>
      </c>
      <c r="D5" s="25">
        <f>MIN(m_21,IF(inp_months="",0,30000000*inp_months/12))</f>
        <v>0</v>
      </c>
      <c r="E5" s="24" t="s">
        <v>368</v>
      </c>
      <c r="F5" s="2" t="s">
        <v>429</v>
      </c>
      <c r="G5" s="27">
        <f>MAX(m_19-m_20,0)</f>
        <v>0</v>
      </c>
    </row>
    <row r="6" spans="1:7" ht="37.950000000000003" customHeight="1">
      <c r="A6" s="23">
        <v>2</v>
      </c>
      <c r="B6" s="24" t="s">
        <v>369</v>
      </c>
      <c r="C6" s="24" t="s">
        <v>370</v>
      </c>
      <c r="D6" s="25">
        <f>$G$10</f>
        <v>0</v>
      </c>
      <c r="E6" s="24" t="s">
        <v>371</v>
      </c>
      <c r="F6" s="2" t="s">
        <v>430</v>
      </c>
      <c r="G6" s="27">
        <f>G5-m_21</f>
        <v>0</v>
      </c>
    </row>
    <row r="7" spans="1:7" ht="37.950000000000003" customHeight="1">
      <c r="A7" s="23">
        <v>3</v>
      </c>
      <c r="B7" s="24" t="s">
        <v>372</v>
      </c>
      <c r="C7" s="24" t="s">
        <v>373</v>
      </c>
      <c r="D7" s="25">
        <f>m_21-m_01-m_02</f>
        <v>0</v>
      </c>
      <c r="E7" s="24" t="s">
        <v>368</v>
      </c>
      <c r="F7" s="2" t="s">
        <v>431</v>
      </c>
      <c r="G7" s="27">
        <f>IF(inp_months="",0,100000000*inp_months/12)</f>
        <v>100000000</v>
      </c>
    </row>
    <row r="8" spans="1:7" ht="37.950000000000003" customHeight="1">
      <c r="A8" s="23">
        <v>4</v>
      </c>
      <c r="B8" s="24" t="s">
        <v>374</v>
      </c>
      <c r="C8" s="24" t="s">
        <v>375</v>
      </c>
      <c r="D8" s="25">
        <f>SUM(m_01:m_03)</f>
        <v>0</v>
      </c>
      <c r="E8" s="24" t="s">
        <v>376</v>
      </c>
      <c r="F8" s="2" t="s">
        <v>432</v>
      </c>
      <c r="G8" s="27">
        <f>MAX(0,MIN(m_21-m_01,G7-m_01))</f>
        <v>0</v>
      </c>
    </row>
    <row r="9" spans="1:7" ht="37.950000000000003" customHeight="1">
      <c r="A9" s="23">
        <v>5</v>
      </c>
      <c r="B9" s="24" t="s">
        <v>377</v>
      </c>
      <c r="C9" s="24" t="s">
        <v>378</v>
      </c>
      <c r="D9" s="25">
        <f>ROUNDDOWN(m_01*10%,0)</f>
        <v>0</v>
      </c>
      <c r="E9" s="24" t="s">
        <v>292</v>
      </c>
      <c r="F9" s="2" t="s">
        <v>433</v>
      </c>
      <c r="G9" s="27">
        <f>G8-ROUNDDOWN(G8,-3)</f>
        <v>0</v>
      </c>
    </row>
    <row r="10" spans="1:7" ht="37.950000000000003" customHeight="1">
      <c r="A10" s="23">
        <v>6</v>
      </c>
      <c r="B10" s="24" t="s">
        <v>379</v>
      </c>
      <c r="C10" s="24" t="s">
        <v>380</v>
      </c>
      <c r="D10" s="25">
        <f>ROUNDDOWN(m_02*15%,0)</f>
        <v>0</v>
      </c>
      <c r="E10" s="24" t="s">
        <v>292</v>
      </c>
      <c r="F10" s="2" t="s">
        <v>434</v>
      </c>
      <c r="G10" s="27">
        <f>IF(G9&gt;G6,ROUNDUP(G8,-3),ROUNDDOWN(G8,-3))</f>
        <v>0</v>
      </c>
    </row>
    <row r="11" spans="1:7" ht="37.950000000000003" customHeight="1">
      <c r="A11" s="23">
        <v>7</v>
      </c>
      <c r="B11" s="24" t="s">
        <v>381</v>
      </c>
      <c r="C11" s="24" t="s">
        <v>382</v>
      </c>
      <c r="D11" s="25">
        <f>ROUNDDOWN(m_03*20%,0)</f>
        <v>0</v>
      </c>
      <c r="E11" s="24" t="s">
        <v>292</v>
      </c>
    </row>
    <row r="12" spans="1:7" ht="37.950000000000003" customHeight="1">
      <c r="A12" s="23">
        <v>8</v>
      </c>
      <c r="B12" s="24" t="s">
        <v>383</v>
      </c>
      <c r="C12" s="24" t="s">
        <v>384</v>
      </c>
      <c r="D12" s="29">
        <f>SUM(m_05:m_07)</f>
        <v>0</v>
      </c>
      <c r="E12" s="24" t="s">
        <v>385</v>
      </c>
    </row>
    <row r="13" spans="1:7" ht="37.950000000000003" customHeight="1">
      <c r="A13" s="23">
        <v>9</v>
      </c>
      <c r="B13" s="24" t="s">
        <v>386</v>
      </c>
      <c r="C13" s="24" t="s">
        <v>387</v>
      </c>
      <c r="D13" s="25">
        <f>inp_m_B4_52_2+inp_b10_7_15</f>
        <v>0</v>
      </c>
      <c r="E13" s="24" t="s">
        <v>388</v>
      </c>
    </row>
    <row r="14" spans="1:7" ht="37.950000000000003" customHeight="1">
      <c r="A14" s="23">
        <v>10</v>
      </c>
      <c r="B14" s="24" t="s">
        <v>389</v>
      </c>
      <c r="C14" s="24" t="s">
        <v>30</v>
      </c>
      <c r="D14" s="25">
        <f>inp_prev_div</f>
        <v>0</v>
      </c>
      <c r="E14" s="24" t="s">
        <v>32</v>
      </c>
    </row>
    <row r="15" spans="1:7" ht="37.950000000000003" customHeight="1">
      <c r="A15" s="23">
        <v>11</v>
      </c>
      <c r="B15" s="24" t="s">
        <v>390</v>
      </c>
      <c r="C15" s="24" t="s">
        <v>34</v>
      </c>
      <c r="D15" s="25">
        <f>inp_curr_div</f>
        <v>0</v>
      </c>
      <c r="E15" s="24" t="s">
        <v>32</v>
      </c>
    </row>
    <row r="16" spans="1:7" ht="37.950000000000003" customHeight="1">
      <c r="A16" s="23">
        <v>12</v>
      </c>
      <c r="B16" s="24" t="s">
        <v>391</v>
      </c>
      <c r="C16" s="24" t="s">
        <v>392</v>
      </c>
      <c r="D16" s="25">
        <f>MAX(MAX((inp_b1_2-inp_b1_3+inp_b1_4+inp_b1_6+inp_b1_9out-inp_b1_11-inp_b1_18)-inp_b6_5_2_5_3,0)+MAX((inp_b1_31+inp_b1_32-inp_b1_36-inp_b1_94)-MAX(inp_b6_5_2_5_3-(inp_b1_2-inp_b1_3+inp_b1_4+inp_b1_6+inp_b1_9out),0),0)+MAX(inp_b1_50+inp_b1_51-inp_b1_55-inp_b1_71,0)-MAX(inp_b6_5_2_5_3-(inp_b1_2-inp_b1_3+inp_b1_4+inp_b1_6+inp_b1_9out)-(inp_b1_31+inp_b1_32),0),0)</f>
        <v>0</v>
      </c>
      <c r="E16" s="24" t="s">
        <v>393</v>
      </c>
    </row>
    <row r="17" spans="1:5" ht="37.950000000000003" customHeight="1">
      <c r="A17" s="23">
        <v>13</v>
      </c>
      <c r="B17" s="24" t="s">
        <v>394</v>
      </c>
      <c r="C17" s="24" t="s">
        <v>395</v>
      </c>
      <c r="D17" s="25">
        <f>m_28</f>
        <v>0</v>
      </c>
      <c r="E17" s="24" t="s">
        <v>292</v>
      </c>
    </row>
    <row r="18" spans="1:5" ht="37.950000000000003" customHeight="1">
      <c r="A18" s="23">
        <v>14</v>
      </c>
      <c r="B18" s="24" t="s">
        <v>396</v>
      </c>
      <c r="C18" s="24" t="s">
        <v>79</v>
      </c>
      <c r="D18" s="25">
        <f>inp_b17_3_6_1</f>
        <v>0</v>
      </c>
      <c r="E18" s="24" t="s">
        <v>292</v>
      </c>
    </row>
    <row r="19" spans="1:5" ht="37.950000000000003" customHeight="1">
      <c r="A19" s="23">
        <v>15</v>
      </c>
      <c r="B19" s="24" t="s">
        <v>397</v>
      </c>
      <c r="C19" s="24" t="s">
        <v>398</v>
      </c>
      <c r="D19" s="25">
        <f>MAX(m_12+m_13-m_14,0)</f>
        <v>0</v>
      </c>
      <c r="E19" s="24" t="s">
        <v>292</v>
      </c>
    </row>
    <row r="20" spans="1:5" ht="37.950000000000003" customHeight="1">
      <c r="A20" s="23">
        <v>16</v>
      </c>
      <c r="B20" s="24" t="s">
        <v>262</v>
      </c>
      <c r="C20" s="24" t="s">
        <v>399</v>
      </c>
      <c r="D20" s="25">
        <f>IF(inp_group="はい",f2_05,0)</f>
        <v>0</v>
      </c>
      <c r="E20" s="24" t="s">
        <v>340</v>
      </c>
    </row>
    <row r="21" spans="1:5" ht="37.950000000000003" customHeight="1">
      <c r="A21" s="23">
        <v>17</v>
      </c>
      <c r="B21" s="24" t="s">
        <v>273</v>
      </c>
      <c r="C21" s="24" t="s">
        <v>400</v>
      </c>
      <c r="D21" s="25">
        <f>IF(inp_group="はい",f2_10,0)</f>
        <v>0</v>
      </c>
      <c r="E21" s="24" t="s">
        <v>340</v>
      </c>
    </row>
    <row r="22" spans="1:5" ht="37.950000000000003" customHeight="1">
      <c r="A22" s="23">
        <v>18</v>
      </c>
      <c r="B22" s="24" t="s">
        <v>342</v>
      </c>
      <c r="C22" s="24" t="s">
        <v>401</v>
      </c>
      <c r="D22" s="25">
        <f>f1_19</f>
        <v>0</v>
      </c>
      <c r="E22" s="24" t="s">
        <v>292</v>
      </c>
    </row>
    <row r="23" spans="1:5" ht="37.950000000000003" customHeight="1">
      <c r="A23" s="23">
        <v>19</v>
      </c>
      <c r="B23" s="24" t="s">
        <v>402</v>
      </c>
      <c r="C23" s="24" t="s">
        <v>403</v>
      </c>
      <c r="D23" s="25">
        <f>m_09-inp_m_B4_17_inner+m_10-m_11-m_15+m_16-m_17-m_18</f>
        <v>0</v>
      </c>
      <c r="E23" s="24" t="s">
        <v>404</v>
      </c>
    </row>
    <row r="24" spans="1:5" ht="37.950000000000003" customHeight="1">
      <c r="A24" s="23">
        <v>20</v>
      </c>
      <c r="B24" s="24" t="s">
        <v>362</v>
      </c>
      <c r="C24" s="24" t="s">
        <v>405</v>
      </c>
      <c r="D24" s="25">
        <f>f1_34</f>
        <v>20000000</v>
      </c>
      <c r="E24" s="24" t="s">
        <v>292</v>
      </c>
    </row>
    <row r="25" spans="1:5" ht="37.950000000000003" customHeight="1">
      <c r="A25" s="23">
        <v>21</v>
      </c>
      <c r="B25" s="24" t="s">
        <v>406</v>
      </c>
      <c r="C25" s="24" t="s">
        <v>407</v>
      </c>
      <c r="D25" s="29">
        <f>ROUNDDOWN(MAX(m_19-m_20,0),-3)</f>
        <v>0</v>
      </c>
      <c r="E25" s="24" t="s">
        <v>408</v>
      </c>
    </row>
    <row r="26" spans="1:5" ht="37.950000000000003" customHeight="1">
      <c r="A26" s="23">
        <v>22</v>
      </c>
      <c r="B26" s="24" t="s">
        <v>409</v>
      </c>
      <c r="C26" s="24" t="s">
        <v>410</v>
      </c>
      <c r="D26" s="25">
        <f>(inp_b1_2+(inp_b1_4-inp_b6_9_f_40-inp_b6_9_f_45-inp_b6_12_f2_19-inp_b6_12_f2_24)+inp_b1_6+inp_b1_9out-inp_b1_11-inp_b1_17)-(inp_b6_6_9_2+inp_b6_6_9_3+inp_b6_6_9_5_8+inp_b6_6_9_16_18+inp_b6_6_9_27_29)</f>
        <v>0</v>
      </c>
      <c r="E26" s="24" t="s">
        <v>411</v>
      </c>
    </row>
    <row r="27" spans="1:5" ht="37.950000000000003" customHeight="1">
      <c r="A27" s="23">
        <v>23</v>
      </c>
      <c r="B27" s="24" t="s">
        <v>412</v>
      </c>
      <c r="C27" s="24" t="s">
        <v>413</v>
      </c>
      <c r="D27" s="25">
        <f>(inp_b1_2+(inp_b1_4-inp_b6_9_f_40-inp_b6_9_f_45)+inp_b1_6+inp_b1_9out-inp_b1_11-inp_b1_17)-(inp_b6_6_3+inp_b6_6_9_2+inp_b6_6_9_3+inp_b6_6_9_4+inp_b6_6_9_5_8+inp_b6_6_9_11_14+inp_b6_6_9_16_18+inp_b6_6_9_19_20+inp_b6_6_9_25_26+inp_b6_6_9_27_29)</f>
        <v>0</v>
      </c>
      <c r="E27" s="24" t="s">
        <v>414</v>
      </c>
    </row>
    <row r="28" spans="1:5" ht="37.950000000000003" customHeight="1">
      <c r="A28" s="23">
        <v>24</v>
      </c>
      <c r="B28" s="24" t="s">
        <v>394</v>
      </c>
      <c r="C28" s="24" t="s">
        <v>415</v>
      </c>
      <c r="D28" s="25">
        <f>ROUNDDOWN(MAX(0,IF(inp_class="該当",m_23,m_22))*10.4%,0)</f>
        <v>0</v>
      </c>
      <c r="E28" s="24" t="s">
        <v>416</v>
      </c>
    </row>
    <row r="29" spans="1:5" ht="37.950000000000003" customHeight="1">
      <c r="A29" s="23">
        <v>25</v>
      </c>
      <c r="B29" s="24" t="s">
        <v>417</v>
      </c>
      <c r="C29" s="24" t="s">
        <v>418</v>
      </c>
      <c r="D29" s="25">
        <f>ROUNDDOWN(inp_specific_donation_total*40%,0)</f>
        <v>0</v>
      </c>
      <c r="E29" s="24" t="s">
        <v>419</v>
      </c>
    </row>
    <row r="30" spans="1:5" ht="37.950000000000003" customHeight="1">
      <c r="A30" s="23">
        <v>26</v>
      </c>
      <c r="B30" s="24" t="s">
        <v>420</v>
      </c>
      <c r="C30" s="24" t="s">
        <v>421</v>
      </c>
      <c r="D30" s="25">
        <f>QUOTIENT(MAX(0,m_24*125+(inp_b1_11+inp_b1_17-inp_b6_2_f6_7_total)*13),625)</f>
        <v>0</v>
      </c>
      <c r="E30" s="24" t="s">
        <v>422</v>
      </c>
    </row>
    <row r="31" spans="1:5" ht="37.950000000000003" customHeight="1">
      <c r="A31" s="23">
        <v>27</v>
      </c>
      <c r="B31" s="24" t="s">
        <v>423</v>
      </c>
      <c r="C31" s="24" t="s">
        <v>424</v>
      </c>
      <c r="D31" s="25">
        <f>MIN(m_25,m_26)</f>
        <v>0</v>
      </c>
      <c r="E31" s="24" t="s">
        <v>292</v>
      </c>
    </row>
    <row r="32" spans="1:5" ht="37.950000000000003" customHeight="1">
      <c r="A32" s="23">
        <v>28</v>
      </c>
      <c r="B32" s="24" t="s">
        <v>394</v>
      </c>
      <c r="C32" s="24" t="s">
        <v>425</v>
      </c>
      <c r="D32" s="25">
        <f>m_24-m_27</f>
        <v>0</v>
      </c>
      <c r="E32" s="24" t="s">
        <v>426</v>
      </c>
    </row>
  </sheetData>
  <sheetProtection sheet="1" objects="1" scenarios="1"/>
  <mergeCells count="2">
    <mergeCell ref="A1:E1"/>
    <mergeCell ref="A2:E2"/>
  </mergeCells>
  <phoneticPr fontId="3"/>
  <printOptions horizontalCentered="1"/>
  <pageMargins left="0.25" right="0.25" top="0.35" bottom="0.35" header="0.3" footer="0.3"/>
  <pageSetup paperSize="9" scale="67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8764-80F9-4A5D-A3A8-A69D0924FAE9}">
  <sheetPr>
    <tabColor rgb="FF2F75B5"/>
    <pageSetUpPr fitToPage="1"/>
  </sheetPr>
  <dimension ref="A1:E38"/>
  <sheetViews>
    <sheetView showGridLines="0" zoomScale="90" zoomScaleNormal="90" workbookViewId="0">
      <pane ySplit="4" topLeftCell="A5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4" t="s">
        <v>308</v>
      </c>
      <c r="B1" s="5"/>
      <c r="C1" s="5"/>
      <c r="D1" s="5"/>
      <c r="E1" s="5"/>
    </row>
    <row r="2" spans="1:5">
      <c r="A2" s="6" t="s">
        <v>250</v>
      </c>
      <c r="B2" s="5"/>
      <c r="C2" s="5"/>
      <c r="D2" s="5"/>
      <c r="E2" s="5"/>
    </row>
    <row r="3" spans="1:5">
      <c r="A3" s="7"/>
      <c r="B3" s="7"/>
      <c r="C3" s="7"/>
      <c r="D3" s="7"/>
      <c r="E3" s="7"/>
    </row>
    <row r="4" spans="1:5">
      <c r="A4" s="22" t="s">
        <v>251</v>
      </c>
      <c r="B4" s="22" t="s">
        <v>252</v>
      </c>
      <c r="C4" s="22" t="s">
        <v>253</v>
      </c>
      <c r="D4" s="22" t="s">
        <v>254</v>
      </c>
      <c r="E4" s="22" t="s">
        <v>255</v>
      </c>
    </row>
    <row r="5" spans="1:5" ht="37.950000000000003" customHeight="1">
      <c r="A5" s="23">
        <v>1</v>
      </c>
      <c r="B5" s="24" t="s">
        <v>309</v>
      </c>
      <c r="C5" s="24" t="s">
        <v>260</v>
      </c>
      <c r="D5" s="25">
        <f>inp_f1_capital</f>
        <v>0</v>
      </c>
      <c r="E5" s="24" t="s">
        <v>310</v>
      </c>
    </row>
    <row r="6" spans="1:5" ht="37.950000000000003" customHeight="1">
      <c r="A6" s="23">
        <v>2</v>
      </c>
      <c r="B6" s="24" t="s">
        <v>311</v>
      </c>
      <c r="C6" s="24" t="s">
        <v>312</v>
      </c>
      <c r="D6" s="25">
        <f>ROUNDDOWN(f1_01*25%,0)</f>
        <v>0</v>
      </c>
      <c r="E6" s="24" t="s">
        <v>313</v>
      </c>
    </row>
    <row r="7" spans="1:5" ht="37.950000000000003" customHeight="1">
      <c r="A7" s="23">
        <v>3</v>
      </c>
      <c r="B7" s="24" t="s">
        <v>314</v>
      </c>
      <c r="C7" s="24" t="s">
        <v>315</v>
      </c>
      <c r="D7" s="25">
        <f>inp_f1_b5_1_31_1-inp_prev_div</f>
        <v>0</v>
      </c>
      <c r="E7" s="24" t="s">
        <v>292</v>
      </c>
    </row>
    <row r="8" spans="1:5" ht="37.950000000000003" customHeight="1">
      <c r="A8" s="23">
        <v>4</v>
      </c>
      <c r="B8" s="24" t="s">
        <v>316</v>
      </c>
      <c r="C8" s="24" t="s">
        <v>260</v>
      </c>
      <c r="D8" s="25">
        <f>inp_f1_merger_inc</f>
        <v>0</v>
      </c>
      <c r="E8" s="24" t="s">
        <v>292</v>
      </c>
    </row>
    <row r="9" spans="1:5" ht="37.950000000000003" customHeight="1">
      <c r="A9" s="23">
        <v>5</v>
      </c>
      <c r="B9" s="24" t="s">
        <v>317</v>
      </c>
      <c r="C9" s="24" t="s">
        <v>260</v>
      </c>
      <c r="D9" s="25">
        <f>inp_f1_split_dec</f>
        <v>0</v>
      </c>
      <c r="E9" s="24" t="s">
        <v>292</v>
      </c>
    </row>
    <row r="10" spans="1:5" ht="37.950000000000003" customHeight="1">
      <c r="A10" s="23">
        <v>6</v>
      </c>
      <c r="B10" s="24" t="s">
        <v>318</v>
      </c>
      <c r="C10" s="24" t="s">
        <v>319</v>
      </c>
      <c r="D10" s="25">
        <f>f1_03+f1_04-f1_05</f>
        <v>0</v>
      </c>
      <c r="E10" s="24" t="s">
        <v>292</v>
      </c>
    </row>
    <row r="11" spans="1:5" ht="37.950000000000003" customHeight="1">
      <c r="A11" s="23">
        <v>7</v>
      </c>
      <c r="B11" s="24" t="s">
        <v>310</v>
      </c>
      <c r="C11" s="24" t="s">
        <v>320</v>
      </c>
      <c r="D11" s="25">
        <f>f1_02-f1_06</f>
        <v>0</v>
      </c>
      <c r="E11" s="24" t="s">
        <v>321</v>
      </c>
    </row>
    <row r="12" spans="1:5" ht="37.950000000000003" customHeight="1">
      <c r="A12" s="23">
        <v>8</v>
      </c>
      <c r="B12" s="24" t="s">
        <v>322</v>
      </c>
      <c r="C12" s="24" t="s">
        <v>323</v>
      </c>
      <c r="D12" s="25">
        <f>IF(inp_months="",0,ROUNDDOWN(20000000*inp_months/12,0))</f>
        <v>20000000</v>
      </c>
      <c r="E12" s="24" t="s">
        <v>313</v>
      </c>
    </row>
    <row r="13" spans="1:5" ht="37.950000000000003" customHeight="1">
      <c r="A13" s="23">
        <v>9</v>
      </c>
      <c r="B13" s="24" t="s">
        <v>324</v>
      </c>
      <c r="C13" s="24" t="s">
        <v>140</v>
      </c>
      <c r="D13" s="25">
        <f>inp_f1_b4_52_1</f>
        <v>0</v>
      </c>
      <c r="E13" s="24" t="s">
        <v>325</v>
      </c>
    </row>
    <row r="14" spans="1:5" ht="37.950000000000003" customHeight="1">
      <c r="A14" s="23">
        <v>10</v>
      </c>
      <c r="B14" s="24" t="s">
        <v>326</v>
      </c>
      <c r="C14" s="24" t="s">
        <v>143</v>
      </c>
      <c r="D14" s="25">
        <f>inp_f1_b4_38</f>
        <v>0</v>
      </c>
      <c r="E14" s="24" t="s">
        <v>327</v>
      </c>
    </row>
    <row r="15" spans="1:5" ht="37.950000000000003" customHeight="1">
      <c r="A15" s="23">
        <v>11</v>
      </c>
      <c r="B15" s="24" t="s">
        <v>328</v>
      </c>
      <c r="C15" s="24" t="s">
        <v>329</v>
      </c>
      <c r="D15" s="25">
        <f>inp_f1_b8_1_5</f>
        <v>0</v>
      </c>
      <c r="E15" s="24" t="s">
        <v>292</v>
      </c>
    </row>
    <row r="16" spans="1:5" ht="37.950000000000003" customHeight="1">
      <c r="A16" s="23">
        <v>12</v>
      </c>
      <c r="B16" s="24" t="s">
        <v>330</v>
      </c>
      <c r="C16" s="24" t="s">
        <v>331</v>
      </c>
      <c r="D16" s="25">
        <f>inp_f1_b8_2_26+inp_f1_b17_3_7_27</f>
        <v>0</v>
      </c>
      <c r="E16" s="24" t="s">
        <v>292</v>
      </c>
    </row>
    <row r="17" spans="1:5" ht="37.950000000000003" customHeight="1">
      <c r="A17" s="23">
        <v>13</v>
      </c>
      <c r="B17" s="24" t="s">
        <v>332</v>
      </c>
      <c r="C17" s="24" t="s">
        <v>155</v>
      </c>
      <c r="D17" s="25">
        <f>inp_f1_b4_16</f>
        <v>0</v>
      </c>
      <c r="E17" s="24" t="s">
        <v>292</v>
      </c>
    </row>
    <row r="18" spans="1:5" ht="37.950000000000003" customHeight="1">
      <c r="A18" s="23">
        <v>14</v>
      </c>
      <c r="B18" s="24" t="s">
        <v>333</v>
      </c>
      <c r="C18" s="24" t="s">
        <v>334</v>
      </c>
      <c r="D18" s="25">
        <f>inp_f1_b4_19+inp_f1_b4f_7</f>
        <v>0</v>
      </c>
      <c r="E18" s="24" t="s">
        <v>335</v>
      </c>
    </row>
    <row r="19" spans="1:5" ht="37.950000000000003" customHeight="1">
      <c r="A19" s="23">
        <v>15</v>
      </c>
      <c r="B19" s="24" t="s">
        <v>336</v>
      </c>
      <c r="C19" s="24" t="s">
        <v>337</v>
      </c>
      <c r="D19" s="25">
        <f>inp_f1_b7_1_4+inp_f1_b7_other</f>
        <v>0</v>
      </c>
      <c r="E19" s="24" t="s">
        <v>292</v>
      </c>
    </row>
    <row r="20" spans="1:5" ht="37.950000000000003" customHeight="1">
      <c r="A20" s="23">
        <v>16</v>
      </c>
      <c r="B20" s="24" t="s">
        <v>338</v>
      </c>
      <c r="C20" s="24" t="s">
        <v>169</v>
      </c>
      <c r="D20" s="25">
        <f>inp_f1_b4_37</f>
        <v>0</v>
      </c>
      <c r="E20" s="24" t="s">
        <v>292</v>
      </c>
    </row>
    <row r="21" spans="1:5" ht="37.950000000000003" customHeight="1">
      <c r="A21" s="23">
        <v>17</v>
      </c>
      <c r="B21" s="24" t="s">
        <v>278</v>
      </c>
      <c r="C21" s="24" t="s">
        <v>339</v>
      </c>
      <c r="D21" s="25">
        <f>IF(inp_group="はい",f2_13,0)</f>
        <v>0</v>
      </c>
      <c r="E21" s="24" t="s">
        <v>340</v>
      </c>
    </row>
    <row r="22" spans="1:5" ht="37.950000000000003" customHeight="1">
      <c r="A22" s="23">
        <v>18</v>
      </c>
      <c r="B22" s="24" t="s">
        <v>284</v>
      </c>
      <c r="C22" s="24" t="s">
        <v>341</v>
      </c>
      <c r="D22" s="25">
        <f>IF(inp_group="はい",f2_17,0)</f>
        <v>0</v>
      </c>
      <c r="E22" s="24" t="s">
        <v>340</v>
      </c>
    </row>
    <row r="23" spans="1:5" ht="37.950000000000003" customHeight="1">
      <c r="A23" s="23">
        <v>19</v>
      </c>
      <c r="B23" s="24" t="s">
        <v>342</v>
      </c>
      <c r="C23" s="24" t="s">
        <v>172</v>
      </c>
      <c r="D23" s="25">
        <f>inp_f1_b8_3_13</f>
        <v>0</v>
      </c>
      <c r="E23" s="24" t="s">
        <v>343</v>
      </c>
    </row>
    <row r="24" spans="1:5" ht="37.950000000000003" customHeight="1">
      <c r="A24" s="23">
        <v>20</v>
      </c>
      <c r="B24" s="24" t="s">
        <v>344</v>
      </c>
      <c r="C24" s="24" t="s">
        <v>176</v>
      </c>
      <c r="D24" s="25">
        <f>inp_f1_b10_3_47</f>
        <v>0</v>
      </c>
      <c r="E24" s="24" t="s">
        <v>292</v>
      </c>
    </row>
    <row r="25" spans="1:5" ht="37.950000000000003" customHeight="1">
      <c r="A25" s="23">
        <v>21</v>
      </c>
      <c r="B25" s="24" t="s">
        <v>345</v>
      </c>
      <c r="C25" s="24" t="s">
        <v>179</v>
      </c>
      <c r="D25" s="25">
        <f>inp_f1_b10_4_20</f>
        <v>0</v>
      </c>
      <c r="E25" s="24" t="s">
        <v>292</v>
      </c>
    </row>
    <row r="26" spans="1:5" ht="37.950000000000003" customHeight="1">
      <c r="A26" s="23">
        <v>22</v>
      </c>
      <c r="B26" s="24" t="s">
        <v>346</v>
      </c>
      <c r="C26" s="24" t="s">
        <v>182</v>
      </c>
      <c r="D26" s="25">
        <f>inp_f1_b10_4_21_23</f>
        <v>0</v>
      </c>
      <c r="E26" s="24" t="s">
        <v>292</v>
      </c>
    </row>
    <row r="27" spans="1:5" ht="37.950000000000003" customHeight="1">
      <c r="A27" s="23">
        <v>23</v>
      </c>
      <c r="B27" s="24" t="s">
        <v>347</v>
      </c>
      <c r="C27" s="24" t="s">
        <v>185</v>
      </c>
      <c r="D27" s="25">
        <f>inp_f1_b10_5_12</f>
        <v>0</v>
      </c>
      <c r="E27" s="24" t="s">
        <v>292</v>
      </c>
    </row>
    <row r="28" spans="1:5" ht="37.950000000000003" customHeight="1">
      <c r="A28" s="23">
        <v>24</v>
      </c>
      <c r="B28" s="24" t="s">
        <v>348</v>
      </c>
      <c r="C28" s="24" t="s">
        <v>188</v>
      </c>
      <c r="D28" s="25">
        <f>inp_f1_b10_1_15_or_10_2_10</f>
        <v>0</v>
      </c>
      <c r="E28" s="24" t="s">
        <v>292</v>
      </c>
    </row>
    <row r="29" spans="1:5" ht="37.950000000000003" customHeight="1">
      <c r="A29" s="23">
        <v>25</v>
      </c>
      <c r="B29" s="24" t="s">
        <v>349</v>
      </c>
      <c r="C29" s="24" t="s">
        <v>191</v>
      </c>
      <c r="D29" s="25">
        <f>inp_f1_b10_1_16_or_10_2_11</f>
        <v>0</v>
      </c>
      <c r="E29" s="24" t="s">
        <v>292</v>
      </c>
    </row>
    <row r="30" spans="1:5" ht="37.950000000000003" customHeight="1">
      <c r="A30" s="23">
        <v>26</v>
      </c>
      <c r="B30" s="24" t="s">
        <v>350</v>
      </c>
      <c r="C30" s="24" t="s">
        <v>194</v>
      </c>
      <c r="D30" s="25">
        <f>inp_f1_b10_6_sum</f>
        <v>0</v>
      </c>
      <c r="E30" s="24" t="s">
        <v>292</v>
      </c>
    </row>
    <row r="31" spans="1:5" ht="37.950000000000003" customHeight="1">
      <c r="A31" s="23">
        <v>27</v>
      </c>
      <c r="B31" s="24" t="s">
        <v>351</v>
      </c>
      <c r="C31" s="24" t="s">
        <v>198</v>
      </c>
      <c r="D31" s="25">
        <f>inp_f1_b10_7_12</f>
        <v>0</v>
      </c>
      <c r="E31" s="24" t="s">
        <v>352</v>
      </c>
    </row>
    <row r="32" spans="1:5" ht="37.950000000000003" customHeight="1">
      <c r="A32" s="23">
        <v>28</v>
      </c>
      <c r="B32" s="24" t="s">
        <v>353</v>
      </c>
      <c r="C32" s="24" t="s">
        <v>354</v>
      </c>
      <c r="D32" s="25">
        <f>inp_f1_b10_7_20_22</f>
        <v>0</v>
      </c>
      <c r="E32" s="24" t="s">
        <v>355</v>
      </c>
    </row>
    <row r="33" spans="1:5" ht="37.950000000000003" customHeight="1">
      <c r="A33" s="23">
        <v>29</v>
      </c>
      <c r="B33" s="24" t="s">
        <v>356</v>
      </c>
      <c r="C33" s="24" t="s">
        <v>204</v>
      </c>
      <c r="D33" s="25">
        <f>inp_f1_b10_8_22</f>
        <v>0</v>
      </c>
      <c r="E33" s="24" t="s">
        <v>292</v>
      </c>
    </row>
    <row r="34" spans="1:5" ht="37.950000000000003" customHeight="1">
      <c r="A34" s="23">
        <v>30</v>
      </c>
      <c r="B34" s="24" t="s">
        <v>357</v>
      </c>
      <c r="C34" s="24" t="s">
        <v>207</v>
      </c>
      <c r="D34" s="25">
        <f>inp_f1_b17_2_3_10</f>
        <v>0</v>
      </c>
      <c r="E34" s="24" t="s">
        <v>292</v>
      </c>
    </row>
    <row r="35" spans="1:5" ht="37.950000000000003" customHeight="1">
      <c r="A35" s="23">
        <v>31</v>
      </c>
      <c r="B35" s="24" t="s">
        <v>358</v>
      </c>
      <c r="C35" s="24" t="s">
        <v>210</v>
      </c>
      <c r="D35" s="25">
        <f>inp_f1_b17_3_income_sum</f>
        <v>0</v>
      </c>
      <c r="E35" s="24" t="s">
        <v>292</v>
      </c>
    </row>
    <row r="36" spans="1:5" ht="72" customHeight="1">
      <c r="A36" s="23">
        <v>32</v>
      </c>
      <c r="B36" s="24" t="s">
        <v>359</v>
      </c>
      <c r="C36" s="24" t="s">
        <v>360</v>
      </c>
      <c r="D36" s="25">
        <f>f1_09-f1_10+f1_11+f1_12+f1_13+f1_14+f1_15-f1_16+f1_17-f1_18-f1_19+f1_20+f1_21-f1_22+f1_23+f1_24-f1_25+f1_26+f1_27-f1_28+f1_29+f1_30-f1_31</f>
        <v>0</v>
      </c>
      <c r="E36" s="24" t="s">
        <v>292</v>
      </c>
    </row>
    <row r="37" spans="1:5" ht="37.950000000000003" customHeight="1">
      <c r="A37" s="23">
        <v>33</v>
      </c>
      <c r="B37" s="24" t="s">
        <v>325</v>
      </c>
      <c r="C37" s="24" t="s">
        <v>361</v>
      </c>
      <c r="D37" s="25">
        <f>ROUNDDOWN(f1_32*40%,0)</f>
        <v>0</v>
      </c>
      <c r="E37" s="24" t="s">
        <v>313</v>
      </c>
    </row>
    <row r="38" spans="1:5" ht="37.950000000000003" customHeight="1">
      <c r="A38" s="23">
        <v>34</v>
      </c>
      <c r="B38" s="24" t="s">
        <v>362</v>
      </c>
      <c r="C38" s="24" t="s">
        <v>363</v>
      </c>
      <c r="D38" s="29">
        <f>MAX(f1_07,f1_08,f1_33)</f>
        <v>20000000</v>
      </c>
      <c r="E38" s="24" t="s">
        <v>364</v>
      </c>
    </row>
  </sheetData>
  <sheetProtection sheet="1" objects="1" scenarios="1"/>
  <mergeCells count="2">
    <mergeCell ref="A1:E1"/>
    <mergeCell ref="A2:E2"/>
  </mergeCells>
  <phoneticPr fontId="3"/>
  <printOptions horizontalCentered="1"/>
  <pageMargins left="0.25" right="0.25" top="0.35" bottom="0.35" header="0.3" footer="0.3"/>
  <pageSetup paperSize="9" scale="92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D5042-8985-4D1E-A9CC-FFBE6FC43E64}">
  <sheetPr>
    <tabColor rgb="FF2F75B5"/>
    <pageSetUpPr fitToPage="1"/>
  </sheetPr>
  <dimension ref="A1:E30"/>
  <sheetViews>
    <sheetView showGridLines="0" zoomScale="90" zoomScaleNormal="90" workbookViewId="0">
      <pane ySplit="4" topLeftCell="A5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4" t="s">
        <v>249</v>
      </c>
      <c r="B1" s="5"/>
      <c r="C1" s="5"/>
      <c r="D1" s="5"/>
      <c r="E1" s="5"/>
    </row>
    <row r="2" spans="1:5">
      <c r="A2" s="6" t="s">
        <v>250</v>
      </c>
      <c r="B2" s="5"/>
      <c r="C2" s="5"/>
      <c r="D2" s="5"/>
      <c r="E2" s="5"/>
    </row>
    <row r="3" spans="1:5">
      <c r="A3" s="7"/>
      <c r="B3" s="7"/>
      <c r="C3" s="7"/>
      <c r="D3" s="7"/>
      <c r="E3" s="7"/>
    </row>
    <row r="4" spans="1:5">
      <c r="A4" s="22" t="s">
        <v>251</v>
      </c>
      <c r="B4" s="22" t="s">
        <v>252</v>
      </c>
      <c r="C4" s="22" t="s">
        <v>253</v>
      </c>
      <c r="D4" s="22" t="s">
        <v>254</v>
      </c>
      <c r="E4" s="22" t="s">
        <v>255</v>
      </c>
    </row>
    <row r="5" spans="1:5" ht="37.950000000000003" customHeight="1">
      <c r="A5" s="23">
        <v>1</v>
      </c>
      <c r="B5" s="24" t="s">
        <v>256</v>
      </c>
      <c r="C5" s="24" t="s">
        <v>214</v>
      </c>
      <c r="D5" s="25">
        <f>IF(inp_group="はい",inp_f2_b4f_3,0)</f>
        <v>0</v>
      </c>
      <c r="E5" s="24" t="s">
        <v>257</v>
      </c>
    </row>
    <row r="6" spans="1:5" ht="37.950000000000003" customHeight="1">
      <c r="A6" s="23">
        <v>2</v>
      </c>
      <c r="B6" s="24" t="s">
        <v>258</v>
      </c>
      <c r="C6" s="24" t="s">
        <v>217</v>
      </c>
      <c r="D6" s="25">
        <f>IF(inp_group="はい",inp_f2_b7_2_11,0)</f>
        <v>0</v>
      </c>
      <c r="E6" s="24" t="s">
        <v>257</v>
      </c>
    </row>
    <row r="7" spans="1:5" ht="37.950000000000003" customHeight="1">
      <c r="A7" s="23">
        <v>3</v>
      </c>
      <c r="B7" s="24" t="s">
        <v>259</v>
      </c>
      <c r="C7" s="24" t="s">
        <v>260</v>
      </c>
      <c r="D7" s="25">
        <f>IF(inp_group="はい",inp_f2_out_div_outflow,0)</f>
        <v>0</v>
      </c>
      <c r="E7" s="24" t="s">
        <v>257</v>
      </c>
    </row>
    <row r="8" spans="1:5" ht="37.950000000000003" customHeight="1">
      <c r="A8" s="23">
        <v>4</v>
      </c>
      <c r="B8" s="24" t="s">
        <v>261</v>
      </c>
      <c r="C8" s="24" t="s">
        <v>260</v>
      </c>
      <c r="D8" s="25">
        <f>IF(inp_group="はい",inp_f2_in_div_amount,0)</f>
        <v>0</v>
      </c>
      <c r="E8" s="24" t="s">
        <v>257</v>
      </c>
    </row>
    <row r="9" spans="1:5" ht="37.950000000000003" customHeight="1">
      <c r="A9" s="23">
        <v>5</v>
      </c>
      <c r="B9" s="24" t="s">
        <v>262</v>
      </c>
      <c r="C9" s="24" t="s">
        <v>263</v>
      </c>
      <c r="D9" s="29">
        <f>SUM(f2_01:f2_04)</f>
        <v>0</v>
      </c>
      <c r="E9" s="24" t="s">
        <v>264</v>
      </c>
    </row>
    <row r="10" spans="1:5" ht="37.950000000000003" customHeight="1">
      <c r="A10" s="23">
        <v>6</v>
      </c>
      <c r="B10" s="24" t="s">
        <v>265</v>
      </c>
      <c r="C10" s="24" t="s">
        <v>225</v>
      </c>
      <c r="D10" s="25">
        <f>IF(inp_group="はい",inp_f2_b4f_8,0)</f>
        <v>0</v>
      </c>
      <c r="E10" s="24" t="s">
        <v>266</v>
      </c>
    </row>
    <row r="11" spans="1:5" ht="37.950000000000003" customHeight="1">
      <c r="A11" s="23">
        <v>7</v>
      </c>
      <c r="B11" s="24" t="s">
        <v>267</v>
      </c>
      <c r="C11" s="24" t="s">
        <v>228</v>
      </c>
      <c r="D11" s="25">
        <f>IF(inp_group="はい",inp_f2_b7_2_5,0)</f>
        <v>0</v>
      </c>
      <c r="E11" s="24" t="s">
        <v>266</v>
      </c>
    </row>
    <row r="12" spans="1:5" ht="37.950000000000003" customHeight="1">
      <c r="A12" s="23">
        <v>8</v>
      </c>
      <c r="B12" s="24" t="s">
        <v>268</v>
      </c>
      <c r="C12" s="24" t="s">
        <v>269</v>
      </c>
      <c r="D12" s="25">
        <f>IF(inp_group="はい",inp_f2_group_div_received,0)</f>
        <v>0</v>
      </c>
      <c r="E12" s="24" t="s">
        <v>270</v>
      </c>
    </row>
    <row r="13" spans="1:5" ht="37.950000000000003" customHeight="1">
      <c r="A13" s="23">
        <v>9</v>
      </c>
      <c r="B13" s="24" t="s">
        <v>271</v>
      </c>
      <c r="C13" s="24" t="s">
        <v>272</v>
      </c>
      <c r="D13" s="25">
        <f>IF(inp_group="はい",f2_26,0)</f>
        <v>0</v>
      </c>
      <c r="E13" s="24" t="s">
        <v>266</v>
      </c>
    </row>
    <row r="14" spans="1:5" ht="37.950000000000003" customHeight="1">
      <c r="A14" s="23">
        <v>10</v>
      </c>
      <c r="B14" s="24" t="s">
        <v>273</v>
      </c>
      <c r="C14" s="24" t="s">
        <v>274</v>
      </c>
      <c r="D14" s="29">
        <f>SUM(f2_06:f2_09)</f>
        <v>0</v>
      </c>
      <c r="E14" s="24" t="s">
        <v>275</v>
      </c>
    </row>
    <row r="15" spans="1:5" ht="37.950000000000003" customHeight="1">
      <c r="A15" s="23">
        <v>11</v>
      </c>
      <c r="B15" s="24" t="s">
        <v>267</v>
      </c>
      <c r="C15" s="24" t="s">
        <v>228</v>
      </c>
      <c r="D15" s="25">
        <f>IF(inp_group="はい",inp_f2_b7_2_5,0)</f>
        <v>0</v>
      </c>
      <c r="E15" s="24" t="s">
        <v>276</v>
      </c>
    </row>
    <row r="16" spans="1:5" ht="37.950000000000003" customHeight="1">
      <c r="A16" s="23">
        <v>12</v>
      </c>
      <c r="B16" s="24" t="s">
        <v>277</v>
      </c>
      <c r="C16" s="24" t="s">
        <v>235</v>
      </c>
      <c r="D16" s="25">
        <f>IF(inp_group="はい",inp_f2_b4f_9,0)</f>
        <v>0</v>
      </c>
      <c r="E16" s="24" t="s">
        <v>276</v>
      </c>
    </row>
    <row r="17" spans="1:5" ht="37.950000000000003" customHeight="1">
      <c r="A17" s="23">
        <v>13</v>
      </c>
      <c r="B17" s="24" t="s">
        <v>278</v>
      </c>
      <c r="C17" s="24" t="s">
        <v>279</v>
      </c>
      <c r="D17" s="29">
        <f>SUM(f2_11:f2_12)</f>
        <v>0</v>
      </c>
      <c r="E17" s="24" t="s">
        <v>280</v>
      </c>
    </row>
    <row r="18" spans="1:5" ht="37.950000000000003" customHeight="1">
      <c r="A18" s="23">
        <v>14</v>
      </c>
      <c r="B18" s="24" t="s">
        <v>258</v>
      </c>
      <c r="C18" s="24" t="s">
        <v>217</v>
      </c>
      <c r="D18" s="25">
        <f>IF(inp_group="はい",inp_f2_b7_2_11,0)</f>
        <v>0</v>
      </c>
      <c r="E18" s="24" t="s">
        <v>281</v>
      </c>
    </row>
    <row r="19" spans="1:5" ht="37.950000000000003" customHeight="1">
      <c r="A19" s="23">
        <v>15</v>
      </c>
      <c r="B19" s="24" t="s">
        <v>282</v>
      </c>
      <c r="C19" s="24" t="s">
        <v>238</v>
      </c>
      <c r="D19" s="25">
        <f>IF(inp_group="はい",inp_f2_b7_2_f1_23,0)</f>
        <v>0</v>
      </c>
      <c r="E19" s="24" t="s">
        <v>281</v>
      </c>
    </row>
    <row r="20" spans="1:5" ht="37.950000000000003" customHeight="1">
      <c r="A20" s="23">
        <v>16</v>
      </c>
      <c r="B20" s="24" t="s">
        <v>283</v>
      </c>
      <c r="C20" s="24" t="s">
        <v>241</v>
      </c>
      <c r="D20" s="25">
        <f>IF(inp_group="はい",inp_f2_b8_1_f_24,0)</f>
        <v>0</v>
      </c>
      <c r="E20" s="24" t="s">
        <v>281</v>
      </c>
    </row>
    <row r="21" spans="1:5" ht="37.950000000000003" customHeight="1">
      <c r="A21" s="23">
        <v>17</v>
      </c>
      <c r="B21" s="24" t="s">
        <v>284</v>
      </c>
      <c r="C21" s="24" t="s">
        <v>285</v>
      </c>
      <c r="D21" s="29">
        <f>SUM(f2_14:f2_16)</f>
        <v>0</v>
      </c>
      <c r="E21" s="24" t="s">
        <v>286</v>
      </c>
    </row>
    <row r="22" spans="1:5" ht="37.950000000000003" customHeight="1">
      <c r="A22" s="23">
        <v>18</v>
      </c>
      <c r="B22" s="24" t="s">
        <v>287</v>
      </c>
      <c r="C22" s="24" t="s">
        <v>288</v>
      </c>
      <c r="D22" s="25">
        <f>IF(inp_group="はい",inp_f2_group_div_received,0)</f>
        <v>0</v>
      </c>
      <c r="E22" s="24" t="s">
        <v>289</v>
      </c>
    </row>
    <row r="23" spans="1:5" ht="37.950000000000003" customHeight="1">
      <c r="A23" s="23">
        <v>19</v>
      </c>
      <c r="B23" s="24" t="s">
        <v>290</v>
      </c>
      <c r="C23" s="24" t="s">
        <v>291</v>
      </c>
      <c r="D23" s="25">
        <f>MAX(f2_18-f2_04,0)</f>
        <v>0</v>
      </c>
      <c r="E23" s="24" t="s">
        <v>292</v>
      </c>
    </row>
    <row r="24" spans="1:5" ht="37.950000000000003" customHeight="1">
      <c r="A24" s="23">
        <v>20</v>
      </c>
      <c r="B24" s="24" t="s">
        <v>293</v>
      </c>
      <c r="C24" s="24" t="s">
        <v>294</v>
      </c>
      <c r="D24" s="25">
        <f>MIN(f2_03,f2_19)</f>
        <v>0</v>
      </c>
      <c r="E24" s="24" t="s">
        <v>292</v>
      </c>
    </row>
    <row r="25" spans="1:5" ht="37.950000000000003" customHeight="1">
      <c r="A25" s="23">
        <v>21</v>
      </c>
      <c r="B25" s="24" t="s">
        <v>295</v>
      </c>
      <c r="C25" s="24" t="s">
        <v>296</v>
      </c>
      <c r="D25" s="25">
        <f>IF(inp_group="はい",inp_f2_b18_1_5_total,0)-f2_20</f>
        <v>0</v>
      </c>
      <c r="E25" s="24" t="s">
        <v>292</v>
      </c>
    </row>
    <row r="26" spans="1:5" ht="37.950000000000003" customHeight="1">
      <c r="A26" s="23">
        <v>22</v>
      </c>
      <c r="B26" s="24" t="s">
        <v>297</v>
      </c>
      <c r="C26" s="24" t="s">
        <v>298</v>
      </c>
      <c r="D26" s="25">
        <f>MAX(f2_04-f2_18,0)</f>
        <v>0</v>
      </c>
      <c r="E26" s="24" t="s">
        <v>292</v>
      </c>
    </row>
    <row r="27" spans="1:5" ht="37.950000000000003" customHeight="1">
      <c r="A27" s="23">
        <v>23</v>
      </c>
      <c r="B27" s="24" t="s">
        <v>299</v>
      </c>
      <c r="C27" s="24" t="s">
        <v>300</v>
      </c>
      <c r="D27" s="25">
        <f>IF(inp_group="はい",inp_f2_b18_1_6_total,0)-f2_22</f>
        <v>0</v>
      </c>
      <c r="E27" s="24" t="s">
        <v>292</v>
      </c>
    </row>
    <row r="28" spans="1:5" ht="37.950000000000003" customHeight="1">
      <c r="A28" s="23">
        <v>24</v>
      </c>
      <c r="B28" s="24" t="s">
        <v>301</v>
      </c>
      <c r="C28" s="24" t="s">
        <v>302</v>
      </c>
      <c r="D28" s="28">
        <f>IF(f2_22+f2_23=0,0,f2_22/(f2_22+f2_23))</f>
        <v>0</v>
      </c>
      <c r="E28" s="24" t="s">
        <v>303</v>
      </c>
    </row>
    <row r="29" spans="1:5" ht="37.950000000000003" customHeight="1">
      <c r="A29" s="23">
        <v>25</v>
      </c>
      <c r="B29" s="24" t="s">
        <v>304</v>
      </c>
      <c r="C29" s="24" t="s">
        <v>305</v>
      </c>
      <c r="D29" s="25">
        <f>MAX(f2_03-f2_19,0)</f>
        <v>0</v>
      </c>
      <c r="E29" s="24" t="s">
        <v>292</v>
      </c>
    </row>
    <row r="30" spans="1:5" ht="37.950000000000003" customHeight="1">
      <c r="A30" s="23">
        <v>26</v>
      </c>
      <c r="B30" s="24" t="s">
        <v>271</v>
      </c>
      <c r="C30" s="24" t="s">
        <v>306</v>
      </c>
      <c r="D30" s="25">
        <f>IF(f2_22+f2_23=0,f2_25,QUOTIENT((f2_20+f2_21)*f2_22,f2_22+f2_23)+f2_25)</f>
        <v>0</v>
      </c>
      <c r="E30" s="24" t="s">
        <v>307</v>
      </c>
    </row>
  </sheetData>
  <sheetProtection sheet="1" objects="1" scenarios="1"/>
  <mergeCells count="2">
    <mergeCell ref="A1:E1"/>
    <mergeCell ref="A2:E2"/>
  </mergeCells>
  <phoneticPr fontId="3"/>
  <printOptions horizontalCentered="1"/>
  <pageMargins left="0.25" right="0.25" top="0.35" bottom="0.35" header="0.3" footer="0.3"/>
  <pageSetup paperSize="9" scale="92" fitToHeight="9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0E359-4B77-4F6C-A502-858530495ED0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D5D6-3C9E-4DF1-99D5-FDB30A9955DB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2" width="8.69921875" customWidth="1"/>
  </cols>
  <sheetData>
    <row r="1" ht="295.35000000000002" customHeight="1"/>
    <row r="2" ht="295.35000000000002" customHeight="1"/>
    <row r="3" ht="295.5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DF9B9-C849-4105-873C-738A6552B2F0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2" width="8.69921875" customWidth="1"/>
  </cols>
  <sheetData>
    <row r="1" ht="295.35000000000002" customHeight="1"/>
    <row r="2" ht="295.35000000000002" customHeight="1"/>
    <row r="3" ht="295.5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2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19C1D-BAE2-48CF-BD97-3EB88ECF6AEC}">
  <sheetPr>
    <tabColor rgb="FFC00000"/>
    <pageSetUpPr fitToPage="1"/>
  </sheetPr>
  <dimension ref="A1:D34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2.69921875" customWidth="1"/>
    <col min="2" max="2" width="38.69921875" customWidth="1"/>
    <col min="3" max="3" width="15.69921875" customWidth="1"/>
    <col min="4" max="4" width="42.69921875" customWidth="1"/>
  </cols>
  <sheetData>
    <row r="1" spans="1:4" ht="26.4">
      <c r="A1" s="4" t="s">
        <v>500</v>
      </c>
      <c r="B1" s="5"/>
      <c r="C1" s="5"/>
      <c r="D1" s="5"/>
    </row>
    <row r="2" spans="1:4">
      <c r="A2" s="7"/>
      <c r="B2" s="7"/>
      <c r="C2" s="7"/>
      <c r="D2" s="7"/>
    </row>
    <row r="3" spans="1:4">
      <c r="A3" s="41" t="s">
        <v>501</v>
      </c>
      <c r="B3" s="41" t="s">
        <v>502</v>
      </c>
      <c r="C3" s="41" t="s">
        <v>503</v>
      </c>
      <c r="D3" s="41" t="s">
        <v>504</v>
      </c>
    </row>
    <row r="4" spans="1:4">
      <c r="A4" s="12" t="s">
        <v>505</v>
      </c>
      <c r="B4" s="43" t="s">
        <v>506</v>
      </c>
      <c r="C4" s="44" t="str">
        <f>IF(inp_end&gt;=DATE(2026,4,1),"OK","要確認")</f>
        <v>OK</v>
      </c>
      <c r="D4" s="12" t="s">
        <v>507</v>
      </c>
    </row>
    <row r="5" spans="1:4">
      <c r="A5" s="12" t="s">
        <v>508</v>
      </c>
      <c r="B5" s="43" t="s">
        <v>509</v>
      </c>
      <c r="C5" s="44" t="str">
        <f>IF(inp_special="はい","OK","要確認")</f>
        <v>OK</v>
      </c>
      <c r="D5" s="12" t="s">
        <v>510</v>
      </c>
    </row>
    <row r="6" spans="1:4" ht="36">
      <c r="A6" s="12" t="s">
        <v>511</v>
      </c>
      <c r="B6" s="43" t="s">
        <v>512</v>
      </c>
      <c r="C6" s="44" t="str">
        <f>IF(AND(ISNUMBER(inp_start),ISNUMBER(inp_end),inp_end&gt;=inp_start),"OK","NG")</f>
        <v>OK</v>
      </c>
      <c r="D6" s="12" t="s">
        <v>513</v>
      </c>
    </row>
    <row r="7" spans="1:4" ht="54">
      <c r="A7" s="12" t="s">
        <v>514</v>
      </c>
      <c r="B7" s="43" t="s">
        <v>515</v>
      </c>
      <c r="C7" s="44" t="str">
        <f>IF(inp_end&lt;=IF(DAY(EDATE(inp_start,12))&lt;DAY(inp_start),EDATE(inp_start,12),EDATE(inp_start,12)-1),"OK","NG")</f>
        <v>OK</v>
      </c>
      <c r="D7" s="12" t="s">
        <v>516</v>
      </c>
    </row>
    <row r="8" spans="1:4">
      <c r="A8" s="12" t="s">
        <v>517</v>
      </c>
      <c r="B8" s="43" t="s">
        <v>518</v>
      </c>
      <c r="C8" s="44" t="str">
        <f>IF(AND(inp_months&gt;=1,inp_months&lt;=12),"OK","要確認")</f>
        <v>OK</v>
      </c>
      <c r="D8" s="12" t="s">
        <v>519</v>
      </c>
    </row>
    <row r="9" spans="1:4">
      <c r="A9" s="12" t="s">
        <v>520</v>
      </c>
      <c r="B9" s="43" t="s">
        <v>521</v>
      </c>
      <c r="C9" s="44" t="str">
        <f>IF(OR(inp_class="該当",inp_class="非該当"),"OK","NG")</f>
        <v>OK</v>
      </c>
      <c r="D9" s="12" t="s">
        <v>522</v>
      </c>
    </row>
    <row r="10" spans="1:4">
      <c r="A10" s="12" t="s">
        <v>523</v>
      </c>
      <c r="B10" s="43" t="s">
        <v>524</v>
      </c>
      <c r="C10" s="44" t="str">
        <f>IF(OR(inp_group="はい",inp_group="いいえ"),"OK","NG")</f>
        <v>OK</v>
      </c>
      <c r="D10" s="12" t="s">
        <v>525</v>
      </c>
    </row>
    <row r="11" spans="1:4">
      <c r="A11" s="12" t="s">
        <v>526</v>
      </c>
      <c r="B11" s="43" t="s">
        <v>527</v>
      </c>
      <c r="C11" s="44" t="str">
        <f>IF(m_09=inp_m_B4_52_2+inp_b10_7_15,"OK","NG")</f>
        <v>OK</v>
      </c>
      <c r="D11" s="12" t="s">
        <v>528</v>
      </c>
    </row>
    <row r="12" spans="1:4">
      <c r="A12" s="12" t="s">
        <v>529</v>
      </c>
      <c r="B12" s="43" t="s">
        <v>530</v>
      </c>
      <c r="C12" s="44" t="str">
        <f>IF(m_04=m_21,"OK","NG")</f>
        <v>OK</v>
      </c>
      <c r="D12" s="12" t="s">
        <v>531</v>
      </c>
    </row>
    <row r="13" spans="1:4">
      <c r="A13" s="12" t="s">
        <v>532</v>
      </c>
      <c r="B13" s="43" t="s">
        <v>533</v>
      </c>
      <c r="C13" s="44" t="str">
        <f>IF(m_08=SUM(m_05:m_07),"OK","NG")</f>
        <v>OK</v>
      </c>
      <c r="D13" s="12" t="s">
        <v>534</v>
      </c>
    </row>
    <row r="14" spans="1:4">
      <c r="A14" s="12" t="s">
        <v>535</v>
      </c>
      <c r="B14" s="43" t="s">
        <v>536</v>
      </c>
      <c r="C14" s="44" t="str">
        <f>IF(MOD(m_21,1000)=0,"OK","NG")</f>
        <v>OK</v>
      </c>
      <c r="D14" s="12" t="s">
        <v>408</v>
      </c>
    </row>
    <row r="15" spans="1:4">
      <c r="A15" s="12" t="s">
        <v>537</v>
      </c>
      <c r="B15" s="43" t="s">
        <v>538</v>
      </c>
      <c r="C15" s="44" t="str">
        <f>IF(f1_06=f1_03+f1_04-f1_05,"OK","NG")</f>
        <v>OK</v>
      </c>
      <c r="D15" s="12" t="s">
        <v>318</v>
      </c>
    </row>
    <row r="16" spans="1:4">
      <c r="A16" s="12" t="s">
        <v>539</v>
      </c>
      <c r="B16" s="43" t="s">
        <v>540</v>
      </c>
      <c r="C16" s="44" t="str">
        <f>IF(f1_34=MAX(f1_07,f1_08,f1_33),"OK","NG")</f>
        <v>OK</v>
      </c>
      <c r="D16" s="12" t="s">
        <v>362</v>
      </c>
    </row>
    <row r="17" spans="1:4">
      <c r="A17" s="12" t="s">
        <v>541</v>
      </c>
      <c r="B17" s="43" t="s">
        <v>542</v>
      </c>
      <c r="C17" s="44" t="str">
        <f>IF(f2_05=SUM(f2_01:f2_04),"OK","NG")</f>
        <v>OK</v>
      </c>
      <c r="D17" s="12" t="s">
        <v>257</v>
      </c>
    </row>
    <row r="18" spans="1:4">
      <c r="A18" s="12" t="s">
        <v>543</v>
      </c>
      <c r="B18" s="43" t="s">
        <v>544</v>
      </c>
      <c r="C18" s="44" t="str">
        <f>IF(f2_10=SUM(f2_06:f2_09),"OK","NG")</f>
        <v>OK</v>
      </c>
      <c r="D18" s="12" t="s">
        <v>266</v>
      </c>
    </row>
    <row r="19" spans="1:4">
      <c r="A19" s="12" t="s">
        <v>545</v>
      </c>
      <c r="B19" s="43" t="s">
        <v>546</v>
      </c>
      <c r="C19" s="44" t="str">
        <f>IF(f2_13=SUM(f2_11:f2_12),"OK","NG")</f>
        <v>OK</v>
      </c>
      <c r="D19" s="12" t="s">
        <v>547</v>
      </c>
    </row>
    <row r="20" spans="1:4">
      <c r="A20" s="12" t="s">
        <v>548</v>
      </c>
      <c r="B20" s="43" t="s">
        <v>549</v>
      </c>
      <c r="C20" s="44" t="str">
        <f>IF(f2_17=SUM(f2_14:f2_16),"OK","NG")</f>
        <v>OK</v>
      </c>
      <c r="D20" s="12" t="s">
        <v>550</v>
      </c>
    </row>
    <row r="22" spans="1:4" ht="22.95" customHeight="1">
      <c r="A22" s="1" t="s">
        <v>551</v>
      </c>
      <c r="B22" s="1"/>
      <c r="C22" s="1"/>
      <c r="D22" s="1"/>
    </row>
    <row r="23" spans="1:4">
      <c r="A23" s="40" t="s">
        <v>552</v>
      </c>
      <c r="B23" s="40" t="s">
        <v>553</v>
      </c>
      <c r="C23" s="40" t="s">
        <v>554</v>
      </c>
      <c r="D23" s="40" t="s">
        <v>503</v>
      </c>
    </row>
    <row r="24" spans="1:4" ht="42" customHeight="1">
      <c r="A24" s="3" t="s">
        <v>557</v>
      </c>
      <c r="B24" s="3" t="s">
        <v>558</v>
      </c>
      <c r="C24" s="3" t="s">
        <v>559</v>
      </c>
      <c r="D24" s="45" t="s">
        <v>560</v>
      </c>
    </row>
    <row r="25" spans="1:4" ht="30" customHeight="1">
      <c r="A25" s="3" t="s">
        <v>561</v>
      </c>
      <c r="B25" s="3" t="s">
        <v>562</v>
      </c>
      <c r="C25" s="3" t="s">
        <v>562</v>
      </c>
      <c r="D25" s="45" t="s">
        <v>560</v>
      </c>
    </row>
    <row r="26" spans="1:4" ht="30" customHeight="1">
      <c r="A26" s="3" t="s">
        <v>563</v>
      </c>
      <c r="B26" s="3" t="s">
        <v>564</v>
      </c>
      <c r="C26" s="3" t="s">
        <v>564</v>
      </c>
      <c r="D26" s="45" t="s">
        <v>560</v>
      </c>
    </row>
    <row r="27" spans="1:4" ht="30" customHeight="1">
      <c r="A27" s="3" t="s">
        <v>565</v>
      </c>
      <c r="B27" s="3" t="s">
        <v>566</v>
      </c>
      <c r="C27" s="3" t="s">
        <v>566</v>
      </c>
      <c r="D27" s="45" t="s">
        <v>560</v>
      </c>
    </row>
    <row r="28" spans="1:4" ht="30" customHeight="1">
      <c r="A28" s="3" t="s">
        <v>567</v>
      </c>
      <c r="B28" s="3" t="s">
        <v>566</v>
      </c>
      <c r="C28" s="3" t="s">
        <v>566</v>
      </c>
      <c r="D28" s="45" t="s">
        <v>560</v>
      </c>
    </row>
    <row r="29" spans="1:4" ht="30" customHeight="1">
      <c r="A29" s="3" t="s">
        <v>568</v>
      </c>
      <c r="B29" s="3" t="s">
        <v>566</v>
      </c>
      <c r="C29" s="3" t="s">
        <v>566</v>
      </c>
      <c r="D29" s="45" t="s">
        <v>560</v>
      </c>
    </row>
    <row r="30" spans="1:4" ht="30" customHeight="1">
      <c r="A30" s="3" t="s">
        <v>569</v>
      </c>
      <c r="B30" s="3" t="s">
        <v>566</v>
      </c>
      <c r="C30" s="3" t="s">
        <v>566</v>
      </c>
      <c r="D30" s="45" t="s">
        <v>560</v>
      </c>
    </row>
    <row r="31" spans="1:4" ht="30" customHeight="1">
      <c r="A31" s="3" t="s">
        <v>570</v>
      </c>
      <c r="B31" s="3" t="s">
        <v>571</v>
      </c>
      <c r="C31" s="3" t="s">
        <v>571</v>
      </c>
      <c r="D31" s="45" t="s">
        <v>560</v>
      </c>
    </row>
    <row r="32" spans="1:4" ht="30" customHeight="1">
      <c r="A32" s="3" t="s">
        <v>572</v>
      </c>
      <c r="B32" s="3" t="s">
        <v>573</v>
      </c>
      <c r="C32" s="3" t="s">
        <v>574</v>
      </c>
      <c r="D32" s="45" t="s">
        <v>560</v>
      </c>
    </row>
    <row r="33" spans="1:4" ht="30" customHeight="1">
      <c r="A33" s="3" t="s">
        <v>575</v>
      </c>
      <c r="B33" s="3" t="s">
        <v>576</v>
      </c>
      <c r="C33" s="3" t="s">
        <v>576</v>
      </c>
      <c r="D33" s="45" t="s">
        <v>560</v>
      </c>
    </row>
    <row r="34" spans="1:4" ht="30" customHeight="1">
      <c r="A34" s="3" t="s">
        <v>577</v>
      </c>
      <c r="B34" s="3" t="s">
        <v>578</v>
      </c>
      <c r="C34" s="3" t="s">
        <v>578</v>
      </c>
      <c r="D34" s="45" t="s">
        <v>560</v>
      </c>
    </row>
  </sheetData>
  <sheetProtection sheet="1" objects="1" scenarios="1"/>
  <mergeCells count="2">
    <mergeCell ref="A1:D1"/>
    <mergeCell ref="A22:D22"/>
  </mergeCells>
  <phoneticPr fontId="3"/>
  <printOptions horizontalCentered="1"/>
  <pageMargins left="0.25" right="0.25" top="0.35" bottom="0.35" header="0.3" footer="0.3"/>
  <pageSetup paperSize="9" fitToHeight="99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7B9A5-03FA-43D4-BC0E-434534A01911}">
  <sheetPr>
    <tabColor rgb="FFD9E1F2"/>
    <pageSetUpPr fitToPage="1"/>
  </sheetPr>
  <dimension ref="A1:D13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13.69921875" customWidth="1"/>
    <col min="2" max="2" width="42.69921875" customWidth="1"/>
    <col min="3" max="3" width="78.69921875" customWidth="1"/>
    <col min="4" max="4" width="43.69921875" customWidth="1"/>
  </cols>
  <sheetData>
    <row r="1" spans="1:4" ht="26.4">
      <c r="A1" s="4" t="s">
        <v>463</v>
      </c>
      <c r="B1" s="5"/>
      <c r="C1" s="5"/>
      <c r="D1" s="5"/>
    </row>
    <row r="2" spans="1:4">
      <c r="A2" s="7"/>
      <c r="B2" s="7"/>
      <c r="C2" s="7"/>
      <c r="D2" s="7"/>
    </row>
    <row r="3" spans="1:4">
      <c r="A3" s="41" t="s">
        <v>464</v>
      </c>
      <c r="B3" s="41" t="s">
        <v>465</v>
      </c>
      <c r="C3" s="41" t="s">
        <v>466</v>
      </c>
      <c r="D3" s="41" t="s">
        <v>467</v>
      </c>
    </row>
    <row r="4" spans="1:4" ht="37.950000000000003" customHeight="1">
      <c r="A4" s="12" t="s">
        <v>468</v>
      </c>
      <c r="B4" s="12" t="s">
        <v>469</v>
      </c>
      <c r="C4" s="42" t="s">
        <v>470</v>
      </c>
      <c r="D4" s="12" t="s">
        <v>471</v>
      </c>
    </row>
    <row r="5" spans="1:4" ht="37.950000000000003" customHeight="1">
      <c r="A5" s="12" t="s">
        <v>468</v>
      </c>
      <c r="B5" s="12" t="s">
        <v>472</v>
      </c>
      <c r="C5" s="42" t="s">
        <v>473</v>
      </c>
      <c r="D5" s="12" t="s">
        <v>474</v>
      </c>
    </row>
    <row r="6" spans="1:4" ht="37.950000000000003" customHeight="1">
      <c r="A6" s="12" t="s">
        <v>468</v>
      </c>
      <c r="B6" s="12" t="s">
        <v>475</v>
      </c>
      <c r="C6" s="42" t="s">
        <v>476</v>
      </c>
      <c r="D6" s="12" t="s">
        <v>477</v>
      </c>
    </row>
    <row r="7" spans="1:4" ht="37.950000000000003" customHeight="1">
      <c r="A7" s="12" t="s">
        <v>468</v>
      </c>
      <c r="B7" s="12" t="s">
        <v>478</v>
      </c>
      <c r="C7" s="42" t="s">
        <v>479</v>
      </c>
      <c r="D7" s="12" t="s">
        <v>480</v>
      </c>
    </row>
    <row r="8" spans="1:4" ht="37.950000000000003" customHeight="1">
      <c r="A8" s="12" t="s">
        <v>468</v>
      </c>
      <c r="B8" s="12" t="s">
        <v>481</v>
      </c>
      <c r="C8" s="42" t="s">
        <v>482</v>
      </c>
      <c r="D8" s="12" t="s">
        <v>483</v>
      </c>
    </row>
    <row r="9" spans="1:4" ht="37.950000000000003" customHeight="1">
      <c r="A9" s="12" t="s">
        <v>468</v>
      </c>
      <c r="B9" s="12" t="s">
        <v>484</v>
      </c>
      <c r="C9" s="42" t="s">
        <v>485</v>
      </c>
      <c r="D9" s="12" t="s">
        <v>486</v>
      </c>
    </row>
    <row r="10" spans="1:4" ht="37.950000000000003" customHeight="1">
      <c r="A10" s="12" t="s">
        <v>468</v>
      </c>
      <c r="B10" s="12" t="s">
        <v>487</v>
      </c>
      <c r="C10" s="42" t="s">
        <v>488</v>
      </c>
      <c r="D10" s="12" t="s">
        <v>489</v>
      </c>
    </row>
    <row r="11" spans="1:4" ht="37.950000000000003" customHeight="1">
      <c r="A11" s="12" t="s">
        <v>468</v>
      </c>
      <c r="B11" s="12" t="s">
        <v>490</v>
      </c>
      <c r="C11" s="42" t="s">
        <v>491</v>
      </c>
      <c r="D11" s="12" t="s">
        <v>492</v>
      </c>
    </row>
    <row r="12" spans="1:4" ht="37.950000000000003" customHeight="1">
      <c r="A12" s="12" t="s">
        <v>493</v>
      </c>
      <c r="B12" s="12" t="s">
        <v>494</v>
      </c>
      <c r="C12" s="42" t="s">
        <v>495</v>
      </c>
      <c r="D12" s="12" t="s">
        <v>496</v>
      </c>
    </row>
    <row r="13" spans="1:4" ht="37.950000000000003" customHeight="1">
      <c r="A13" s="12" t="s">
        <v>493</v>
      </c>
      <c r="B13" s="12" t="s">
        <v>497</v>
      </c>
      <c r="C13" s="42" t="s">
        <v>498</v>
      </c>
      <c r="D13" s="12" t="s">
        <v>499</v>
      </c>
    </row>
  </sheetData>
  <sheetProtection sheet="1" objects="1" scenarios="1"/>
  <mergeCells count="1">
    <mergeCell ref="A1:D1"/>
  </mergeCells>
  <phoneticPr fontId="3"/>
  <hyperlinks>
    <hyperlink ref="C4" r:id="rId1" tooltip="令和8年法人税等各種別表一覧" xr:uid="{BA45D800-225B-44FD-9C45-14E1886B2539}"/>
    <hyperlink ref="C5" r:id="rId2" tooltip="別表三(一) 様式" xr:uid="{E75F175A-3CC5-466B-8A54-EB8A2A9FD32D}"/>
    <hyperlink ref="C6" r:id="rId3" tooltip="別表三(一) 記載の仕方" xr:uid="{D133EEFB-EB63-4D4B-B27A-AA8B8C405F08}"/>
    <hyperlink ref="C7" r:id="rId4" tooltip="別表三(一)付表一 様式" xr:uid="{7555BBED-F44E-4B3D-A083-871F6F351304}"/>
    <hyperlink ref="C8" r:id="rId5" tooltip="別表三(一)付表一 記載の仕方" xr:uid="{B478FFCB-EAE6-4F89-BBE6-33884380BE6D}"/>
    <hyperlink ref="C9" r:id="rId6" tooltip="別表三(一)付表二 様式" xr:uid="{2A8D18AA-626A-49BC-9596-E9C3AE6DC457}"/>
    <hyperlink ref="C10" r:id="rId7" tooltip="別表三(一)付表二 記載の仕方" xr:uid="{AA740E07-286F-45EF-B2EB-EEFD929644E3}"/>
    <hyperlink ref="C11" r:id="rId8" tooltip="法人税基本通達16-1-8（留保金額の端数計算）" xr:uid="{2694A9AC-D3CD-41EE-ADE6-8CF0FC1E6854}"/>
    <hyperlink ref="C12" r:id="rId9" location="Mp-At_67" tooltip="法人税法 第67条（特定同族会社の特別税率）" xr:uid="{0E61DBB5-AF89-4E9D-B343-6B3D4829A2E5}"/>
    <hyperlink ref="C13" r:id="rId10" location="Mp-At_10" tooltip="国税通則法 第10条（期間の計算及び期限の特例）" xr:uid="{8EA449EE-3C62-4931-B5E5-739FB7022702}"/>
  </hyperlinks>
  <printOptions horizontalCentered="1"/>
  <pageMargins left="0.25" right="0.25" top="0.35" bottom="0.35" header="0.3" footer="0.3"/>
  <pageSetup paperSize="9" scale="73" fitToHeight="999" orientation="landscape"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03B4-716A-43C7-9668-54ADD545C078}">
  <dimension ref="A1:E38"/>
  <sheetViews>
    <sheetView workbookViewId="0"/>
  </sheetViews>
  <sheetFormatPr defaultRowHeight="18"/>
  <sheetData>
    <row r="1" spans="1:5">
      <c r="A1" t="str">
        <f>IF(inp_corp="","",inp_corp)</f>
        <v/>
      </c>
    </row>
    <row r="2" spans="1:5">
      <c r="A2" t="str">
        <f>IF(OR(inp_start="",inp_end=""),"",TEXT(inp_start,"yyyy.m.d")&amp;CHAR(10)&amp;TEXT(inp_end,"yyyy.m.d"))</f>
        <v>2026.4.1
2027.3.31</v>
      </c>
    </row>
    <row r="5" spans="1:5">
      <c r="A5" t="str">
        <f>IF(m_01=0,"",TEXT(m_01/1000,"#,##0"))</f>
        <v/>
      </c>
      <c r="B5" t="str">
        <f>IF(inp_m_B4_17_inner=0,"","内 "&amp;TEXT(inp_m_B4_17_inner,"#,##0"))</f>
        <v/>
      </c>
      <c r="C5" t="str">
        <f>TEXT(f1_01,"#,##0")</f>
        <v>0</v>
      </c>
      <c r="E5" t="str">
        <f>TEXT(f2_01,"#,##0")</f>
        <v>0</v>
      </c>
    </row>
    <row r="6" spans="1:5">
      <c r="A6" t="str">
        <f>IF(m_02=0,"",TEXT(m_02/1000,"#,##0"))</f>
        <v/>
      </c>
      <c r="C6" t="str">
        <f>TEXT(f1_02,"#,##0")</f>
        <v>0</v>
      </c>
      <c r="E6" t="str">
        <f>TEXT(f2_02,"#,##0")</f>
        <v>0</v>
      </c>
    </row>
    <row r="7" spans="1:5">
      <c r="A7" t="str">
        <f>IF(m_03=0,"",TEXT(m_03/1000,"#,##0"))</f>
        <v/>
      </c>
      <c r="C7" t="str">
        <f>TEXT(f1_03,"#,##0")</f>
        <v>0</v>
      </c>
      <c r="E7" t="str">
        <f>TEXT(f2_03,"#,##0")</f>
        <v>0</v>
      </c>
    </row>
    <row r="8" spans="1:5">
      <c r="A8" t="str">
        <f>IF(m_04=0,"",TEXT(m_04/1000,"#,##0"))</f>
        <v/>
      </c>
      <c r="C8" t="str">
        <f>TEXT(f1_04,"#,##0")</f>
        <v>0</v>
      </c>
      <c r="E8" t="str">
        <f>TEXT(f2_04,"#,##0")</f>
        <v>0</v>
      </c>
    </row>
    <row r="9" spans="1:5">
      <c r="A9" t="str">
        <f>TEXT(m_05,"#,##0")</f>
        <v>0</v>
      </c>
      <c r="C9" t="str">
        <f>TEXT(f1_05,"#,##0")</f>
        <v>0</v>
      </c>
      <c r="E9" t="str">
        <f>TEXT(f2_05,"#,##0")</f>
        <v>0</v>
      </c>
    </row>
    <row r="10" spans="1:5">
      <c r="A10" t="str">
        <f>TEXT(m_06,"#,##0")</f>
        <v>0</v>
      </c>
      <c r="C10" t="str">
        <f>TEXT(f1_06,"#,##0")</f>
        <v>0</v>
      </c>
      <c r="E10" t="str">
        <f>TEXT(f2_06,"#,##0")</f>
        <v>0</v>
      </c>
    </row>
    <row r="11" spans="1:5">
      <c r="A11" t="str">
        <f>TEXT(m_07,"#,##0")</f>
        <v>0</v>
      </c>
      <c r="C11" t="str">
        <f>TEXT(f1_07,"#,##0")</f>
        <v>0</v>
      </c>
      <c r="E11" t="str">
        <f>TEXT(f2_07,"#,##0")</f>
        <v>0</v>
      </c>
    </row>
    <row r="12" spans="1:5">
      <c r="A12" t="str">
        <f>TEXT(m_08,"#,##0")</f>
        <v>0</v>
      </c>
      <c r="C12" t="str">
        <f>TEXT(f1_08,"#,##0")</f>
        <v>20,000,000</v>
      </c>
      <c r="E12" t="str">
        <f>TEXT(f2_08,"#,##0")</f>
        <v>0</v>
      </c>
    </row>
    <row r="13" spans="1:5">
      <c r="A13" t="str">
        <f>TEXT(m_09,"#,##0")</f>
        <v>0</v>
      </c>
      <c r="C13" t="str">
        <f>TEXT(f1_09,"#,##0")</f>
        <v>0</v>
      </c>
      <c r="E13" t="str">
        <f>TEXT(f2_09,"#,##0")</f>
        <v>0</v>
      </c>
    </row>
    <row r="14" spans="1:5">
      <c r="A14" t="str">
        <f>TEXT(m_10,"#,##0")</f>
        <v>0</v>
      </c>
      <c r="C14" t="str">
        <f>TEXT(f1_10,"#,##0")</f>
        <v>0</v>
      </c>
      <c r="E14" t="str">
        <f>TEXT(f2_10,"#,##0")</f>
        <v>0</v>
      </c>
    </row>
    <row r="15" spans="1:5">
      <c r="A15" t="str">
        <f>TEXT(m_11,"#,##0")</f>
        <v>0</v>
      </c>
      <c r="C15" t="str">
        <f>TEXT(f1_11,"#,##0")</f>
        <v>0</v>
      </c>
      <c r="E15" t="str">
        <f>TEXT(f2_11,"#,##0")</f>
        <v>0</v>
      </c>
    </row>
    <row r="16" spans="1:5">
      <c r="A16" t="str">
        <f>TEXT(m_12,"#,##0")</f>
        <v>0</v>
      </c>
      <c r="C16" t="str">
        <f>TEXT(f1_12,"#,##0")</f>
        <v>0</v>
      </c>
      <c r="E16" t="str">
        <f>TEXT(f2_12,"#,##0")</f>
        <v>0</v>
      </c>
    </row>
    <row r="17" spans="1:5">
      <c r="A17" t="str">
        <f>TEXT(m_13,"#,##0")</f>
        <v>0</v>
      </c>
      <c r="C17" t="str">
        <f>TEXT(f1_13,"#,##0")</f>
        <v>0</v>
      </c>
      <c r="E17" t="str">
        <f>TEXT(f2_13,"#,##0")</f>
        <v>0</v>
      </c>
    </row>
    <row r="18" spans="1:5">
      <c r="A18" t="str">
        <f>TEXT(m_14,"#,##0")</f>
        <v>0</v>
      </c>
      <c r="C18" t="str">
        <f>TEXT(f1_14,"#,##0")</f>
        <v>0</v>
      </c>
      <c r="E18" t="str">
        <f>TEXT(f2_14,"#,##0")</f>
        <v>0</v>
      </c>
    </row>
    <row r="19" spans="1:5">
      <c r="A19" t="str">
        <f>TEXT(m_15,"#,##0")</f>
        <v>0</v>
      </c>
      <c r="C19" t="str">
        <f>TEXT(f1_15,"#,##0")</f>
        <v>0</v>
      </c>
      <c r="E19" t="str">
        <f>TEXT(f2_15,"#,##0")</f>
        <v>0</v>
      </c>
    </row>
    <row r="20" spans="1:5">
      <c r="A20" t="str">
        <f>TEXT(m_16,"#,##0")</f>
        <v>0</v>
      </c>
      <c r="C20" t="str">
        <f>TEXT(f1_16,"#,##0")</f>
        <v>0</v>
      </c>
      <c r="E20" t="str">
        <f>TEXT(f2_16,"#,##0")</f>
        <v>0</v>
      </c>
    </row>
    <row r="21" spans="1:5">
      <c r="A21" t="str">
        <f>TEXT(m_17,"#,##0")</f>
        <v>0</v>
      </c>
      <c r="C21" t="str">
        <f>TEXT(f1_17,"#,##0")</f>
        <v>0</v>
      </c>
      <c r="E21" t="str">
        <f>TEXT(f2_17,"#,##0")</f>
        <v>0</v>
      </c>
    </row>
    <row r="22" spans="1:5">
      <c r="A22" t="str">
        <f>TEXT(m_18,"#,##0")</f>
        <v>0</v>
      </c>
      <c r="C22" t="str">
        <f>TEXT(f1_18,"#,##0")</f>
        <v>0</v>
      </c>
      <c r="E22" t="str">
        <f>TEXT(f2_18,"#,##0")</f>
        <v>0</v>
      </c>
    </row>
    <row r="23" spans="1:5">
      <c r="A23" t="str">
        <f>TEXT(m_19,"#,##0")</f>
        <v>0</v>
      </c>
      <c r="C23" t="str">
        <f>TEXT(f1_19,"#,##0")</f>
        <v>0</v>
      </c>
      <c r="E23" t="str">
        <f>TEXT(f2_19,"#,##0")</f>
        <v>0</v>
      </c>
    </row>
    <row r="24" spans="1:5">
      <c r="A24" t="str">
        <f>TEXT(m_20,"#,##0")</f>
        <v>20,000,000</v>
      </c>
      <c r="C24" t="str">
        <f>TEXT(f1_20,"#,##0")</f>
        <v>0</v>
      </c>
      <c r="E24" t="str">
        <f>TEXT(f2_20,"#,##0")</f>
        <v>0</v>
      </c>
    </row>
    <row r="25" spans="1:5">
      <c r="A25" t="str">
        <f>IF(m_21=0,"",TEXT(m_21/1000,"#,##0"))</f>
        <v/>
      </c>
      <c r="C25" t="str">
        <f>TEXT(f1_21,"#,##0")</f>
        <v>0</v>
      </c>
      <c r="E25" t="str">
        <f>TEXT(f2_21,"#,##0")</f>
        <v>0</v>
      </c>
    </row>
    <row r="26" spans="1:5">
      <c r="A26" t="str">
        <f>TEXT(m_22,"#,##0")</f>
        <v>0</v>
      </c>
      <c r="C26" t="str">
        <f>TEXT(f1_22,"#,##0")</f>
        <v>0</v>
      </c>
      <c r="E26" t="str">
        <f>TEXT(f2_22,"#,##0")</f>
        <v>0</v>
      </c>
    </row>
    <row r="27" spans="1:5">
      <c r="A27" t="str">
        <f>TEXT(m_23,"#,##0")</f>
        <v>0</v>
      </c>
      <c r="C27" t="str">
        <f>TEXT(f1_23,"#,##0")</f>
        <v>0</v>
      </c>
      <c r="E27" t="str">
        <f>TEXT(f2_23,"#,##0")</f>
        <v>0</v>
      </c>
    </row>
    <row r="28" spans="1:5">
      <c r="A28" t="str">
        <f>TEXT(m_24,"#,##0")</f>
        <v>0</v>
      </c>
      <c r="C28" t="str">
        <f>TEXT(f1_24,"#,##0")</f>
        <v>0</v>
      </c>
      <c r="E28" t="str">
        <f>TEXT(f2_24,"0.00000000")</f>
        <v>0.00000000</v>
      </c>
    </row>
    <row r="29" spans="1:5">
      <c r="A29" t="str">
        <f>TEXT(m_25,"#,##0")</f>
        <v>0</v>
      </c>
      <c r="C29" t="str">
        <f>TEXT(f1_25,"#,##0")</f>
        <v>0</v>
      </c>
      <c r="E29" t="str">
        <f>TEXT(f2_25,"#,##0")</f>
        <v>0</v>
      </c>
    </row>
    <row r="30" spans="1:5">
      <c r="A30" t="str">
        <f>TEXT(m_26,"#,##0")</f>
        <v>0</v>
      </c>
      <c r="C30" t="str">
        <f>TEXT(f1_26,"#,##0")</f>
        <v>0</v>
      </c>
      <c r="E30" t="str">
        <f>TEXT(f2_26,"#,##0")</f>
        <v>0</v>
      </c>
    </row>
    <row r="31" spans="1:5">
      <c r="A31" t="str">
        <f>TEXT(m_27,"#,##0")</f>
        <v>0</v>
      </c>
      <c r="C31" t="str">
        <f>TEXT(f1_27,"#,##0")</f>
        <v>0</v>
      </c>
    </row>
    <row r="32" spans="1:5">
      <c r="A32" t="str">
        <f>TEXT(m_28,"#,##0")</f>
        <v>0</v>
      </c>
      <c r="C32" t="str">
        <f>TEXT(f1_28,"#,##0")</f>
        <v>0</v>
      </c>
    </row>
    <row r="33" spans="3:3">
      <c r="C33" t="str">
        <f>TEXT(f1_29,"#,##0")</f>
        <v>0</v>
      </c>
    </row>
    <row r="34" spans="3:3">
      <c r="C34" t="str">
        <f>TEXT(f1_30,"#,##0")</f>
        <v>0</v>
      </c>
    </row>
    <row r="35" spans="3:3">
      <c r="C35" t="str">
        <f>TEXT(f1_31,"#,##0")</f>
        <v>0</v>
      </c>
    </row>
    <row r="36" spans="3:3">
      <c r="C36" t="str">
        <f>TEXT(f1_32,"#,##0")</f>
        <v>0</v>
      </c>
    </row>
    <row r="37" spans="3:3">
      <c r="C37" t="str">
        <f>TEXT(f1_33,"#,##0")</f>
        <v>0</v>
      </c>
    </row>
    <row r="38" spans="3:3">
      <c r="C38" t="str">
        <f>TEXT(f1_34,"#,##0")</f>
        <v>20,000,000</v>
      </c>
    </row>
  </sheetData>
  <sheetProtection sheet="1" objects="1" scenarios="1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188</vt:i4>
      </vt:variant>
    </vt:vector>
  </HeadingPairs>
  <TitlesOfParts>
    <vt:vector size="198" baseType="lpstr">
      <vt:lpstr>使い方</vt:lpstr>
      <vt:lpstr>入力</vt:lpstr>
      <vt:lpstr>別表三一_計算</vt:lpstr>
      <vt:lpstr>付表一_計算</vt:lpstr>
      <vt:lpstr>付表二_計算</vt:lpstr>
      <vt:lpstr>別表三(一)</vt:lpstr>
      <vt:lpstr>別表三(一)付表一</vt:lpstr>
      <vt:lpstr>別表三(一)付表二</vt:lpstr>
      <vt:lpstr>検算</vt:lpstr>
      <vt:lpstr>根拠・出典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f1_33</vt:lpstr>
      <vt:lpstr>f1_34</vt:lpstr>
      <vt:lpstr>f2_01</vt:lpstr>
      <vt:lpstr>f2_02</vt:lpstr>
      <vt:lpstr>f2_03</vt:lpstr>
      <vt:lpstr>f2_04</vt:lpstr>
      <vt:lpstr>f2_05</vt:lpstr>
      <vt:lpstr>f2_06</vt:lpstr>
      <vt:lpstr>f2_07</vt:lpstr>
      <vt:lpstr>f2_08</vt:lpstr>
      <vt:lpstr>f2_09</vt:lpstr>
      <vt:lpstr>f2_10</vt:lpstr>
      <vt:lpstr>f2_11</vt:lpstr>
      <vt:lpstr>f2_12</vt:lpstr>
      <vt:lpstr>f2_13</vt:lpstr>
      <vt:lpstr>f2_14</vt:lpstr>
      <vt:lpstr>f2_15</vt:lpstr>
      <vt:lpstr>f2_16</vt:lpstr>
      <vt:lpstr>f2_17</vt:lpstr>
      <vt:lpstr>f2_18</vt:lpstr>
      <vt:lpstr>f2_19</vt:lpstr>
      <vt:lpstr>f2_20</vt:lpstr>
      <vt:lpstr>f2_21</vt:lpstr>
      <vt:lpstr>f2_22</vt:lpstr>
      <vt:lpstr>f2_23</vt:lpstr>
      <vt:lpstr>f2_24</vt:lpstr>
      <vt:lpstr>f2_25</vt:lpstr>
      <vt:lpstr>f2_26</vt:lpstr>
      <vt:lpstr>inp_b1_11</vt:lpstr>
      <vt:lpstr>inp_b1_17</vt:lpstr>
      <vt:lpstr>inp_b1_18</vt:lpstr>
      <vt:lpstr>inp_b1_2</vt:lpstr>
      <vt:lpstr>inp_b1_3</vt:lpstr>
      <vt:lpstr>inp_b1_31</vt:lpstr>
      <vt:lpstr>inp_b1_32</vt:lpstr>
      <vt:lpstr>inp_b1_36</vt:lpstr>
      <vt:lpstr>inp_b1_4</vt:lpstr>
      <vt:lpstr>inp_b1_50</vt:lpstr>
      <vt:lpstr>inp_b1_51</vt:lpstr>
      <vt:lpstr>inp_b1_55</vt:lpstr>
      <vt:lpstr>inp_b1_6</vt:lpstr>
      <vt:lpstr>inp_b1_71</vt:lpstr>
      <vt:lpstr>inp_b1_94</vt:lpstr>
      <vt:lpstr>inp_b1_9out</vt:lpstr>
      <vt:lpstr>inp_b10_7_15</vt:lpstr>
      <vt:lpstr>inp_b17_3_6_1</vt:lpstr>
      <vt:lpstr>inp_b6_12_f2_19</vt:lpstr>
      <vt:lpstr>inp_b6_12_f2_24</vt:lpstr>
      <vt:lpstr>inp_b6_2_f6_7_total</vt:lpstr>
      <vt:lpstr>inp_b6_5_2_5_3</vt:lpstr>
      <vt:lpstr>inp_b6_6_3</vt:lpstr>
      <vt:lpstr>inp_b6_6_9_11_14</vt:lpstr>
      <vt:lpstr>inp_b6_6_9_16_18</vt:lpstr>
      <vt:lpstr>inp_b6_6_9_19_20</vt:lpstr>
      <vt:lpstr>inp_b6_6_9_2</vt:lpstr>
      <vt:lpstr>inp_b6_6_9_25_26</vt:lpstr>
      <vt:lpstr>inp_b6_6_9_27_29</vt:lpstr>
      <vt:lpstr>inp_b6_6_9_3</vt:lpstr>
      <vt:lpstr>inp_b6_6_9_4</vt:lpstr>
      <vt:lpstr>inp_b6_6_9_5_8</vt:lpstr>
      <vt:lpstr>inp_b6_9_f_40</vt:lpstr>
      <vt:lpstr>inp_b6_9_f_45</vt:lpstr>
      <vt:lpstr>inp_class</vt:lpstr>
      <vt:lpstr>inp_corp</vt:lpstr>
      <vt:lpstr>inp_curr_div</vt:lpstr>
      <vt:lpstr>inp_end</vt:lpstr>
      <vt:lpstr>inp_f1_b10_1_15_or_10_2_10</vt:lpstr>
      <vt:lpstr>inp_f1_b10_1_16_or_10_2_11</vt:lpstr>
      <vt:lpstr>inp_f1_b10_3_47</vt:lpstr>
      <vt:lpstr>inp_f1_b10_4_20</vt:lpstr>
      <vt:lpstr>inp_f1_b10_4_21_23</vt:lpstr>
      <vt:lpstr>inp_f1_b10_5_12</vt:lpstr>
      <vt:lpstr>inp_f1_b10_6_sum</vt:lpstr>
      <vt:lpstr>inp_f1_b10_7_12</vt:lpstr>
      <vt:lpstr>inp_f1_b10_7_20_22</vt:lpstr>
      <vt:lpstr>inp_f1_b10_8_22</vt:lpstr>
      <vt:lpstr>inp_f1_b17_2_3_10</vt:lpstr>
      <vt:lpstr>inp_f1_b17_3_7_27</vt:lpstr>
      <vt:lpstr>inp_f1_b17_3_income_sum</vt:lpstr>
      <vt:lpstr>inp_f1_b4_16</vt:lpstr>
      <vt:lpstr>inp_f1_b4_19</vt:lpstr>
      <vt:lpstr>inp_f1_b4_37</vt:lpstr>
      <vt:lpstr>inp_f1_b4_38</vt:lpstr>
      <vt:lpstr>inp_f1_b4_52_1</vt:lpstr>
      <vt:lpstr>inp_f1_b4f_7</vt:lpstr>
      <vt:lpstr>inp_f1_b5_1_31_1</vt:lpstr>
      <vt:lpstr>inp_f1_b7_1_4</vt:lpstr>
      <vt:lpstr>inp_f1_b7_other</vt:lpstr>
      <vt:lpstr>inp_f1_b8_1_5</vt:lpstr>
      <vt:lpstr>inp_f1_b8_2_26</vt:lpstr>
      <vt:lpstr>inp_f1_b8_3_13</vt:lpstr>
      <vt:lpstr>inp_f1_capital</vt:lpstr>
      <vt:lpstr>inp_f1_merger_inc</vt:lpstr>
      <vt:lpstr>inp_f1_split_dec</vt:lpstr>
      <vt:lpstr>inp_f2_b18_1_5_total</vt:lpstr>
      <vt:lpstr>inp_f2_b18_1_6_total</vt:lpstr>
      <vt:lpstr>inp_f2_b4f_3</vt:lpstr>
      <vt:lpstr>inp_f2_b4f_8</vt:lpstr>
      <vt:lpstr>inp_f2_b4f_9</vt:lpstr>
      <vt:lpstr>inp_f2_b7_2_11</vt:lpstr>
      <vt:lpstr>inp_f2_b7_2_5</vt:lpstr>
      <vt:lpstr>inp_f2_b7_2_f1_23</vt:lpstr>
      <vt:lpstr>inp_f2_b8_1_f_24</vt:lpstr>
      <vt:lpstr>inp_f2_group_div_received</vt:lpstr>
      <vt:lpstr>inp_f2_in_div_amount</vt:lpstr>
      <vt:lpstr>inp_f2_out_div_outflow</vt:lpstr>
      <vt:lpstr>inp_group</vt:lpstr>
      <vt:lpstr>inp_m_B4_17_inner</vt:lpstr>
      <vt:lpstr>inp_m_B4_52_2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検算!Print_Area</vt:lpstr>
      <vt:lpstr>根拠・出典!Print_Area</vt:lpstr>
      <vt:lpstr>使い方!Print_Area</vt:lpstr>
      <vt:lpstr>入力!Print_Area</vt:lpstr>
      <vt:lpstr>付表一_計算!Print_Area</vt:lpstr>
      <vt:lpstr>付表二_計算!Print_Area</vt:lpstr>
      <vt:lpstr>'別表三(一)'!Print_Area</vt:lpstr>
      <vt:lpstr>'別表三(一)付表一'!Print_Area</vt:lpstr>
      <vt:lpstr>'別表三(一)付表二'!Print_Area</vt:lpstr>
      <vt:lpstr>別表三一_計算!Print_Area</vt:lpstr>
      <vt:lpstr>入力!Print_Titles</vt:lpstr>
      <vt:lpstr>付表一_計算!Print_Titles</vt:lpstr>
      <vt:lpstr>付表二_計算!Print_Titles</vt:lpstr>
      <vt:lpstr>別表三一_計算!Print_Titles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jplawdb4</dc:creator>
  <cp:lastModifiedBy>jplawdb4</cp:lastModifiedBy>
</cp:coreProperties>
</file>