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E2BA6AA2-9D41-4504-9C12-952CC6FA03D1}" xr6:coauthVersionLast="47" xr6:coauthVersionMax="47" xr10:uidLastSave="{00000000-0000-0000-0000-000000000000}"/>
  <bookViews>
    <workbookView xWindow="-108" yWindow="-108" windowWidth="23256" windowHeight="12456" xr2:uid="{68921117-E98B-427F-8900-C1C3B34558D6}"/>
  </bookViews>
  <sheets>
    <sheet name="使い方" sheetId="1" r:id="rId1"/>
    <sheet name="入力" sheetId="2" r:id="rId2"/>
    <sheet name="別表三一_計算" sheetId="3" r:id="rId3"/>
    <sheet name="付表一_計算" sheetId="4" r:id="rId4"/>
    <sheet name="付表二_計算" sheetId="5" r:id="rId5"/>
    <sheet name="別表三(一)" sheetId="6" r:id="rId6"/>
    <sheet name="別表三(一)付表一" sheetId="7" r:id="rId7"/>
    <sheet name="別表三(一)付表二" sheetId="8" r:id="rId8"/>
    <sheet name="検算" sheetId="9" r:id="rId9"/>
    <sheet name="根拠・出典" sheetId="10" r:id="rId10"/>
    <sheet name="印字値" sheetId="11" state="veryHidden" r:id="rId11"/>
    <sheet name="厳密整数計算" sheetId="12" state="veryHidden" r:id="rId12"/>
  </sheets>
  <definedNames>
    <definedName name="cfg_applicable">入力!$H$5</definedName>
    <definedName name="cfg_calculation_ready">厳密整数計算!$I$8</definedName>
    <definedName name="cfg_class_selected">厳密整数計算!$I$6</definedName>
    <definedName name="cfg_donation_rate">入力!$H$7</definedName>
    <definedName name="cfg_exact_domain_ok">厳密整数計算!$I$2</definedName>
    <definedName name="cfg_exact_math_valid">厳密整数計算!$I$1</definedName>
    <definedName name="cfg_f2_input_valid">入力!$H$11</definedName>
    <definedName name="cfg_f2_period_ok">厳密整数計算!$I$3</definedName>
    <definedName name="cfg_group_selected">厳密整数計算!$I$7</definedName>
    <definedName name="cfg_period_input_valid">厳密整数計算!$I$9</definedName>
    <definedName name="cfg_resident_rate">入力!$H$6</definedName>
    <definedName name="cfg_special_applicable">厳密整数計算!$I$5</definedName>
    <definedName name="exact_r5_f1_32_income_absrem">厳密整数計算!$C$118</definedName>
    <definedName name="exact_r5_f1_32_income_floor">厳密整数計算!$D$118</definedName>
    <definedName name="exact_r5_f1_32_income_q">厳密整数計算!$B$118</definedName>
    <definedName name="exact_r5_f1_32_income_rem">厳密整数計算!$E$118</definedName>
    <definedName name="exact_r5_f1_32_income_valid">厳密整数計算!$F$118</definedName>
    <definedName name="exact_r5_f2_26_ratio_absrem">厳密整数計算!$C$60</definedName>
    <definedName name="exact_r5_f2_26_ratio_floor">厳密整数計算!$D$60</definedName>
    <definedName name="exact_r5_f2_26_ratio_q">厳密整数計算!$B$60</definedName>
    <definedName name="exact_r5_f2_26_ratio_rem">厳密整数計算!$E$60</definedName>
    <definedName name="exact_r5_f2_26_ratio_valid">厳密整数計算!$F$60</definedName>
    <definedName name="exact_r5_m_24_resident_absrem">厳密整数計算!$C$176</definedName>
    <definedName name="exact_r5_m_24_resident_floor">厳密整数計算!$D$176</definedName>
    <definedName name="exact_r5_m_24_resident_q">厳密整数計算!$B$176</definedName>
    <definedName name="exact_r5_m_24_resident_rem">厳密整数計算!$E$176</definedName>
    <definedName name="exact_r5_m_24_resident_valid">厳密整数計算!$F$176</definedName>
    <definedName name="exact_r5_m_26_delta_absrem">厳密整数計算!$C$292</definedName>
    <definedName name="exact_r5_m_26_delta_floor">厳密整数計算!$D$292</definedName>
    <definedName name="exact_r5_m_26_delta_q">厳密整数計算!$B$292</definedName>
    <definedName name="exact_r5_m_26_delta_rem">厳密整数計算!$E$292</definedName>
    <definedName name="exact_r5_m_26_delta_valid">厳密整数計算!$F$292</definedName>
    <definedName name="exact_r5_m_26_municipal_absrem">厳密整数計算!$C$234</definedName>
    <definedName name="exact_r5_m_26_municipal_floor">厳密整数計算!$D$234</definedName>
    <definedName name="exact_r5_m_26_municipal_q">厳密整数計算!$B$234</definedName>
    <definedName name="exact_r5_m_26_municipal_rem">厳密整数計算!$E$234</definedName>
    <definedName name="exact_r5_m_26_municipal_valid">厳密整数計算!$F$234</definedName>
    <definedName name="f1_01">付表一_計算!$D$5</definedName>
    <definedName name="f1_02">付表一_計算!$D$6</definedName>
    <definedName name="f1_03">付表一_計算!$D$7</definedName>
    <definedName name="f1_04">付表一_計算!$D$8</definedName>
    <definedName name="f1_05">付表一_計算!$D$9</definedName>
    <definedName name="f1_06">付表一_計算!$D$10</definedName>
    <definedName name="f1_07">付表一_計算!$D$11</definedName>
    <definedName name="f1_08">付表一_計算!$D$12</definedName>
    <definedName name="f1_09">付表一_計算!$D$13</definedName>
    <definedName name="f1_10">付表一_計算!$D$14</definedName>
    <definedName name="f1_11">付表一_計算!$D$15</definedName>
    <definedName name="f1_12">付表一_計算!$D$16</definedName>
    <definedName name="f1_13">付表一_計算!$D$17</definedName>
    <definedName name="f1_14">付表一_計算!$D$18</definedName>
    <definedName name="f1_15">付表一_計算!$D$19</definedName>
    <definedName name="f1_16">付表一_計算!$D$20</definedName>
    <definedName name="f1_17">付表一_計算!$D$21</definedName>
    <definedName name="f1_18">付表一_計算!$D$22</definedName>
    <definedName name="f1_19">付表一_計算!$D$23</definedName>
    <definedName name="f1_20">付表一_計算!$D$24</definedName>
    <definedName name="f1_21">付表一_計算!$D$25</definedName>
    <definedName name="f1_22">付表一_計算!$D$26</definedName>
    <definedName name="f1_23">付表一_計算!$D$27</definedName>
    <definedName name="f1_24">付表一_計算!$D$28</definedName>
    <definedName name="f1_25">付表一_計算!$D$29</definedName>
    <definedName name="f1_26">付表一_計算!$D$30</definedName>
    <definedName name="f1_27">付表一_計算!$D$31</definedName>
    <definedName name="f1_28">付表一_計算!$D$32</definedName>
    <definedName name="f1_29">付表一_計算!$D$33</definedName>
    <definedName name="f1_30">付表一_計算!$D$34</definedName>
    <definedName name="f1_31">付表一_計算!$D$35</definedName>
    <definedName name="f1_32">付表一_計算!$D$36</definedName>
    <definedName name="f1_33">付表一_計算!$D$37</definedName>
    <definedName name="f2_01">付表二_計算!$D$5</definedName>
    <definedName name="f2_02">付表二_計算!$D$6</definedName>
    <definedName name="f2_03">付表二_計算!$D$7</definedName>
    <definedName name="f2_04">付表二_計算!$D$8</definedName>
    <definedName name="f2_05">付表二_計算!$D$9</definedName>
    <definedName name="f2_06">付表二_計算!$D$10</definedName>
    <definedName name="f2_07">付表二_計算!$D$11</definedName>
    <definedName name="f2_08">付表二_計算!$D$12</definedName>
    <definedName name="f2_09">付表二_計算!$D$13</definedName>
    <definedName name="f2_10">付表二_計算!$D$14</definedName>
    <definedName name="f2_11">付表二_計算!$D$15</definedName>
    <definedName name="f2_12">付表二_計算!$D$16</definedName>
    <definedName name="f2_13">付表二_計算!$D$17</definedName>
    <definedName name="f2_14">付表二_計算!$D$18</definedName>
    <definedName name="f2_15">付表二_計算!$D$19</definedName>
    <definedName name="f2_16">付表二_計算!$D$20</definedName>
    <definedName name="f2_17">付表二_計算!$D$21</definedName>
    <definedName name="f2_18">付表二_計算!$D$22</definedName>
    <definedName name="f2_19">付表二_計算!$D$23</definedName>
    <definedName name="f2_20">付表二_計算!$D$24</definedName>
    <definedName name="f2_21">付表二_計算!$D$25</definedName>
    <definedName name="f2_22">付表二_計算!$D$26</definedName>
    <definedName name="f2_23">付表二_計算!$D$27</definedName>
    <definedName name="f2_24">付表二_計算!$D$28</definedName>
    <definedName name="f2_25">付表二_計算!$D$29</definedName>
    <definedName name="f2_26">付表二_計算!$D$30</definedName>
    <definedName name="inp_adjust_local_credit">入力!$D$39</definedName>
    <definedName name="inp_b1_11">入力!$D$25</definedName>
    <definedName name="inp_b1_17">入力!$D$26</definedName>
    <definedName name="inp_b1_18">入力!$D$27</definedName>
    <definedName name="inp_b1_2">入力!$D$20</definedName>
    <definedName name="inp_b1_3">入力!$D$21</definedName>
    <definedName name="inp_b1_31">入力!$D$28</definedName>
    <definedName name="inp_b1_32">入力!$D$29</definedName>
    <definedName name="inp_b1_36">入力!$D$30</definedName>
    <definedName name="inp_b1_4">入力!$D$22</definedName>
    <definedName name="inp_b1_6">入力!$D$23</definedName>
    <definedName name="inp_b1_65">入力!$D$31</definedName>
    <definedName name="inp_b1_9out">入力!$D$24</definedName>
    <definedName name="inp_b6_5_2_5_3">入力!$D$32</definedName>
    <definedName name="inp_class">入力!$D$9</definedName>
    <definedName name="inp_corp">入力!$D$5</definedName>
    <definedName name="inp_curr_div">入力!$D$19</definedName>
    <definedName name="inp_end">入力!$D$7</definedName>
    <definedName name="inp_f1_09">入力!$D$47</definedName>
    <definedName name="inp_f1_10">入力!$D$48</definedName>
    <definedName name="inp_f1_11">入力!$D$49</definedName>
    <definedName name="inp_f1_12">入力!$D$50</definedName>
    <definedName name="inp_f1_13">入力!$D$51</definedName>
    <definedName name="inp_f1_14">入力!$D$52</definedName>
    <definedName name="inp_f1_15">入力!$D$53</definedName>
    <definedName name="inp_f1_16">入力!$D$54</definedName>
    <definedName name="inp_f1_19">入力!$D$55</definedName>
    <definedName name="inp_f1_20">入力!$D$56</definedName>
    <definedName name="inp_f1_21">入力!$D$57</definedName>
    <definedName name="inp_f1_22">入力!$D$58</definedName>
    <definedName name="inp_f1_23">入力!$D$59</definedName>
    <definedName name="inp_f1_24">入力!$D$60</definedName>
    <definedName name="inp_f1_25">入力!$D$61</definedName>
    <definedName name="inp_f1_26">入力!$D$62</definedName>
    <definedName name="inp_f1_27">入力!$D$63</definedName>
    <definedName name="inp_f1_28">入力!$D$64</definedName>
    <definedName name="inp_f1_29">入力!$D$65</definedName>
    <definedName name="inp_f1_30">入力!$D$66</definedName>
    <definedName name="inp_f1_capital">入力!$D$43</definedName>
    <definedName name="inp_f1_merger_inc">入力!$D$45</definedName>
    <definedName name="inp_f1_opening_profit">入力!$D$44</definedName>
    <definedName name="inp_f1_split_dec">入力!$D$46</definedName>
    <definedName name="inp_f2_01">入力!$D$70</definedName>
    <definedName name="inp_f2_02">入力!$D$71</definedName>
    <definedName name="inp_f2_03">入力!$D$72</definedName>
    <definedName name="inp_f2_04">入力!$D$73</definedName>
    <definedName name="inp_f2_06">入力!$D$74</definedName>
    <definedName name="inp_f2_07">入力!$D$75</definedName>
    <definedName name="inp_f2_08">入力!$D$76</definedName>
    <definedName name="inp_f2_12">入力!$D$77</definedName>
    <definedName name="inp_f2_15">入力!$D$78</definedName>
    <definedName name="inp_f2_16">入力!$D$79</definedName>
    <definedName name="inp_f2_21">入力!$D$80</definedName>
    <definedName name="inp_f2_23">入力!$D$81</definedName>
    <definedName name="inp_group">入力!$D$10</definedName>
    <definedName name="inp_m14_foreign">入力!$D$37</definedName>
    <definedName name="inp_m22_b1_4_adjust">入力!$D$35</definedName>
    <definedName name="inp_m22_credits">入力!$D$33</definedName>
    <definedName name="inp_m23_b1_4_adjust">入力!$D$36</definedName>
    <definedName name="inp_m23_credits">入力!$D$34</definedName>
    <definedName name="inp_m9_base">入力!$D$15</definedName>
    <definedName name="inp_m9_extra">入力!$D$16</definedName>
    <definedName name="inp_m9_inner">入力!$D$17</definedName>
    <definedName name="inp_months">入力!$D$8</definedName>
    <definedName name="inp_prev_div">入力!$D$18</definedName>
    <definedName name="inp_special">入力!$D$11</definedName>
    <definedName name="inp_specific_donation_total">入力!$D$38</definedName>
    <definedName name="inp_start">入力!$D$6</definedName>
    <definedName name="m_01">別表三一_計算!$D$5</definedName>
    <definedName name="m_02">別表三一_計算!$D$6</definedName>
    <definedName name="m_03">別表三一_計算!$D$7</definedName>
    <definedName name="m_04">別表三一_計算!$D$8</definedName>
    <definedName name="m_05">別表三一_計算!$D$9</definedName>
    <definedName name="m_06">別表三一_計算!$D$10</definedName>
    <definedName name="m_07">別表三一_計算!$D$11</definedName>
    <definedName name="m_08">別表三一_計算!$D$12</definedName>
    <definedName name="m_09">別表三一_計算!$D$13</definedName>
    <definedName name="m_10">別表三一_計算!$D$14</definedName>
    <definedName name="m_11">別表三一_計算!$D$15</definedName>
    <definedName name="m_12">別表三一_計算!$D$16</definedName>
    <definedName name="m_13">別表三一_計算!$D$17</definedName>
    <definedName name="m_14">別表三一_計算!$D$18</definedName>
    <definedName name="m_15">別表三一_計算!$D$19</definedName>
    <definedName name="m_16">別表三一_計算!$D$20</definedName>
    <definedName name="m_17">別表三一_計算!$D$21</definedName>
    <definedName name="m_18">別表三一_計算!$D$22</definedName>
    <definedName name="m_19">別表三一_計算!$D$23</definedName>
    <definedName name="m_20">別表三一_計算!$D$24</definedName>
    <definedName name="m_21">別表三一_計算!$D$25</definedName>
    <definedName name="m_22">別表三一_計算!$D$26</definedName>
    <definedName name="m_23">別表三一_計算!$D$27</definedName>
    <definedName name="m_24">別表三一_計算!$D$28</definedName>
    <definedName name="m_25">別表三一_計算!$D$29</definedName>
    <definedName name="m_26">別表三一_計算!$D$30</definedName>
    <definedName name="m_27">別表三一_計算!$D$31</definedName>
    <definedName name="m_28">別表三一_計算!$D$32</definedName>
    <definedName name="out_municipal_tax">別表三一_計算!$D$32</definedName>
    <definedName name="out_retained_tax">別表三一_計算!$D$12</definedName>
    <definedName name="out_retention_allowance">付表一_計算!$D$37</definedName>
    <definedName name="out_taxable_retained">別表三一_計算!$D$25</definedName>
    <definedName name="_xlnm.Print_Area" localSheetId="8">検算!$A$1:$D$36</definedName>
    <definedName name="_xlnm.Print_Area" localSheetId="9">根拠・出典!$A$1:$E$15</definedName>
    <definedName name="_xlnm.Print_Area" localSheetId="0">使い方!$A$1:$H$40</definedName>
    <definedName name="_xlnm.Print_Area" localSheetId="1">入力!$A$1:$H$81</definedName>
    <definedName name="_xlnm.Print_Area" localSheetId="3">付表一_計算!$A$1:$E$37</definedName>
    <definedName name="_xlnm.Print_Area" localSheetId="4">付表二_計算!$A$1:$E$30</definedName>
    <definedName name="_xlnm.Print_Area" localSheetId="5">'別表三(一)'!$A$1:$L$3</definedName>
    <definedName name="_xlnm.Print_Area" localSheetId="6">'別表三(一)付表一'!$A$1:$L$3</definedName>
    <definedName name="_xlnm.Print_Area" localSheetId="7">'別表三(一)付表二'!$A$1:$L$3</definedName>
    <definedName name="_xlnm.Print_Area" localSheetId="2">別表三一_計算!$A$1:$G$32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9" l="1"/>
  <c r="C36" i="9"/>
  <c r="D237" i="12"/>
  <c r="D179" i="12"/>
  <c r="D121" i="12"/>
  <c r="D63" i="12"/>
  <c r="I7" i="12"/>
  <c r="I6" i="12"/>
  <c r="I5" i="12"/>
  <c r="I3" i="12"/>
  <c r="H7" i="2"/>
  <c r="H6" i="2"/>
  <c r="H5" i="2"/>
  <c r="F12" i="1"/>
  <c r="F237" i="12"/>
  <c r="E237" i="12"/>
  <c r="C237" i="12"/>
  <c r="B237" i="12"/>
  <c r="B270" i="12" s="1"/>
  <c r="F179" i="12"/>
  <c r="C179" i="12"/>
  <c r="F121" i="12"/>
  <c r="C121" i="12"/>
  <c r="F63" i="12"/>
  <c r="C63" i="12"/>
  <c r="L64" i="12"/>
  <c r="K64" i="12"/>
  <c r="L63" i="12"/>
  <c r="K63" i="12"/>
  <c r="L62" i="12"/>
  <c r="K62" i="12"/>
  <c r="L61" i="12"/>
  <c r="K61" i="12"/>
  <c r="L60" i="12"/>
  <c r="K60" i="12"/>
  <c r="L59" i="12"/>
  <c r="K59" i="12"/>
  <c r="L58" i="12"/>
  <c r="K58" i="12"/>
  <c r="L57" i="12"/>
  <c r="K57" i="12"/>
  <c r="L56" i="12"/>
  <c r="K56" i="12"/>
  <c r="L55" i="12"/>
  <c r="K55" i="12"/>
  <c r="L54" i="12"/>
  <c r="K54" i="12"/>
  <c r="L53" i="12"/>
  <c r="K53" i="12"/>
  <c r="L52" i="12"/>
  <c r="K52" i="12"/>
  <c r="L51" i="12"/>
  <c r="K51" i="12"/>
  <c r="L50" i="12"/>
  <c r="K50" i="12"/>
  <c r="L49" i="12"/>
  <c r="K49" i="12"/>
  <c r="L48" i="12"/>
  <c r="K48" i="12"/>
  <c r="L47" i="12"/>
  <c r="K47" i="12"/>
  <c r="L46" i="12"/>
  <c r="K46" i="12"/>
  <c r="L45" i="12"/>
  <c r="K45" i="12"/>
  <c r="L44" i="12"/>
  <c r="K44" i="12"/>
  <c r="L43" i="12"/>
  <c r="K43" i="12"/>
  <c r="L42" i="12"/>
  <c r="K42" i="12"/>
  <c r="L41" i="12"/>
  <c r="K41" i="12"/>
  <c r="L40" i="12"/>
  <c r="K40" i="12"/>
  <c r="L39" i="12"/>
  <c r="K39" i="12"/>
  <c r="L38" i="12"/>
  <c r="K38" i="12"/>
  <c r="L37" i="12"/>
  <c r="K37" i="12"/>
  <c r="L36" i="12"/>
  <c r="K36" i="12"/>
  <c r="L35" i="12"/>
  <c r="K35" i="12"/>
  <c r="L34" i="12"/>
  <c r="K34" i="12"/>
  <c r="L33" i="12"/>
  <c r="K33" i="12"/>
  <c r="L32" i="12"/>
  <c r="K32" i="12"/>
  <c r="L31" i="12"/>
  <c r="K31" i="12"/>
  <c r="L30" i="12"/>
  <c r="K30" i="12"/>
  <c r="L29" i="12"/>
  <c r="K29" i="12"/>
  <c r="L28" i="12"/>
  <c r="K28" i="12"/>
  <c r="L27" i="12"/>
  <c r="K27" i="12"/>
  <c r="L26" i="12"/>
  <c r="K26" i="12"/>
  <c r="L25" i="12"/>
  <c r="K25" i="12"/>
  <c r="L24" i="12"/>
  <c r="K24" i="12"/>
  <c r="L23" i="12"/>
  <c r="K23" i="12"/>
  <c r="L22" i="12"/>
  <c r="K22" i="12"/>
  <c r="L21" i="12"/>
  <c r="K21" i="12"/>
  <c r="L20" i="12"/>
  <c r="K20" i="12"/>
  <c r="L19" i="12"/>
  <c r="K19" i="12"/>
  <c r="L18" i="12"/>
  <c r="K18" i="12"/>
  <c r="L17" i="12"/>
  <c r="K17" i="12"/>
  <c r="L16" i="12"/>
  <c r="K16" i="12"/>
  <c r="L15" i="12"/>
  <c r="K15" i="12"/>
  <c r="L14" i="12"/>
  <c r="K14" i="12"/>
  <c r="L13" i="12"/>
  <c r="K13" i="12"/>
  <c r="L12" i="12"/>
  <c r="K12" i="12"/>
  <c r="L11" i="12"/>
  <c r="K11" i="12"/>
  <c r="L10" i="12"/>
  <c r="K10" i="12"/>
  <c r="L9" i="12"/>
  <c r="K9" i="12"/>
  <c r="L8" i="12"/>
  <c r="K8" i="12"/>
  <c r="L7" i="12"/>
  <c r="K7" i="12"/>
  <c r="L6" i="12"/>
  <c r="K6" i="12"/>
  <c r="L5" i="12"/>
  <c r="K5" i="12"/>
  <c r="L4" i="12"/>
  <c r="K4" i="12"/>
  <c r="D8" i="2"/>
  <c r="I9" i="12" s="1"/>
  <c r="F11" i="1" s="1"/>
  <c r="B240" i="12" l="1"/>
  <c r="B243" i="12"/>
  <c r="B246" i="12"/>
  <c r="B249" i="12"/>
  <c r="B252" i="12"/>
  <c r="B255" i="12"/>
  <c r="B258" i="12"/>
  <c r="B261" i="12"/>
  <c r="B264" i="12"/>
  <c r="B267" i="12"/>
  <c r="I2" i="12"/>
  <c r="D32" i="4" s="1"/>
  <c r="B273" i="12"/>
  <c r="B276" i="12"/>
  <c r="B279" i="12"/>
  <c r="B282" i="12"/>
  <c r="B285" i="12"/>
  <c r="B288" i="12"/>
  <c r="B291" i="12"/>
  <c r="B241" i="12"/>
  <c r="B244" i="12"/>
  <c r="B247" i="12"/>
  <c r="B250" i="12"/>
  <c r="B253" i="12"/>
  <c r="B256" i="12"/>
  <c r="B259" i="12"/>
  <c r="B262" i="12"/>
  <c r="B265" i="12"/>
  <c r="B268" i="12"/>
  <c r="B271" i="12"/>
  <c r="B274" i="12"/>
  <c r="B277" i="12"/>
  <c r="B280" i="12"/>
  <c r="B283" i="12"/>
  <c r="B286" i="12"/>
  <c r="B289" i="12"/>
  <c r="B239" i="12"/>
  <c r="C239" i="12" s="1"/>
  <c r="B242" i="12"/>
  <c r="B245" i="12"/>
  <c r="B248" i="12"/>
  <c r="B251" i="12"/>
  <c r="B254" i="12"/>
  <c r="B257" i="12"/>
  <c r="B260" i="12"/>
  <c r="B263" i="12"/>
  <c r="B266" i="12"/>
  <c r="B269" i="12"/>
  <c r="B272" i="12"/>
  <c r="B275" i="12"/>
  <c r="B278" i="12"/>
  <c r="B281" i="12"/>
  <c r="B284" i="12"/>
  <c r="B287" i="12"/>
  <c r="B290" i="12"/>
  <c r="F13" i="1"/>
  <c r="F15" i="1"/>
  <c r="G7" i="3"/>
  <c r="D11" i="5" l="1"/>
  <c r="D15" i="4"/>
  <c r="D29" i="4"/>
  <c r="D14" i="3"/>
  <c r="D13" i="4"/>
  <c r="D16" i="4"/>
  <c r="D18" i="5"/>
  <c r="D15" i="3"/>
  <c r="D5" i="5"/>
  <c r="D12" i="5"/>
  <c r="D22" i="5" s="1"/>
  <c r="D24" i="4"/>
  <c r="D17" i="4"/>
  <c r="D18" i="4"/>
  <c r="D16" i="5"/>
  <c r="D27" i="4"/>
  <c r="D29" i="3"/>
  <c r="D19" i="5"/>
  <c r="D10" i="5"/>
  <c r="D30" i="4"/>
  <c r="D6" i="5"/>
  <c r="D7" i="5"/>
  <c r="D19" i="4"/>
  <c r="D7" i="4"/>
  <c r="D18" i="3"/>
  <c r="D25" i="4"/>
  <c r="D33" i="4"/>
  <c r="D8" i="4"/>
  <c r="D14" i="4"/>
  <c r="D26" i="3"/>
  <c r="D9" i="4"/>
  <c r="D28" i="4"/>
  <c r="D12" i="4"/>
  <c r="D34" i="4"/>
  <c r="D8" i="5"/>
  <c r="D16" i="3"/>
  <c r="D20" i="5"/>
  <c r="D23" i="4"/>
  <c r="D22" i="3" s="1"/>
  <c r="D5" i="4"/>
  <c r="D6" i="4" s="1"/>
  <c r="D31" i="4"/>
  <c r="D27" i="3"/>
  <c r="D13" i="3"/>
  <c r="D26" i="4"/>
  <c r="D20" i="4"/>
  <c r="D15" i="5"/>
  <c r="D239" i="12"/>
  <c r="E239" i="12"/>
  <c r="C240" i="12" s="1"/>
  <c r="E240" i="12" s="1"/>
  <c r="C241" i="12" s="1"/>
  <c r="E241" i="12" s="1"/>
  <c r="C242" i="12" s="1"/>
  <c r="E242" i="12" s="1"/>
  <c r="C243" i="12" s="1"/>
  <c r="E243" i="12" s="1"/>
  <c r="C244" i="12" s="1"/>
  <c r="E244" i="12" s="1"/>
  <c r="C245" i="12" s="1"/>
  <c r="E245" i="12" s="1"/>
  <c r="C246" i="12" s="1"/>
  <c r="E246" i="12" s="1"/>
  <c r="C247" i="12" s="1"/>
  <c r="E247" i="12" s="1"/>
  <c r="C248" i="12" s="1"/>
  <c r="E248" i="12" s="1"/>
  <c r="C249" i="12" s="1"/>
  <c r="E249" i="12" s="1"/>
  <c r="C250" i="12" s="1"/>
  <c r="E250" i="12" s="1"/>
  <c r="C251" i="12" s="1"/>
  <c r="E251" i="12" s="1"/>
  <c r="C252" i="12" s="1"/>
  <c r="E252" i="12" s="1"/>
  <c r="C253" i="12" s="1"/>
  <c r="E253" i="12" s="1"/>
  <c r="C254" i="12" s="1"/>
  <c r="E254" i="12" s="1"/>
  <c r="C255" i="12" s="1"/>
  <c r="E255" i="12" s="1"/>
  <c r="C256" i="12" s="1"/>
  <c r="E256" i="12" s="1"/>
  <c r="C257" i="12" s="1"/>
  <c r="E257" i="12" s="1"/>
  <c r="C258" i="12" s="1"/>
  <c r="E258" i="12" s="1"/>
  <c r="C259" i="12" s="1"/>
  <c r="E259" i="12" s="1"/>
  <c r="C260" i="12" s="1"/>
  <c r="E260" i="12" s="1"/>
  <c r="C261" i="12" s="1"/>
  <c r="E261" i="12" s="1"/>
  <c r="C262" i="12" s="1"/>
  <c r="E262" i="12" s="1"/>
  <c r="C263" i="12" s="1"/>
  <c r="E263" i="12" s="1"/>
  <c r="C264" i="12" s="1"/>
  <c r="E264" i="12" s="1"/>
  <c r="C265" i="12" s="1"/>
  <c r="E265" i="12" s="1"/>
  <c r="C266" i="12" s="1"/>
  <c r="E266" i="12" s="1"/>
  <c r="C267" i="12" s="1"/>
  <c r="E267" i="12" s="1"/>
  <c r="C268" i="12" s="1"/>
  <c r="E268" i="12" s="1"/>
  <c r="C269" i="12" s="1"/>
  <c r="E269" i="12" s="1"/>
  <c r="C270" i="12" s="1"/>
  <c r="E270" i="12" s="1"/>
  <c r="C271" i="12" s="1"/>
  <c r="E271" i="12" s="1"/>
  <c r="C272" i="12" s="1"/>
  <c r="E272" i="12" s="1"/>
  <c r="C273" i="12" s="1"/>
  <c r="E273" i="12" s="1"/>
  <c r="C274" i="12" s="1"/>
  <c r="E274" i="12" s="1"/>
  <c r="C275" i="12" s="1"/>
  <c r="E275" i="12" s="1"/>
  <c r="C276" i="12" s="1"/>
  <c r="E276" i="12" s="1"/>
  <c r="C277" i="12" s="1"/>
  <c r="E277" i="12" s="1"/>
  <c r="C278" i="12" s="1"/>
  <c r="E278" i="12" s="1"/>
  <c r="C279" i="12" s="1"/>
  <c r="E279" i="12" s="1"/>
  <c r="C280" i="12" s="1"/>
  <c r="E280" i="12" s="1"/>
  <c r="C281" i="12" s="1"/>
  <c r="E281" i="12" s="1"/>
  <c r="C282" i="12" s="1"/>
  <c r="E282" i="12" s="1"/>
  <c r="C283" i="12" s="1"/>
  <c r="E283" i="12" s="1"/>
  <c r="C284" i="12" s="1"/>
  <c r="E284" i="12" s="1"/>
  <c r="C285" i="12" s="1"/>
  <c r="E285" i="12" s="1"/>
  <c r="C286" i="12" s="1"/>
  <c r="E286" i="12" s="1"/>
  <c r="C287" i="12" s="1"/>
  <c r="E287" i="12" s="1"/>
  <c r="C288" i="12" s="1"/>
  <c r="E288" i="12" s="1"/>
  <c r="C289" i="12" s="1"/>
  <c r="E289" i="12" s="1"/>
  <c r="C290" i="12" s="1"/>
  <c r="E290" i="12" s="1"/>
  <c r="C291" i="12" s="1"/>
  <c r="E291" i="12" s="1"/>
  <c r="C292" i="12" s="1"/>
  <c r="E292" i="12" s="1"/>
  <c r="E121" i="12" l="1"/>
  <c r="D23" i="5"/>
  <c r="D29" i="5" s="1"/>
  <c r="B121" i="12"/>
  <c r="B172" i="12" s="1"/>
  <c r="D26" i="5"/>
  <c r="C5" i="12" s="1"/>
  <c r="D9" i="5"/>
  <c r="D20" i="3" s="1"/>
  <c r="D21" i="5"/>
  <c r="D22" i="4" s="1"/>
  <c r="D17" i="5"/>
  <c r="D21" i="4" s="1"/>
  <c r="D10" i="4"/>
  <c r="D11" i="4" s="1"/>
  <c r="D240" i="12"/>
  <c r="D241" i="12" s="1"/>
  <c r="D242" i="12" s="1"/>
  <c r="D243" i="12" s="1"/>
  <c r="D244" i="12" s="1"/>
  <c r="D245" i="12" s="1"/>
  <c r="D246" i="12" s="1"/>
  <c r="D247" i="12" s="1"/>
  <c r="D248" i="12" s="1"/>
  <c r="D249" i="12" s="1"/>
  <c r="D250" i="12" s="1"/>
  <c r="D251" i="12" s="1"/>
  <c r="D252" i="12" s="1"/>
  <c r="D253" i="12" s="1"/>
  <c r="D254" i="12" s="1"/>
  <c r="D255" i="12" s="1"/>
  <c r="D256" i="12" s="1"/>
  <c r="D257" i="12" s="1"/>
  <c r="D258" i="12" s="1"/>
  <c r="D259" i="12" s="1"/>
  <c r="D260" i="12" s="1"/>
  <c r="D261" i="12" s="1"/>
  <c r="D262" i="12" s="1"/>
  <c r="D263" i="12" s="1"/>
  <c r="D264" i="12" s="1"/>
  <c r="D265" i="12" s="1"/>
  <c r="D266" i="12" s="1"/>
  <c r="D267" i="12" s="1"/>
  <c r="D268" i="12" s="1"/>
  <c r="D269" i="12" s="1"/>
  <c r="D270" i="12" s="1"/>
  <c r="D271" i="12" s="1"/>
  <c r="D272" i="12" s="1"/>
  <c r="D273" i="12" s="1"/>
  <c r="D274" i="12" s="1"/>
  <c r="D275" i="12" s="1"/>
  <c r="D276" i="12" s="1"/>
  <c r="D277" i="12" s="1"/>
  <c r="D278" i="12" s="1"/>
  <c r="D279" i="12" s="1"/>
  <c r="D280" i="12" s="1"/>
  <c r="D281" i="12" s="1"/>
  <c r="D282" i="12" s="1"/>
  <c r="D283" i="12" s="1"/>
  <c r="D284" i="12" s="1"/>
  <c r="D285" i="12" s="1"/>
  <c r="D286" i="12" s="1"/>
  <c r="D287" i="12" s="1"/>
  <c r="D288" i="12" s="1"/>
  <c r="D289" i="12" s="1"/>
  <c r="D290" i="12" s="1"/>
  <c r="D291" i="12" s="1"/>
  <c r="B292" i="12" s="1"/>
  <c r="D35" i="4" l="1"/>
  <c r="E63" i="12" s="1"/>
  <c r="D24" i="5"/>
  <c r="D25" i="5" s="1"/>
  <c r="B5" i="12" s="1"/>
  <c r="B134" i="12"/>
  <c r="B173" i="12"/>
  <c r="B137" i="12"/>
  <c r="B140" i="12"/>
  <c r="B157" i="12"/>
  <c r="B129" i="12"/>
  <c r="B160" i="12"/>
  <c r="B146" i="12"/>
  <c r="B132" i="12"/>
  <c r="B174" i="12"/>
  <c r="B175" i="12"/>
  <c r="B162" i="12"/>
  <c r="B126" i="12"/>
  <c r="B165" i="12"/>
  <c r="B149" i="12"/>
  <c r="B135" i="12"/>
  <c r="B124" i="12"/>
  <c r="B152" i="12"/>
  <c r="B138" i="12"/>
  <c r="B130" i="12"/>
  <c r="B151" i="12"/>
  <c r="B123" i="12"/>
  <c r="C123" i="12" s="1"/>
  <c r="E123" i="12" s="1"/>
  <c r="C124" i="12" s="1"/>
  <c r="E124" i="12" s="1"/>
  <c r="B168" i="12"/>
  <c r="B155" i="12"/>
  <c r="B154" i="12"/>
  <c r="D27" i="5"/>
  <c r="D28" i="5" s="1"/>
  <c r="B143" i="12"/>
  <c r="B171" i="12"/>
  <c r="B144" i="12"/>
  <c r="B133" i="12"/>
  <c r="B161" i="12"/>
  <c r="B139" i="12"/>
  <c r="B150" i="12"/>
  <c r="B167" i="12"/>
  <c r="B145" i="12"/>
  <c r="B147" i="12"/>
  <c r="B125" i="12"/>
  <c r="B164" i="12"/>
  <c r="B142" i="12"/>
  <c r="B128" i="12"/>
  <c r="B156" i="12"/>
  <c r="B131" i="12"/>
  <c r="B170" i="12"/>
  <c r="B159" i="12"/>
  <c r="B148" i="12"/>
  <c r="B163" i="12"/>
  <c r="B158" i="12"/>
  <c r="B141" i="12"/>
  <c r="B127" i="12"/>
  <c r="B166" i="12"/>
  <c r="B169" i="12"/>
  <c r="B153" i="12"/>
  <c r="B136" i="12"/>
  <c r="D292" i="12"/>
  <c r="F292" i="12"/>
  <c r="G237" i="12" s="1"/>
  <c r="C125" i="12" l="1"/>
  <c r="E125" i="12" s="1"/>
  <c r="C126" i="12" s="1"/>
  <c r="E126" i="12" s="1"/>
  <c r="C127" i="12" s="1"/>
  <c r="E127" i="12" s="1"/>
  <c r="C128" i="12" s="1"/>
  <c r="E128" i="12" s="1"/>
  <c r="C129" i="12" s="1"/>
  <c r="E129" i="12" s="1"/>
  <c r="C130" i="12" s="1"/>
  <c r="E130" i="12" s="1"/>
  <c r="C131" i="12" s="1"/>
  <c r="E131" i="12" s="1"/>
  <c r="C132" i="12" s="1"/>
  <c r="E132" i="12" s="1"/>
  <c r="C133" i="12" s="1"/>
  <c r="E133" i="12" s="1"/>
  <c r="C134" i="12" s="1"/>
  <c r="E134" i="12" s="1"/>
  <c r="C135" i="12" s="1"/>
  <c r="E135" i="12" s="1"/>
  <c r="C136" i="12" s="1"/>
  <c r="E136" i="12" s="1"/>
  <c r="C137" i="12" s="1"/>
  <c r="E137" i="12" s="1"/>
  <c r="C138" i="12" s="1"/>
  <c r="E138" i="12" s="1"/>
  <c r="C139" i="12" s="1"/>
  <c r="E139" i="12" s="1"/>
  <c r="C140" i="12" s="1"/>
  <c r="E140" i="12" s="1"/>
  <c r="C141" i="12" s="1"/>
  <c r="E141" i="12" s="1"/>
  <c r="C142" i="12" s="1"/>
  <c r="E142" i="12" s="1"/>
  <c r="C143" i="12" s="1"/>
  <c r="E143" i="12" s="1"/>
  <c r="C144" i="12" s="1"/>
  <c r="E144" i="12" s="1"/>
  <c r="C145" i="12" s="1"/>
  <c r="E145" i="12" s="1"/>
  <c r="C146" i="12" s="1"/>
  <c r="E146" i="12" s="1"/>
  <c r="C147" i="12" s="1"/>
  <c r="E147" i="12" s="1"/>
  <c r="C148" i="12" s="1"/>
  <c r="E148" i="12" s="1"/>
  <c r="C149" i="12" s="1"/>
  <c r="E149" i="12" s="1"/>
  <c r="C150" i="12" s="1"/>
  <c r="E150" i="12" s="1"/>
  <c r="C151" i="12" s="1"/>
  <c r="E151" i="12" s="1"/>
  <c r="C152" i="12" s="1"/>
  <c r="E152" i="12" s="1"/>
  <c r="C153" i="12" s="1"/>
  <c r="E153" i="12" s="1"/>
  <c r="C154" i="12" s="1"/>
  <c r="E154" i="12" s="1"/>
  <c r="C155" i="12" s="1"/>
  <c r="E155" i="12" s="1"/>
  <c r="C156" i="12" s="1"/>
  <c r="E156" i="12" s="1"/>
  <c r="C157" i="12" s="1"/>
  <c r="E157" i="12" s="1"/>
  <c r="C158" i="12" s="1"/>
  <c r="E158" i="12" s="1"/>
  <c r="C159" i="12" s="1"/>
  <c r="E159" i="12" s="1"/>
  <c r="C160" i="12" s="1"/>
  <c r="E160" i="12" s="1"/>
  <c r="C161" i="12" s="1"/>
  <c r="E161" i="12" s="1"/>
  <c r="C162" i="12" s="1"/>
  <c r="E162" i="12" s="1"/>
  <c r="C163" i="12" s="1"/>
  <c r="E163" i="12" s="1"/>
  <c r="C164" i="12" s="1"/>
  <c r="E164" i="12" s="1"/>
  <c r="C165" i="12" s="1"/>
  <c r="E165" i="12" s="1"/>
  <c r="C166" i="12" s="1"/>
  <c r="E166" i="12" s="1"/>
  <c r="C167" i="12" s="1"/>
  <c r="E167" i="12" s="1"/>
  <c r="C168" i="12" s="1"/>
  <c r="E168" i="12" s="1"/>
  <c r="C169" i="12" s="1"/>
  <c r="E169" i="12" s="1"/>
  <c r="C170" i="12" s="1"/>
  <c r="E170" i="12" s="1"/>
  <c r="C171" i="12" s="1"/>
  <c r="E171" i="12" s="1"/>
  <c r="C172" i="12" s="1"/>
  <c r="E172" i="12" s="1"/>
  <c r="C173" i="12" s="1"/>
  <c r="E173" i="12" s="1"/>
  <c r="C174" i="12" s="1"/>
  <c r="E174" i="12" s="1"/>
  <c r="C175" i="12" s="1"/>
  <c r="E175" i="12" s="1"/>
  <c r="C176" i="12" s="1"/>
  <c r="E176" i="12" s="1"/>
  <c r="B63" i="12"/>
  <c r="B99" i="12" s="1"/>
  <c r="H11" i="2"/>
  <c r="F12" i="2" s="1"/>
  <c r="E5" i="12"/>
  <c r="D123" i="12"/>
  <c r="D124" i="12" s="1"/>
  <c r="F5" i="12"/>
  <c r="D5" i="12"/>
  <c r="B57" i="12"/>
  <c r="B54" i="12"/>
  <c r="B51" i="12"/>
  <c r="B48" i="12"/>
  <c r="B45" i="12"/>
  <c r="B42" i="12"/>
  <c r="B39" i="12"/>
  <c r="B36" i="12"/>
  <c r="B33" i="12"/>
  <c r="B30" i="12"/>
  <c r="B27" i="12"/>
  <c r="B24" i="12"/>
  <c r="B21" i="12"/>
  <c r="B18" i="12"/>
  <c r="B15" i="12"/>
  <c r="B12" i="12"/>
  <c r="B9" i="12"/>
  <c r="B59" i="12"/>
  <c r="B56" i="12"/>
  <c r="B53" i="12"/>
  <c r="B50" i="12"/>
  <c r="B47" i="12"/>
  <c r="B44" i="12"/>
  <c r="B41" i="12"/>
  <c r="B35" i="12"/>
  <c r="B20" i="12"/>
  <c r="B11" i="12"/>
  <c r="B13" i="12"/>
  <c r="B17" i="12"/>
  <c r="B29" i="12"/>
  <c r="B7" i="12"/>
  <c r="C7" i="12" s="1"/>
  <c r="B58" i="12"/>
  <c r="B49" i="12"/>
  <c r="B40" i="12"/>
  <c r="B34" i="12"/>
  <c r="B46" i="12"/>
  <c r="B8" i="12"/>
  <c r="B43" i="12"/>
  <c r="B19" i="12"/>
  <c r="B10" i="12"/>
  <c r="B55" i="12"/>
  <c r="B28" i="12"/>
  <c r="B23" i="12"/>
  <c r="B14" i="12"/>
  <c r="B38" i="12"/>
  <c r="B22" i="12"/>
  <c r="B32" i="12"/>
  <c r="B26" i="12"/>
  <c r="B37" i="12"/>
  <c r="B52" i="12"/>
  <c r="B31" i="12"/>
  <c r="B25" i="12"/>
  <c r="B16" i="12"/>
  <c r="B102" i="12" l="1"/>
  <c r="B96" i="12"/>
  <c r="B87" i="12"/>
  <c r="B115" i="12"/>
  <c r="B110" i="12"/>
  <c r="B112" i="12"/>
  <c r="B83" i="12"/>
  <c r="B111" i="12"/>
  <c r="B85" i="12"/>
  <c r="B97" i="12"/>
  <c r="B66" i="12"/>
  <c r="B81" i="12"/>
  <c r="B72" i="12"/>
  <c r="B70" i="12"/>
  <c r="B113" i="12"/>
  <c r="D125" i="12"/>
  <c r="D126" i="12" s="1"/>
  <c r="D127" i="12" s="1"/>
  <c r="D128" i="12" s="1"/>
  <c r="D129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D175" i="12" s="1"/>
  <c r="B176" i="12" s="1"/>
  <c r="D28" i="3" s="1"/>
  <c r="B114" i="12"/>
  <c r="B69" i="12"/>
  <c r="B90" i="12"/>
  <c r="B82" i="12"/>
  <c r="B67" i="12"/>
  <c r="B109" i="12"/>
  <c r="B105" i="12"/>
  <c r="B108" i="12"/>
  <c r="B116" i="12"/>
  <c r="B74" i="12"/>
  <c r="B79" i="12"/>
  <c r="B94" i="12"/>
  <c r="B68" i="12"/>
  <c r="B75" i="12"/>
  <c r="B106" i="12"/>
  <c r="B88" i="12"/>
  <c r="B65" i="12"/>
  <c r="C65" i="12" s="1"/>
  <c r="E65" i="12" s="1"/>
  <c r="B98" i="12"/>
  <c r="B86" i="12"/>
  <c r="B101" i="12"/>
  <c r="B117" i="12"/>
  <c r="B104" i="12"/>
  <c r="B89" i="12"/>
  <c r="B91" i="12"/>
  <c r="B80" i="12"/>
  <c r="B77" i="12"/>
  <c r="B76" i="12"/>
  <c r="B73" i="12"/>
  <c r="B71" i="12"/>
  <c r="B84" i="12"/>
  <c r="B107" i="12"/>
  <c r="B78" i="12"/>
  <c r="B95" i="12"/>
  <c r="B103" i="12"/>
  <c r="B92" i="12"/>
  <c r="B100" i="12"/>
  <c r="B93" i="12"/>
  <c r="E7" i="12"/>
  <c r="C8" i="12" s="1"/>
  <c r="E8" i="12" s="1"/>
  <c r="C9" i="12" s="1"/>
  <c r="E9" i="12" s="1"/>
  <c r="C10" i="12" s="1"/>
  <c r="E10" i="12" s="1"/>
  <c r="C11" i="12" s="1"/>
  <c r="E11" i="12" s="1"/>
  <c r="C12" i="12" s="1"/>
  <c r="E12" i="12" s="1"/>
  <c r="C13" i="12" s="1"/>
  <c r="E13" i="12" s="1"/>
  <c r="C14" i="12" s="1"/>
  <c r="E14" i="12" s="1"/>
  <c r="C15" i="12" s="1"/>
  <c r="E15" i="12" s="1"/>
  <c r="C16" i="12" s="1"/>
  <c r="E16" i="12" s="1"/>
  <c r="C17" i="12" s="1"/>
  <c r="E17" i="12" s="1"/>
  <c r="C18" i="12" s="1"/>
  <c r="E18" i="12" s="1"/>
  <c r="C19" i="12" s="1"/>
  <c r="E19" i="12" s="1"/>
  <c r="C20" i="12" s="1"/>
  <c r="E20" i="12" s="1"/>
  <c r="C21" i="12" s="1"/>
  <c r="E21" i="12" s="1"/>
  <c r="C22" i="12" s="1"/>
  <c r="E22" i="12" s="1"/>
  <c r="C23" i="12" s="1"/>
  <c r="E23" i="12" s="1"/>
  <c r="C24" i="12" s="1"/>
  <c r="E24" i="12" s="1"/>
  <c r="C25" i="12" s="1"/>
  <c r="E25" i="12" s="1"/>
  <c r="C26" i="12" s="1"/>
  <c r="E26" i="12" s="1"/>
  <c r="C27" i="12" s="1"/>
  <c r="E27" i="12" s="1"/>
  <c r="C28" i="12" s="1"/>
  <c r="E28" i="12" s="1"/>
  <c r="C29" i="12" s="1"/>
  <c r="E29" i="12" s="1"/>
  <c r="C30" i="12" s="1"/>
  <c r="E30" i="12" s="1"/>
  <c r="C31" i="12" s="1"/>
  <c r="E31" i="12" s="1"/>
  <c r="C32" i="12" s="1"/>
  <c r="E32" i="12" s="1"/>
  <c r="C33" i="12" s="1"/>
  <c r="E33" i="12" s="1"/>
  <c r="C34" i="12" s="1"/>
  <c r="E34" i="12" s="1"/>
  <c r="C35" i="12" s="1"/>
  <c r="E35" i="12" s="1"/>
  <c r="C36" i="12" s="1"/>
  <c r="E36" i="12" s="1"/>
  <c r="C37" i="12" s="1"/>
  <c r="E37" i="12" s="1"/>
  <c r="C38" i="12" s="1"/>
  <c r="E38" i="12" s="1"/>
  <c r="C39" i="12" s="1"/>
  <c r="E39" i="12" s="1"/>
  <c r="C40" i="12" s="1"/>
  <c r="E40" i="12" s="1"/>
  <c r="C41" i="12" s="1"/>
  <c r="E41" i="12" s="1"/>
  <c r="C42" i="12" s="1"/>
  <c r="E42" i="12" s="1"/>
  <c r="C43" i="12" s="1"/>
  <c r="E43" i="12" s="1"/>
  <c r="C44" i="12" s="1"/>
  <c r="E44" i="12" s="1"/>
  <c r="C45" i="12" s="1"/>
  <c r="E45" i="12" s="1"/>
  <c r="C46" i="12" s="1"/>
  <c r="E46" i="12" s="1"/>
  <c r="C47" i="12" s="1"/>
  <c r="E47" i="12" s="1"/>
  <c r="C48" i="12" s="1"/>
  <c r="E48" i="12" s="1"/>
  <c r="C49" i="12" s="1"/>
  <c r="E49" i="12" s="1"/>
  <c r="C50" i="12" s="1"/>
  <c r="E50" i="12" s="1"/>
  <c r="C51" i="12" s="1"/>
  <c r="E51" i="12" s="1"/>
  <c r="C52" i="12" s="1"/>
  <c r="E52" i="12" s="1"/>
  <c r="C53" i="12" s="1"/>
  <c r="E53" i="12" s="1"/>
  <c r="C54" i="12" s="1"/>
  <c r="E54" i="12" s="1"/>
  <c r="C55" i="12" s="1"/>
  <c r="E55" i="12" s="1"/>
  <c r="C56" i="12" s="1"/>
  <c r="E56" i="12" s="1"/>
  <c r="C57" i="12" s="1"/>
  <c r="E57" i="12" s="1"/>
  <c r="C58" i="12" s="1"/>
  <c r="E58" i="12" s="1"/>
  <c r="C59" i="12" s="1"/>
  <c r="E59" i="12" s="1"/>
  <c r="C60" i="12" s="1"/>
  <c r="E60" i="12" s="1"/>
  <c r="D7" i="12"/>
  <c r="C66" i="12" l="1"/>
  <c r="E66" i="12" s="1"/>
  <c r="C67" i="12" s="1"/>
  <c r="E67" i="12" s="1"/>
  <c r="C68" i="12" s="1"/>
  <c r="E68" i="12" s="1"/>
  <c r="C69" i="12" s="1"/>
  <c r="E69" i="12" s="1"/>
  <c r="C70" i="12" s="1"/>
  <c r="E70" i="12" s="1"/>
  <c r="C71" i="12" s="1"/>
  <c r="E71" i="12" s="1"/>
  <c r="C72" i="12" s="1"/>
  <c r="E72" i="12" s="1"/>
  <c r="C73" i="12" s="1"/>
  <c r="E73" i="12" s="1"/>
  <c r="C74" i="12" s="1"/>
  <c r="E74" i="12" s="1"/>
  <c r="C75" i="12" s="1"/>
  <c r="E75" i="12" s="1"/>
  <c r="C76" i="12" s="1"/>
  <c r="E76" i="12" s="1"/>
  <c r="C77" i="12" s="1"/>
  <c r="E77" i="12" s="1"/>
  <c r="C78" i="12" s="1"/>
  <c r="E78" i="12" s="1"/>
  <c r="C79" i="12" s="1"/>
  <c r="E79" i="12" s="1"/>
  <c r="C80" i="12" s="1"/>
  <c r="E80" i="12" s="1"/>
  <c r="C81" i="12" s="1"/>
  <c r="E81" i="12" s="1"/>
  <c r="C82" i="12" s="1"/>
  <c r="E82" i="12" s="1"/>
  <c r="C83" i="12" s="1"/>
  <c r="E83" i="12" s="1"/>
  <c r="C84" i="12" s="1"/>
  <c r="E84" i="12" s="1"/>
  <c r="C85" i="12" s="1"/>
  <c r="E85" i="12" s="1"/>
  <c r="C86" i="12" s="1"/>
  <c r="E86" i="12" s="1"/>
  <c r="C87" i="12" s="1"/>
  <c r="E87" i="12" s="1"/>
  <c r="C88" i="12" s="1"/>
  <c r="E88" i="12" s="1"/>
  <c r="C89" i="12" s="1"/>
  <c r="E89" i="12" s="1"/>
  <c r="C90" i="12" s="1"/>
  <c r="E90" i="12" s="1"/>
  <c r="C91" i="12" s="1"/>
  <c r="E91" i="12" s="1"/>
  <c r="C92" i="12" s="1"/>
  <c r="E92" i="12" s="1"/>
  <c r="C93" i="12" s="1"/>
  <c r="E93" i="12" s="1"/>
  <c r="C94" i="12" s="1"/>
  <c r="E94" i="12" s="1"/>
  <c r="C95" i="12" s="1"/>
  <c r="E95" i="12" s="1"/>
  <c r="C96" i="12" s="1"/>
  <c r="E96" i="12" s="1"/>
  <c r="C97" i="12" s="1"/>
  <c r="E97" i="12" s="1"/>
  <c r="C98" i="12" s="1"/>
  <c r="E98" i="12" s="1"/>
  <c r="C99" i="12" s="1"/>
  <c r="E99" i="12" s="1"/>
  <c r="C100" i="12" s="1"/>
  <c r="E100" i="12" s="1"/>
  <c r="C101" i="12" s="1"/>
  <c r="E101" i="12" s="1"/>
  <c r="C102" i="12" s="1"/>
  <c r="E102" i="12" s="1"/>
  <c r="C103" i="12" s="1"/>
  <c r="E103" i="12" s="1"/>
  <c r="C104" i="12" s="1"/>
  <c r="E104" i="12" s="1"/>
  <c r="C105" i="12" s="1"/>
  <c r="E105" i="12" s="1"/>
  <c r="C106" i="12" s="1"/>
  <c r="E106" i="12" s="1"/>
  <c r="C107" i="12" s="1"/>
  <c r="E107" i="12" s="1"/>
  <c r="C108" i="12" s="1"/>
  <c r="E108" i="12" s="1"/>
  <c r="C109" i="12" s="1"/>
  <c r="E109" i="12" s="1"/>
  <c r="C110" i="12" s="1"/>
  <c r="E110" i="12" s="1"/>
  <c r="C111" i="12" s="1"/>
  <c r="E111" i="12" s="1"/>
  <c r="C112" i="12" s="1"/>
  <c r="E112" i="12" s="1"/>
  <c r="C113" i="12" s="1"/>
  <c r="E113" i="12" s="1"/>
  <c r="C114" i="12" s="1"/>
  <c r="E114" i="12" s="1"/>
  <c r="C115" i="12" s="1"/>
  <c r="E115" i="12" s="1"/>
  <c r="C116" i="12" s="1"/>
  <c r="E116" i="12" s="1"/>
  <c r="C117" i="12" s="1"/>
  <c r="E117" i="12" s="1"/>
  <c r="C118" i="12" s="1"/>
  <c r="E118" i="12" s="1"/>
  <c r="D176" i="12"/>
  <c r="F176" i="12"/>
  <c r="G121" i="12" s="1"/>
  <c r="D65" i="12"/>
  <c r="D8" i="12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B60" i="12" s="1"/>
  <c r="D30" i="5" s="1"/>
  <c r="D13" i="5" s="1"/>
  <c r="D14" i="5" s="1"/>
  <c r="D21" i="3" s="1"/>
  <c r="B179" i="12"/>
  <c r="E179" i="12"/>
  <c r="D66" i="12" l="1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D94" i="12" s="1"/>
  <c r="D95" i="12" s="1"/>
  <c r="D96" i="12" s="1"/>
  <c r="D97" i="12" s="1"/>
  <c r="D98" i="12" s="1"/>
  <c r="D99" i="12" s="1"/>
  <c r="D100" i="12" s="1"/>
  <c r="D101" i="12" s="1"/>
  <c r="D102" i="12" s="1"/>
  <c r="D103" i="12" s="1"/>
  <c r="D104" i="12" s="1"/>
  <c r="D105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B118" i="12" s="1"/>
  <c r="F118" i="12" s="1"/>
  <c r="G63" i="12" s="1"/>
  <c r="D60" i="12"/>
  <c r="F60" i="12"/>
  <c r="B232" i="12"/>
  <c r="B229" i="12"/>
  <c r="B226" i="12"/>
  <c r="B223" i="12"/>
  <c r="B220" i="12"/>
  <c r="B217" i="12"/>
  <c r="B214" i="12"/>
  <c r="B211" i="12"/>
  <c r="B208" i="12"/>
  <c r="B205" i="12"/>
  <c r="B202" i="12"/>
  <c r="B199" i="12"/>
  <c r="B196" i="12"/>
  <c r="B193" i="12"/>
  <c r="B190" i="12"/>
  <c r="B187" i="12"/>
  <c r="B184" i="12"/>
  <c r="B181" i="12"/>
  <c r="C181" i="12" s="1"/>
  <c r="B231" i="12"/>
  <c r="B228" i="12"/>
  <c r="B225" i="12"/>
  <c r="B222" i="12"/>
  <c r="B219" i="12"/>
  <c r="B216" i="12"/>
  <c r="B213" i="12"/>
  <c r="B210" i="12"/>
  <c r="B207" i="12"/>
  <c r="B204" i="12"/>
  <c r="B201" i="12"/>
  <c r="B198" i="12"/>
  <c r="B195" i="12"/>
  <c r="B192" i="12"/>
  <c r="B189" i="12"/>
  <c r="B186" i="12"/>
  <c r="B183" i="12"/>
  <c r="B203" i="12"/>
  <c r="B200" i="12"/>
  <c r="B233" i="12"/>
  <c r="B197" i="12"/>
  <c r="B230" i="12"/>
  <c r="B194" i="12"/>
  <c r="B227" i="12"/>
  <c r="B191" i="12"/>
  <c r="B209" i="12"/>
  <c r="B224" i="12"/>
  <c r="B188" i="12"/>
  <c r="B221" i="12"/>
  <c r="B185" i="12"/>
  <c r="B218" i="12"/>
  <c r="B182" i="12"/>
  <c r="B215" i="12"/>
  <c r="B212" i="12"/>
  <c r="B206" i="12"/>
  <c r="D36" i="4" l="1"/>
  <c r="D37" i="4" s="1"/>
  <c r="D24" i="3" s="1"/>
  <c r="D118" i="12"/>
  <c r="D181" i="12"/>
  <c r="E181" i="12"/>
  <c r="C182" i="12" s="1"/>
  <c r="E182" i="12" s="1"/>
  <c r="C183" i="12" s="1"/>
  <c r="E183" i="12" s="1"/>
  <c r="C184" i="12" s="1"/>
  <c r="E184" i="12" s="1"/>
  <c r="C185" i="12" s="1"/>
  <c r="E185" i="12" s="1"/>
  <c r="C186" i="12" s="1"/>
  <c r="E186" i="12" s="1"/>
  <c r="C187" i="12" s="1"/>
  <c r="E187" i="12" s="1"/>
  <c r="C188" i="12" s="1"/>
  <c r="E188" i="12" s="1"/>
  <c r="C189" i="12" s="1"/>
  <c r="E189" i="12" s="1"/>
  <c r="C190" i="12" s="1"/>
  <c r="E190" i="12" s="1"/>
  <c r="C191" i="12" s="1"/>
  <c r="E191" i="12" s="1"/>
  <c r="C192" i="12" s="1"/>
  <c r="E192" i="12" s="1"/>
  <c r="C193" i="12" s="1"/>
  <c r="E193" i="12" s="1"/>
  <c r="C194" i="12" s="1"/>
  <c r="E194" i="12" s="1"/>
  <c r="C195" i="12" s="1"/>
  <c r="E195" i="12" s="1"/>
  <c r="C196" i="12" s="1"/>
  <c r="E196" i="12" s="1"/>
  <c r="C197" i="12" s="1"/>
  <c r="E197" i="12" s="1"/>
  <c r="C198" i="12" s="1"/>
  <c r="E198" i="12" s="1"/>
  <c r="C199" i="12" s="1"/>
  <c r="E199" i="12" s="1"/>
  <c r="C200" i="12" s="1"/>
  <c r="E200" i="12" s="1"/>
  <c r="C201" i="12" s="1"/>
  <c r="E201" i="12" s="1"/>
  <c r="C202" i="12" s="1"/>
  <c r="E202" i="12" s="1"/>
  <c r="C203" i="12" s="1"/>
  <c r="E203" i="12" s="1"/>
  <c r="C204" i="12" s="1"/>
  <c r="E204" i="12" s="1"/>
  <c r="C205" i="12" s="1"/>
  <c r="E205" i="12" s="1"/>
  <c r="C206" i="12" s="1"/>
  <c r="E206" i="12" s="1"/>
  <c r="C207" i="12" s="1"/>
  <c r="E207" i="12" s="1"/>
  <c r="C208" i="12" s="1"/>
  <c r="E208" i="12" s="1"/>
  <c r="C209" i="12" s="1"/>
  <c r="E209" i="12" s="1"/>
  <c r="C210" i="12" s="1"/>
  <c r="E210" i="12" s="1"/>
  <c r="C211" i="12" s="1"/>
  <c r="E211" i="12" s="1"/>
  <c r="C212" i="12" s="1"/>
  <c r="E212" i="12" s="1"/>
  <c r="C213" i="12" s="1"/>
  <c r="E213" i="12" s="1"/>
  <c r="C214" i="12" s="1"/>
  <c r="E214" i="12" s="1"/>
  <c r="C215" i="12" s="1"/>
  <c r="E215" i="12" s="1"/>
  <c r="C216" i="12" s="1"/>
  <c r="E216" i="12" s="1"/>
  <c r="C217" i="12" s="1"/>
  <c r="E217" i="12" s="1"/>
  <c r="C218" i="12" s="1"/>
  <c r="E218" i="12" s="1"/>
  <c r="C219" i="12" s="1"/>
  <c r="E219" i="12" s="1"/>
  <c r="C220" i="12" s="1"/>
  <c r="E220" i="12" s="1"/>
  <c r="C221" i="12" s="1"/>
  <c r="E221" i="12" s="1"/>
  <c r="C222" i="12" s="1"/>
  <c r="E222" i="12" s="1"/>
  <c r="C223" i="12" s="1"/>
  <c r="E223" i="12" s="1"/>
  <c r="C224" i="12" s="1"/>
  <c r="E224" i="12" s="1"/>
  <c r="C225" i="12" s="1"/>
  <c r="E225" i="12" s="1"/>
  <c r="C226" i="12" s="1"/>
  <c r="E226" i="12" s="1"/>
  <c r="C227" i="12" s="1"/>
  <c r="E227" i="12" s="1"/>
  <c r="C228" i="12" s="1"/>
  <c r="E228" i="12" s="1"/>
  <c r="C229" i="12" s="1"/>
  <c r="E229" i="12" s="1"/>
  <c r="C230" i="12" s="1"/>
  <c r="E230" i="12" s="1"/>
  <c r="C231" i="12" s="1"/>
  <c r="E231" i="12" s="1"/>
  <c r="C232" i="12" s="1"/>
  <c r="E232" i="12" s="1"/>
  <c r="C233" i="12" s="1"/>
  <c r="E233" i="12" s="1"/>
  <c r="C234" i="12" s="1"/>
  <c r="E234" i="12" s="1"/>
  <c r="G5" i="12"/>
  <c r="D182" i="12" l="1"/>
  <c r="D183" i="12" s="1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 s="1"/>
  <c r="D196" i="12" s="1"/>
  <c r="D197" i="12" s="1"/>
  <c r="D198" i="12" s="1"/>
  <c r="D199" i="12" s="1"/>
  <c r="D200" i="12" s="1"/>
  <c r="D201" i="12" s="1"/>
  <c r="D202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D213" i="12" s="1"/>
  <c r="D214" i="12" s="1"/>
  <c r="D215" i="12" s="1"/>
  <c r="D216" i="12" s="1"/>
  <c r="D217" i="12" s="1"/>
  <c r="D218" i="12" s="1"/>
  <c r="D219" i="12" s="1"/>
  <c r="D220" i="12" s="1"/>
  <c r="D221" i="12" s="1"/>
  <c r="D222" i="12" s="1"/>
  <c r="D223" i="12" s="1"/>
  <c r="D224" i="12" s="1"/>
  <c r="D225" i="12" s="1"/>
  <c r="D226" i="12" s="1"/>
  <c r="D227" i="12" s="1"/>
  <c r="D228" i="12" s="1"/>
  <c r="D229" i="12" s="1"/>
  <c r="D230" i="12" s="1"/>
  <c r="D231" i="12" s="1"/>
  <c r="D232" i="12" s="1"/>
  <c r="D233" i="12" s="1"/>
  <c r="B234" i="12" s="1"/>
  <c r="D234" i="12" l="1"/>
  <c r="D30" i="3" s="1"/>
  <c r="D31" i="3" s="1"/>
  <c r="D32" i="3" s="1"/>
  <c r="D17" i="3" s="1"/>
  <c r="D19" i="3" s="1"/>
  <c r="D23" i="3" s="1"/>
  <c r="F234" i="12"/>
  <c r="G179" i="12" l="1"/>
  <c r="I1" i="12"/>
  <c r="D25" i="3"/>
  <c r="G5" i="3"/>
  <c r="D5" i="3" l="1"/>
  <c r="G8" i="3" s="1"/>
  <c r="G9" i="3" s="1"/>
  <c r="G6" i="3"/>
  <c r="I8" i="12"/>
  <c r="F14" i="1"/>
  <c r="G10" i="3" l="1"/>
  <c r="D6" i="3" s="1"/>
  <c r="D10" i="3" s="1"/>
  <c r="E14" i="11"/>
  <c r="E27" i="11"/>
  <c r="C36" i="11"/>
  <c r="A29" i="11"/>
  <c r="E24" i="11"/>
  <c r="C35" i="11"/>
  <c r="C11" i="11"/>
  <c r="A13" i="11"/>
  <c r="C21" i="11"/>
  <c r="C9" i="11"/>
  <c r="E29" i="11"/>
  <c r="E5" i="11"/>
  <c r="A21" i="11"/>
  <c r="E25" i="11"/>
  <c r="E7" i="11"/>
  <c r="C14" i="11"/>
  <c r="C30" i="11"/>
  <c r="B5" i="11"/>
  <c r="C29" i="11"/>
  <c r="E20" i="11"/>
  <c r="C13" i="11"/>
  <c r="A22" i="11"/>
  <c r="C20" i="11"/>
  <c r="A16" i="11"/>
  <c r="A27" i="11"/>
  <c r="A20" i="11"/>
  <c r="E23" i="11"/>
  <c r="C24" i="11"/>
  <c r="C26" i="11"/>
  <c r="E17" i="11"/>
  <c r="F6" i="1"/>
  <c r="A1" i="11"/>
  <c r="A18" i="11"/>
  <c r="C32" i="11"/>
  <c r="C27" i="11"/>
  <c r="A25" i="11"/>
  <c r="A14" i="11"/>
  <c r="A26" i="11"/>
  <c r="C5" i="11"/>
  <c r="E13" i="11"/>
  <c r="C10" i="11"/>
  <c r="C25" i="11"/>
  <c r="C7" i="11"/>
  <c r="C6" i="11"/>
  <c r="E21" i="11"/>
  <c r="C28" i="11"/>
  <c r="C22" i="11"/>
  <c r="A32" i="11"/>
  <c r="F7" i="1"/>
  <c r="C31" i="11"/>
  <c r="C18" i="11"/>
  <c r="E19" i="11"/>
  <c r="C33" i="11"/>
  <c r="E12" i="11"/>
  <c r="E18" i="11"/>
  <c r="C16" i="11"/>
  <c r="E30" i="11"/>
  <c r="A17" i="11"/>
  <c r="C15" i="11"/>
  <c r="A19" i="11"/>
  <c r="E9" i="11"/>
  <c r="A23" i="11"/>
  <c r="A10" i="11"/>
  <c r="A24" i="11"/>
  <c r="A15" i="11"/>
  <c r="C37" i="11"/>
  <c r="E16" i="11"/>
  <c r="A28" i="11"/>
  <c r="C17" i="11"/>
  <c r="E26" i="11"/>
  <c r="E11" i="11"/>
  <c r="C23" i="11"/>
  <c r="C12" i="11"/>
  <c r="E8" i="11"/>
  <c r="A31" i="11"/>
  <c r="A2" i="11"/>
  <c r="A5" i="11"/>
  <c r="E6" i="11"/>
  <c r="C19" i="11"/>
  <c r="E28" i="11"/>
  <c r="C34" i="11"/>
  <c r="E10" i="11"/>
  <c r="C8" i="11"/>
  <c r="F8" i="1"/>
  <c r="A30" i="11"/>
  <c r="E15" i="11"/>
  <c r="E22" i="11"/>
  <c r="D9" i="3"/>
  <c r="A6" i="11" l="1"/>
  <c r="D7" i="3"/>
  <c r="A7" i="11" s="1"/>
  <c r="A9" i="11"/>
  <c r="D11" i="3" l="1"/>
  <c r="D8" i="3"/>
  <c r="A8" i="11" s="1"/>
  <c r="A11" i="11" l="1"/>
  <c r="D12" i="3"/>
  <c r="A12" i="11" l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8" authorId="0" shapeId="0" xr:uid="{C1F87404-31C5-4EDC-9088-21DC4A144BEA}">
      <text>
        <r>
          <rPr>
            <b/>
            <sz val="9"/>
            <color indexed="81"/>
            <rFont val="MS P ゴシック"/>
            <family val="3"/>
            <charset val="128"/>
          </rPr>
          <t>法人税法67条7項・国税通則法10条に従い、応当日がない月は月末を満了日とし、1月未満の端数を1月に切り上げます。</t>
        </r>
      </text>
    </comment>
    <comment ref="D9" authorId="0" shapeId="0" xr:uid="{8F51ABF2-1085-4D79-9A29-9749FCCAC03B}">
      <text>
        <r>
          <rPr>
            <b/>
            <sz val="9"/>
            <color indexed="81"/>
            <rFont val="MS P ゴシック"/>
            <family val="3"/>
            <charset val="128"/>
          </rPr>
          <t>措置法42条の12の5第2項</t>
        </r>
      </text>
    </comment>
    <comment ref="D11" authorId="0" shapeId="0" xr:uid="{D6BDD5F1-15D4-4EE4-8BAA-8B381C520C13}">
      <text>
        <r>
          <rPr>
            <b/>
            <sz val="9"/>
            <color indexed="81"/>
            <rFont val="MS P ゴシック"/>
            <family val="3"/>
            <charset val="128"/>
          </rPr>
          <t>別表二「同族会社等の判定に関する明細書」の判定結果18を転記。未確認・いいえの間は最終結果と帳票印字を停止します。</t>
        </r>
      </text>
    </comment>
    <comment ref="D15" authorId="0" shapeId="0" xr:uid="{F6447B21-9C34-40D1-9236-ADD2AC9524D4}">
      <text>
        <r>
          <rPr>
            <b/>
            <sz val="9"/>
            <color indexed="81"/>
            <rFont val="MS P ゴシック"/>
            <family val="3"/>
            <charset val="128"/>
          </rPr>
          <t>別表四「52の②」
別表四の留保所得金額又は欠損金額を符号付きで転記（欠損は負数可）</t>
        </r>
      </text>
    </comment>
    <comment ref="D16" authorId="0" shapeId="0" xr:uid="{2CB5D885-BA69-4CCF-9C7C-29D5A49AA5F7}">
      <text>
        <r>
          <rPr>
            <b/>
            <sz val="9"/>
            <color indexed="81"/>
            <rFont val="MS P ゴシック"/>
            <family val="3"/>
            <charset val="128"/>
          </rPr>
          <t>別表十(六)「15」
該当がなければ0</t>
        </r>
      </text>
    </comment>
    <comment ref="D17" authorId="0" shapeId="0" xr:uid="{9C6BD6E4-D062-4958-A160-920711270D50}">
      <text>
        <r>
          <rPr>
            <b/>
            <sz val="9"/>
            <color indexed="81"/>
            <rFont val="MS P ゴシック"/>
            <family val="3"/>
            <charset val="128"/>
          </rPr>
          <t>別表四「17」
当期留保金額で主表9から減算</t>
        </r>
      </text>
    </comment>
    <comment ref="D18" authorId="0" shapeId="0" xr:uid="{0FD76597-F123-40A6-A387-E598C34A1AB6}">
      <text>
        <r>
          <rPr>
            <b/>
            <sz val="9"/>
            <color indexed="81"/>
            <rFont val="MS P ゴシック"/>
            <family val="3"/>
            <charset val="128"/>
          </rPr>
          <t>前期の別表三(一)「11」</t>
        </r>
      </text>
    </comment>
    <comment ref="D19" authorId="0" shapeId="0" xr:uid="{39AD960F-1C42-4D7D-B7B9-D63EEFDC2866}">
      <text>
        <r>
          <rPr>
            <b/>
            <sz val="9"/>
            <color indexed="81"/>
            <rFont val="MS P ゴシック"/>
            <family val="3"/>
            <charset val="128"/>
          </rPr>
          <t>法人税法67条4項</t>
        </r>
      </text>
    </comment>
    <comment ref="D20" authorId="0" shapeId="0" xr:uid="{736115D7-9540-4B3A-B969-3F6C112A82DD}">
      <text>
        <r>
          <rPr>
            <b/>
            <sz val="9"/>
            <color indexed="81"/>
            <rFont val="MS P ゴシック"/>
            <family val="3"/>
            <charset val="128"/>
          </rPr>
          <t>別表一「2」</t>
        </r>
      </text>
    </comment>
    <comment ref="D21" authorId="0" shapeId="0" xr:uid="{B4A67E1A-25B8-4770-9F61-0EF86E17ECE7}">
      <text>
        <r>
          <rPr>
            <b/>
            <sz val="9"/>
            <color indexed="81"/>
            <rFont val="MS P ゴシック"/>
            <family val="3"/>
            <charset val="128"/>
          </rPr>
          <t>別表一「3」</t>
        </r>
      </text>
    </comment>
    <comment ref="D22" authorId="0" shapeId="0" xr:uid="{44B1E9E0-075F-445E-8B70-7096D141D62B}">
      <text>
        <r>
          <rPr>
            <b/>
            <sz val="9"/>
            <color indexed="81"/>
            <rFont val="MS P ゴシック"/>
            <family val="3"/>
            <charset val="128"/>
          </rPr>
          <t>別表一「4」</t>
        </r>
      </text>
    </comment>
    <comment ref="D23" authorId="0" shapeId="0" xr:uid="{FA87580C-D685-48BF-A188-D72F2AA21729}">
      <text>
        <r>
          <rPr>
            <b/>
            <sz val="9"/>
            <color indexed="81"/>
            <rFont val="MS P ゴシック"/>
            <family val="3"/>
            <charset val="128"/>
          </rPr>
          <t>別表一「6」</t>
        </r>
      </text>
    </comment>
    <comment ref="D24" authorId="0" shapeId="0" xr:uid="{0B0D3C6C-195D-4ADC-992A-5508C0BF0FC8}">
      <text>
        <r>
          <rPr>
            <b/>
            <sz val="9"/>
            <color indexed="81"/>
            <rFont val="MS P ゴシック"/>
            <family val="3"/>
            <charset val="128"/>
          </rPr>
          <t>別表一「9の外書」</t>
        </r>
      </text>
    </comment>
    <comment ref="D25" authorId="0" shapeId="0" xr:uid="{37CE3FD0-36D4-46E4-AEF1-C218D4ECD9F2}">
      <text>
        <r>
          <rPr>
            <b/>
            <sz val="9"/>
            <color indexed="81"/>
            <rFont val="MS P ゴシック"/>
            <family val="3"/>
            <charset val="128"/>
          </rPr>
          <t>別表一「11」</t>
        </r>
      </text>
    </comment>
    <comment ref="D26" authorId="0" shapeId="0" xr:uid="{7E903997-62DE-479B-B922-BC3200C07AF8}">
      <text>
        <r>
          <rPr>
            <b/>
            <sz val="9"/>
            <color indexed="81"/>
            <rFont val="MS P ゴシック"/>
            <family val="3"/>
            <charset val="128"/>
          </rPr>
          <t>別表一「17」</t>
        </r>
      </text>
    </comment>
    <comment ref="D27" authorId="0" shapeId="0" xr:uid="{FA47CBF3-B9D2-4DD9-937A-D058CD817D1B}">
      <text>
        <r>
          <rPr>
            <b/>
            <sz val="9"/>
            <color indexed="81"/>
            <rFont val="MS P ゴシック"/>
            <family val="3"/>
            <charset val="128"/>
          </rPr>
          <t>別表一「18」</t>
        </r>
      </text>
    </comment>
    <comment ref="D28" authorId="0" shapeId="0" xr:uid="{55D55D0A-D2F0-4D43-A4AA-6492B13AE4A8}">
      <text>
        <r>
          <rPr>
            <b/>
            <sz val="9"/>
            <color indexed="81"/>
            <rFont val="MS P ゴシック"/>
            <family val="3"/>
            <charset val="128"/>
          </rPr>
          <t>別表一「31」</t>
        </r>
      </text>
    </comment>
    <comment ref="D29" authorId="0" shapeId="0" xr:uid="{2095F95C-7DC7-44B1-B398-1C46F71E1B5C}">
      <text>
        <r>
          <rPr>
            <b/>
            <sz val="9"/>
            <color indexed="81"/>
            <rFont val="MS P ゴシック"/>
            <family val="3"/>
            <charset val="128"/>
          </rPr>
          <t>別表一「32」</t>
        </r>
      </text>
    </comment>
    <comment ref="D30" authorId="0" shapeId="0" xr:uid="{417D75E7-B279-49CC-AE17-674593D236EC}">
      <text>
        <r>
          <rPr>
            <b/>
            <sz val="9"/>
            <color indexed="81"/>
            <rFont val="MS P ゴシック"/>
            <family val="3"/>
            <charset val="128"/>
          </rPr>
          <t>別表一「36」</t>
        </r>
      </text>
    </comment>
    <comment ref="D31" authorId="0" shapeId="0" xr:uid="{8272BC5C-8CD8-460A-BCC7-240AC64EEECD}">
      <text>
        <r>
          <rPr>
            <b/>
            <sz val="9"/>
            <color indexed="81"/>
            <rFont val="MS P ゴシック"/>
            <family val="3"/>
            <charset val="128"/>
          </rPr>
          <t>別表一「65」</t>
        </r>
      </text>
    </comment>
    <comment ref="D32" authorId="0" shapeId="0" xr:uid="{936C236F-6B6E-41DF-B55F-40FF45126A15}">
      <text>
        <r>
          <rPr>
            <b/>
            <sz val="9"/>
            <color indexed="81"/>
            <rFont val="MS P ゴシック"/>
            <family val="3"/>
            <charset val="128"/>
          </rPr>
          <t>別表六(五の二)「5の③」</t>
        </r>
      </text>
    </comment>
    <comment ref="D33" authorId="0" shapeId="0" xr:uid="{796FB517-E68A-41B9-BA4C-B6436F97EAFB}">
      <text>
        <r>
          <rPr>
            <b/>
            <sz val="9"/>
            <color indexed="81"/>
            <rFont val="MS P ゴシック"/>
            <family val="3"/>
            <charset val="128"/>
          </rPr>
          <t>別表六(六)9②＋9④～⑦＋9⑮＋9⑯＋9㉒～㉔</t>
        </r>
      </text>
    </comment>
    <comment ref="D34" authorId="0" shapeId="0" xr:uid="{4D27D3E8-DCEA-4704-8789-F89CB58D8EF4}">
      <text>
        <r>
          <rPr>
            <b/>
            <sz val="9"/>
            <color indexed="81"/>
            <rFont val="MS P ゴシック"/>
            <family val="3"/>
            <charset val="128"/>
          </rPr>
          <t>別表六(六)3＋9②～⑦＋9⑩～⑬＋9⑮～㉔</t>
        </r>
      </text>
    </comment>
    <comment ref="D35" authorId="0" shapeId="0" xr:uid="{0043E323-312C-41A0-933D-DBECAD013699}">
      <text>
        <r>
          <rPr>
            <b/>
            <sz val="9"/>
            <color indexed="81"/>
            <rFont val="MS P ゴシック"/>
            <family val="3"/>
            <charset val="128"/>
          </rPr>
          <t>別表六(九)付表37・42＋別表六(十四)付表二19・24</t>
        </r>
      </text>
    </comment>
    <comment ref="D36" authorId="0" shapeId="0" xr:uid="{112CD7F3-14FD-4F14-AFB3-B92376F9523B}">
      <text>
        <r>
          <rPr>
            <b/>
            <sz val="9"/>
            <color indexed="81"/>
            <rFont val="MS P ゴシック"/>
            <family val="3"/>
            <charset val="128"/>
          </rPr>
          <t>別表六(九)付表37・42</t>
        </r>
      </text>
    </comment>
    <comment ref="D37" authorId="0" shapeId="0" xr:uid="{62D8D348-8BA5-4350-BEF7-DB2BFEE2979E}">
      <text>
        <r>
          <rPr>
            <b/>
            <sz val="9"/>
            <color indexed="81"/>
            <rFont val="MS P ゴシック"/>
            <family val="3"/>
            <charset val="128"/>
          </rPr>
          <t>別表十七(三の六)「1」</t>
        </r>
      </text>
    </comment>
    <comment ref="D38" authorId="0" shapeId="0" xr:uid="{33338D17-BB5D-4CD0-A415-B8A5F283E53F}">
      <text>
        <r>
          <rPr>
            <b/>
            <sz val="9"/>
            <color indexed="81"/>
            <rFont val="MS P ゴシック"/>
            <family val="3"/>
            <charset val="128"/>
          </rPr>
          <t>法人税法施行令139条の10第1項
損金算入される額のみ</t>
        </r>
      </text>
    </comment>
    <comment ref="D39" authorId="0" shapeId="0" xr:uid="{2B4184E7-138B-4E12-BD06-A74A3AF8E08D}">
      <text>
        <r>
          <rPr>
            <b/>
            <sz val="9"/>
            <color indexed="81"/>
            <rFont val="MS P ゴシック"/>
            <family val="3"/>
            <charset val="128"/>
          </rPr>
          <t>別表六(二)付表六「7の計」</t>
        </r>
      </text>
    </comment>
    <comment ref="D43" authorId="0" shapeId="0" xr:uid="{580F4794-3D3E-483D-B938-9D0CAA39C477}">
      <text>
        <r>
          <rPr>
            <b/>
            <sz val="9"/>
            <color indexed="81"/>
            <rFont val="MS P ゴシック"/>
            <family val="3"/>
            <charset val="128"/>
          </rPr>
          <t>期末資本金又は出資金</t>
        </r>
      </text>
    </comment>
    <comment ref="D44" authorId="0" shapeId="0" xr:uid="{57E21BFC-CF86-4C8B-89A4-1B7C6C51E36A}">
      <text>
        <r>
          <rPr>
            <b/>
            <sz val="9"/>
            <color indexed="81"/>
            <rFont val="MS P ゴシック"/>
            <family val="3"/>
            <charset val="128"/>
          </rPr>
          <t>別表五(一)の該当欄
利益積立金額がマイナスの場合は負数可</t>
        </r>
      </text>
    </comment>
    <comment ref="D45" authorId="0" shapeId="0" xr:uid="{89830007-42B2-40EA-AE39-10BC114A1F70}">
      <text>
        <r>
          <rPr>
            <b/>
            <sz val="9"/>
            <color indexed="81"/>
            <rFont val="MS P ゴシック"/>
            <family val="3"/>
            <charset val="128"/>
          </rPr>
          <t>適格合併等</t>
        </r>
      </text>
    </comment>
    <comment ref="D46" authorId="0" shapeId="0" xr:uid="{BE2CE6F6-E69D-47AE-A830-CC27E69F2FB8}">
      <text>
        <r>
          <rPr>
            <b/>
            <sz val="9"/>
            <color indexed="81"/>
            <rFont val="MS P ゴシック"/>
            <family val="3"/>
            <charset val="128"/>
          </rPr>
          <t>適格分割型分割等</t>
        </r>
      </text>
    </comment>
    <comment ref="D47" authorId="0" shapeId="0" xr:uid="{7CC02578-42B1-49FE-B14A-992F12DC7F24}">
      <text>
        <r>
          <rPr>
            <b/>
            <sz val="9"/>
            <color indexed="81"/>
            <rFont val="MS P ゴシック"/>
            <family val="3"/>
            <charset val="128"/>
          </rPr>
          <t>別表四「52の①」
別表四の所得金額又は欠損金額を符号付きで転記（欠損は負数可）</t>
        </r>
      </text>
    </comment>
    <comment ref="D48" authorId="0" shapeId="0" xr:uid="{CAE61E26-74AC-4AFD-B939-E532485BD4D5}">
      <text>
        <r>
          <rPr>
            <b/>
            <sz val="9"/>
            <color indexed="81"/>
            <rFont val="MS P ゴシック"/>
            <family val="3"/>
            <charset val="128"/>
          </rPr>
          <t>別表四「38」
譲渡損失額はマイナス入力可</t>
        </r>
      </text>
    </comment>
    <comment ref="D49" authorId="0" shapeId="0" xr:uid="{0ABD6A13-5267-4510-8BA3-55407237CB34}">
      <text>
        <r>
          <rPr>
            <b/>
            <sz val="9"/>
            <color indexed="81"/>
            <rFont val="MS P ゴシック"/>
            <family val="3"/>
            <charset val="128"/>
          </rPr>
          <t>別表八(一)「5」から通算法人間配当等を除いた額</t>
        </r>
      </text>
    </comment>
    <comment ref="D50" authorId="0" shapeId="0" xr:uid="{8F8A7BC7-A7EF-4380-9468-573CBEAFF14D}">
      <text>
        <r>
          <rPr>
            <b/>
            <sz val="9"/>
            <color indexed="81"/>
            <rFont val="MS P ゴシック"/>
            <family val="3"/>
            <charset val="128"/>
          </rPr>
          <t>別表八(二)「26」＋別表十七(三の七)「27の計」</t>
        </r>
      </text>
    </comment>
    <comment ref="D51" authorId="0" shapeId="0" xr:uid="{4DE05C89-8A7E-406D-B551-ED2994975310}">
      <text>
        <r>
          <rPr>
            <b/>
            <sz val="9"/>
            <color indexed="81"/>
            <rFont val="MS P ゴシック"/>
            <family val="3"/>
            <charset val="128"/>
          </rPr>
          <t>別表四「16」</t>
        </r>
      </text>
    </comment>
    <comment ref="D52" authorId="0" shapeId="0" xr:uid="{16C7EDA0-ED4B-41D7-AAB0-5F758F6A5915}">
      <text>
        <r>
          <rPr>
            <b/>
            <sz val="9"/>
            <color indexed="81"/>
            <rFont val="MS P ゴシック"/>
            <family val="3"/>
            <charset val="128"/>
          </rPr>
          <t>別表四「19」＋別表四付表「7」</t>
        </r>
      </text>
    </comment>
    <comment ref="D53" authorId="0" shapeId="0" xr:uid="{15420587-52A7-4A02-AD90-B3C2187D7EE3}">
      <text>
        <r>
          <rPr>
            <b/>
            <sz val="9"/>
            <color indexed="81"/>
            <rFont val="MS P ゴシック"/>
            <family val="3"/>
            <charset val="128"/>
          </rPr>
          <t>別表七の当該年版様式列挙額</t>
        </r>
      </text>
    </comment>
    <comment ref="D54" authorId="0" shapeId="0" xr:uid="{4E6A31AC-9667-47AB-A642-7716EFFA9E37}">
      <text>
        <r>
          <rPr>
            <b/>
            <sz val="9"/>
            <color indexed="81"/>
            <rFont val="MS P ゴシック"/>
            <family val="3"/>
            <charset val="128"/>
          </rPr>
          <t>別表四「37」</t>
        </r>
      </text>
    </comment>
    <comment ref="D55" authorId="0" shapeId="0" xr:uid="{528A5B36-42FC-45F6-9D3A-37FE0C747D27}">
      <text>
        <r>
          <rPr>
            <b/>
            <sz val="9"/>
            <color indexed="81"/>
            <rFont val="MS P ゴシック"/>
            <family val="3"/>
            <charset val="128"/>
          </rPr>
          <t>別表八(三)「13」の合計額</t>
        </r>
      </text>
    </comment>
    <comment ref="D56" authorId="0" shapeId="0" xr:uid="{B63917EB-0C8D-41F4-9BB5-DC5B07DB11C6}">
      <text>
        <r>
          <rPr>
            <b/>
            <sz val="9"/>
            <color indexed="81"/>
            <rFont val="MS P ゴシック"/>
            <family val="3"/>
            <charset val="128"/>
          </rPr>
          <t>別表十(三)「43」</t>
        </r>
      </text>
    </comment>
    <comment ref="D57" authorId="0" shapeId="0" xr:uid="{0D274B96-6D4A-4CC4-B002-2A22B52F4132}">
      <text>
        <r>
          <rPr>
            <b/>
            <sz val="9"/>
            <color indexed="81"/>
            <rFont val="MS P ゴシック"/>
            <family val="3"/>
            <charset val="128"/>
          </rPr>
          <t>別表十(四)「20」</t>
        </r>
      </text>
    </comment>
    <comment ref="D58" authorId="0" shapeId="0" xr:uid="{3E0EF864-6BDF-4706-A4EB-AA03202D07B0}">
      <text>
        <r>
          <rPr>
            <b/>
            <sz val="9"/>
            <color indexed="81"/>
            <rFont val="MS P ゴシック"/>
            <family val="3"/>
            <charset val="128"/>
          </rPr>
          <t>別表十(四)「21」又は「23」</t>
        </r>
      </text>
    </comment>
    <comment ref="D59" authorId="0" shapeId="0" xr:uid="{CD4B3DD7-B2E1-403D-AEED-3AE1EFB5BD1C}">
      <text>
        <r>
          <rPr>
            <b/>
            <sz val="9"/>
            <color indexed="81"/>
            <rFont val="MS P ゴシック"/>
            <family val="3"/>
            <charset val="128"/>
          </rPr>
          <t>別表十(一)「15」又は別表十(二)「10」</t>
        </r>
      </text>
    </comment>
    <comment ref="D60" authorId="0" shapeId="0" xr:uid="{82940AD1-EAEA-42D2-94F1-DCCED2E24F41}">
      <text>
        <r>
          <rPr>
            <b/>
            <sz val="9"/>
            <color indexed="81"/>
            <rFont val="MS P ゴシック"/>
            <family val="3"/>
            <charset val="128"/>
          </rPr>
          <t>別表十(一)「16」又は別表十(二)「11」</t>
        </r>
      </text>
    </comment>
    <comment ref="D61" authorId="0" shapeId="0" xr:uid="{3982AD60-9901-4BE3-9648-B9AFF01F71D1}">
      <text>
        <r>
          <rPr>
            <b/>
            <sz val="9"/>
            <color indexed="81"/>
            <rFont val="MS P ゴシック"/>
            <family val="3"/>
            <charset val="128"/>
          </rPr>
          <t>別表十(五)「22+37+42+47+52」</t>
        </r>
      </text>
    </comment>
    <comment ref="D62" authorId="0" shapeId="0" xr:uid="{49B6896B-A9E5-40A9-9819-DBC7C0E1D910}">
      <text>
        <r>
          <rPr>
            <b/>
            <sz val="9"/>
            <color indexed="81"/>
            <rFont val="MS P ゴシック"/>
            <family val="3"/>
            <charset val="128"/>
          </rPr>
          <t>別表十(六)「12」</t>
        </r>
      </text>
    </comment>
    <comment ref="D63" authorId="0" shapeId="0" xr:uid="{42DF73D8-29A0-46A8-B02D-A2F190349B26}">
      <text>
        <r>
          <rPr>
            <b/>
            <sz val="9"/>
            <color indexed="81"/>
            <rFont val="MS P ゴシック"/>
            <family val="3"/>
            <charset val="128"/>
          </rPr>
          <t>別表十(六)「18」＋「20」</t>
        </r>
      </text>
    </comment>
    <comment ref="D64" authorId="0" shapeId="0" xr:uid="{71B0C5E9-2493-4083-AD04-908B3C2B917A}">
      <text>
        <r>
          <rPr>
            <b/>
            <sz val="9"/>
            <color indexed="81"/>
            <rFont val="MS P ゴシック"/>
            <family val="3"/>
            <charset val="128"/>
          </rPr>
          <t>別表十(七)「22」</t>
        </r>
      </text>
    </comment>
    <comment ref="D65" authorId="0" shapeId="0" xr:uid="{605316BE-D47A-48DE-9D13-8E59E3065D4D}">
      <text>
        <r>
          <rPr>
            <b/>
            <sz val="9"/>
            <color indexed="81"/>
            <rFont val="MS P ゴシック"/>
            <family val="3"/>
            <charset val="128"/>
          </rPr>
          <t>別表十七(二の三)「10」</t>
        </r>
      </text>
    </comment>
    <comment ref="D66" authorId="0" shapeId="0" xr:uid="{32BC21E4-5584-4800-B088-5347E50A5763}">
      <text>
        <r>
          <rPr>
            <b/>
            <sz val="9"/>
            <color indexed="81"/>
            <rFont val="MS P ゴシック"/>
            <family val="3"/>
            <charset val="128"/>
          </rPr>
          <t>別表十七の当該年版様式列挙額</t>
        </r>
      </text>
    </comment>
    <comment ref="D70" authorId="0" shapeId="0" xr:uid="{D380259D-675B-46E7-9653-682632D04A6D}">
      <text>
        <r>
          <rPr>
            <b/>
            <sz val="9"/>
            <color indexed="81"/>
            <rFont val="MS P ゴシック"/>
            <family val="3"/>
            <charset val="128"/>
          </rPr>
          <t>別表四付表「3」</t>
        </r>
      </text>
    </comment>
    <comment ref="D71" authorId="0" shapeId="0" xr:uid="{F5255F00-3A87-4041-B66C-A131829657B6}">
      <text>
        <r>
          <rPr>
            <b/>
            <sz val="9"/>
            <color indexed="81"/>
            <rFont val="MS P ゴシック"/>
            <family val="3"/>
            <charset val="128"/>
          </rPr>
          <t>別表七の二「11」</t>
        </r>
      </text>
    </comment>
    <comment ref="D72" authorId="0" shapeId="0" xr:uid="{679521F1-26A7-4D2C-B565-1ECBB03748A4}">
      <text>
        <r>
          <rPr>
            <b/>
            <sz val="9"/>
            <color indexed="81"/>
            <rFont val="MS P ゴシック"/>
            <family val="3"/>
            <charset val="128"/>
          </rPr>
          <t>施行令139条の8関係・入力値</t>
        </r>
      </text>
    </comment>
    <comment ref="D73" authorId="0" shapeId="0" xr:uid="{25FC7517-0785-4920-96C1-42998AE6C50A}">
      <text>
        <r>
          <rPr>
            <b/>
            <sz val="9"/>
            <color indexed="81"/>
            <rFont val="MS P ゴシック"/>
            <family val="3"/>
            <charset val="128"/>
          </rPr>
          <t>施行令139条の8関係・入力値</t>
        </r>
      </text>
    </comment>
    <comment ref="D74" authorId="0" shapeId="0" xr:uid="{3C9C1B72-9E18-4025-BF5C-80ADA6720B94}">
      <text>
        <r>
          <rPr>
            <b/>
            <sz val="9"/>
            <color indexed="81"/>
            <rFont val="MS P ゴシック"/>
            <family val="3"/>
            <charset val="128"/>
          </rPr>
          <t>別表四付表「8」</t>
        </r>
      </text>
    </comment>
    <comment ref="D75" authorId="0" shapeId="0" xr:uid="{DF4E41F5-598B-446E-9E98-E31EF5388047}">
      <text>
        <r>
          <rPr>
            <b/>
            <sz val="9"/>
            <color indexed="81"/>
            <rFont val="MS P ゴシック"/>
            <family val="3"/>
            <charset val="128"/>
          </rPr>
          <t>別表七の二「5」</t>
        </r>
      </text>
    </comment>
    <comment ref="D76" authorId="0" shapeId="0" xr:uid="{654CDA5F-CC93-4E45-A751-5EEE563CE912}">
      <text>
        <r>
          <rPr>
            <b/>
            <sz val="9"/>
            <color indexed="81"/>
            <rFont val="MS P ゴシック"/>
            <family val="3"/>
            <charset val="128"/>
          </rPr>
          <t>法人税法施行令139条の8第1項</t>
        </r>
      </text>
    </comment>
    <comment ref="D77" authorId="0" shapeId="0" xr:uid="{DD1E398B-2F2A-4240-AF53-43FE7E1C155B}">
      <text>
        <r>
          <rPr>
            <b/>
            <sz val="9"/>
            <color indexed="81"/>
            <rFont val="MS P ゴシック"/>
            <family val="3"/>
            <charset val="128"/>
          </rPr>
          <t>別表四付表「9」</t>
        </r>
      </text>
    </comment>
    <comment ref="D78" authorId="0" shapeId="0" xr:uid="{F3036ACD-BA9F-4B7C-AB54-E749A0422B58}">
      <text>
        <r>
          <rPr>
            <b/>
            <sz val="9"/>
            <color indexed="81"/>
            <rFont val="MS P ゴシック"/>
            <family val="3"/>
            <charset val="128"/>
          </rPr>
          <t>別表七(二)付表一「23の計」</t>
        </r>
      </text>
    </comment>
    <comment ref="D79" authorId="0" shapeId="0" xr:uid="{FC5B1DFA-A8AF-4379-82B8-6495259B1049}">
      <text>
        <r>
          <rPr>
            <b/>
            <sz val="9"/>
            <color indexed="81"/>
            <rFont val="MS P ゴシック"/>
            <family val="3"/>
            <charset val="128"/>
          </rPr>
          <t>別表八(一)付表「24」</t>
        </r>
      </text>
    </comment>
    <comment ref="D80" authorId="0" shapeId="0" xr:uid="{B94E35FF-18D5-493B-B888-09FCE533125F}">
      <text>
        <r>
          <rPr>
            <b/>
            <sz val="9"/>
            <color indexed="81"/>
            <rFont val="MS P ゴシック"/>
            <family val="3"/>
            <charset val="128"/>
          </rPr>
          <t>別表十八(一)「5の計」
計算欄では(20)を控除</t>
        </r>
      </text>
    </comment>
    <comment ref="D81" authorId="0" shapeId="0" xr:uid="{2AC56E63-B58A-4CFD-AA00-CE8BD75F24AA}">
      <text>
        <r>
          <rPr>
            <b/>
            <sz val="9"/>
            <color indexed="81"/>
            <rFont val="MS P ゴシック"/>
            <family val="3"/>
            <charset val="128"/>
          </rPr>
          <t>別表十八(一)「6の計」
計算欄では(22)を控除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10" authorId="0" shapeId="0" xr:uid="{ED393D54-CEFD-46A6-A008-E7C233CA05A8}">
      <text>
        <r>
          <rPr>
            <b/>
            <sz val="9"/>
            <color indexed="81"/>
            <rFont val="MS P ゴシック"/>
            <family val="3"/>
            <charset val="128"/>
          </rPr>
          <t>法人税基本通達16-1-8(2)の短期事業年度における1億円相当額の端数判定。</t>
        </r>
      </text>
    </comment>
  </commentList>
</comments>
</file>

<file path=xl/sharedStrings.xml><?xml version="1.0" encoding="utf-8"?>
<sst xmlns="http://schemas.openxmlformats.org/spreadsheetml/2006/main" count="817" uniqueCount="592">
  <si>
    <t>厳密整数計算ヘルパー（IEEE-754安全域内の二進長除算）</t>
  </si>
  <si>
    <t>演算ID</t>
  </si>
  <si>
    <t>被乗数絶対値</t>
  </si>
  <si>
    <t>乗数絶対値</t>
  </si>
  <si>
    <t>安全除数</t>
  </si>
  <si>
    <t>符号</t>
  </si>
  <si>
    <t>実除数</t>
  </si>
  <si>
    <t>安全域</t>
  </si>
  <si>
    <t>説明</t>
  </si>
  <si>
    <t>特定同族会社の留保金課税 - 入力（令和5年版）</t>
  </si>
  <si>
    <t>黄色セルだけを入力してください。青色セルと国税庁様式帳票は自動計算・自動転記です。</t>
  </si>
  <si>
    <t>法人名</t>
  </si>
  <si>
    <t>事業年度開始日</t>
  </si>
  <si>
    <t>事業年度終了日</t>
  </si>
  <si>
    <t>事業年度月数（自動）</t>
  </si>
  <si>
    <t>中小企業者等該当性（住民税計算用）</t>
  </si>
  <si>
    <t>通算法人</t>
  </si>
  <si>
    <t>別表二「判定結果18」：特定同族会社</t>
  </si>
  <si>
    <t>基本情報</t>
    <phoneticPr fontId="3"/>
  </si>
  <si>
    <t>年度版チェック</t>
  </si>
  <si>
    <t>事業年度が対象範囲内</t>
  </si>
  <si>
    <t>住民税率</t>
  </si>
  <si>
    <t>特定寄附金控除率</t>
  </si>
  <si>
    <t>令和5年4月1日から令和6年3月31日までに終了する事業年度の年次版</t>
  </si>
  <si>
    <t>別表三(一)・住民税額計算の入力</t>
  </si>
  <si>
    <t>入力ID</t>
  </si>
  <si>
    <t>転記元</t>
  </si>
  <si>
    <t>内容</t>
  </si>
  <si>
    <t>入力額</t>
  </si>
  <si>
    <t>備考</t>
  </si>
  <si>
    <t>m9_base</t>
  </si>
  <si>
    <t>別表四「52の②」</t>
  </si>
  <si>
    <t>留保所得金額（主表9）の基礎額</t>
  </si>
  <si>
    <t>別表四の留保所得金額又は欠損金額を符号付きで転記（欠損は負数可）</t>
  </si>
  <si>
    <t>m9_extra</t>
  </si>
  <si>
    <t>別表十(六)「15」</t>
  </si>
  <si>
    <t>留保所得金額（主表9）に含める記載要領上の追加額</t>
  </si>
  <si>
    <t>該当がなければ0</t>
  </si>
  <si>
    <t>m9_inner</t>
  </si>
  <si>
    <t>別表四「17」</t>
  </si>
  <si>
    <t>留保所得金額（主表9）の内書額</t>
  </si>
  <si>
    <t>当期留保金額で主表9から減算</t>
  </si>
  <si>
    <t>prev_div</t>
  </si>
  <si>
    <t>前期の別表三(一)「11」</t>
  </si>
  <si>
    <t>前期末配当等の額</t>
  </si>
  <si>
    <t>curr_div</t>
  </si>
  <si>
    <t>法人税法67条4項</t>
  </si>
  <si>
    <t>当期末配当等の額</t>
  </si>
  <si>
    <t>b1_2</t>
  </si>
  <si>
    <t>別表一「2」</t>
  </si>
  <si>
    <t>主表12・住民税計算用：別表一「2」</t>
  </si>
  <si>
    <t>b1_3</t>
  </si>
  <si>
    <t>別表一「3」</t>
  </si>
  <si>
    <t>主表12・住民税計算用：別表一「3」</t>
  </si>
  <si>
    <t>b1_4</t>
  </si>
  <si>
    <t>別表一「4」</t>
  </si>
  <si>
    <t>主表12・住民税計算用：別表一「4」</t>
  </si>
  <si>
    <t>b1_6</t>
  </si>
  <si>
    <t>別表一「6」</t>
  </si>
  <si>
    <t>主表12・住民税計算用：別表一「6」</t>
  </si>
  <si>
    <t>b1_9out</t>
  </si>
  <si>
    <t>別表一「9の外書」</t>
  </si>
  <si>
    <t>主表12・住民税計算用：別表一「9の外書」</t>
  </si>
  <si>
    <t>b1_11</t>
  </si>
  <si>
    <t>別表一「11」</t>
  </si>
  <si>
    <t>主表12・住民税計算用：別表一「11」</t>
  </si>
  <si>
    <t>b1_17</t>
  </si>
  <si>
    <t>別表一「17」</t>
  </si>
  <si>
    <t>主表12・住民税計算用：別表一「17」</t>
  </si>
  <si>
    <t>b1_18</t>
  </si>
  <si>
    <t>別表一「18」</t>
  </si>
  <si>
    <t>主表12・住民税計算用：別表一「18」</t>
  </si>
  <si>
    <t>b1_31</t>
  </si>
  <si>
    <t>別表一「31」</t>
  </si>
  <si>
    <t>主表12の地方法人税計算用：別表一「31」</t>
  </si>
  <si>
    <t>b1_32</t>
  </si>
  <si>
    <t>別表一「32」</t>
  </si>
  <si>
    <t>主表12の地方法人税計算用：別表一「32」</t>
  </si>
  <si>
    <t>b1_36</t>
  </si>
  <si>
    <t>別表一「36」</t>
  </si>
  <si>
    <t>主表12の地方法人税計算用：別表一「36」</t>
  </si>
  <si>
    <t>b1_65</t>
  </si>
  <si>
    <t>別表一「65」</t>
  </si>
  <si>
    <t>主表12の地方法人税計算用：別表一「65」</t>
  </si>
  <si>
    <t>b6_5_2_5_3</t>
  </si>
  <si>
    <t>別表六(五の二)「5の③」</t>
  </si>
  <si>
    <t>主表12の分配時調整外国税相当額</t>
  </si>
  <si>
    <t>m22_credits</t>
  </si>
  <si>
    <t>別表六(六)9②＋9④～⑦＋9⑮＋9⑯＋9㉒～㉔</t>
  </si>
  <si>
    <t>主表22で差し引く税額控除等の合計</t>
  </si>
  <si>
    <t>m23_credits</t>
  </si>
  <si>
    <t>別表六(六)3＋9②～⑦＋9⑩～⑬＋9⑮～㉔</t>
  </si>
  <si>
    <t>主表23で差し引く税額控除等の合計</t>
  </si>
  <si>
    <t>m22_b1_4_adjust</t>
  </si>
  <si>
    <t>別表六(九)付表37・42＋別表六(十四)付表二19・24</t>
  </si>
  <si>
    <t>主表22で別表一4から控除する記載要領上の調整額</t>
  </si>
  <si>
    <t>m23_b1_4_adjust</t>
  </si>
  <si>
    <t>別表六(九)付表37・42</t>
  </si>
  <si>
    <t>主表23で別表一4から控除する記載要領上の調整額</t>
  </si>
  <si>
    <t>m14_foreign</t>
  </si>
  <si>
    <t>別表十七(三の六)「1」</t>
  </si>
  <si>
    <t>主表14：外国関係会社等に係る控除対象所得税額等相当額</t>
  </si>
  <si>
    <t>specific_donation_total</t>
  </si>
  <si>
    <t>法人税法施行令139条の10第1項</t>
  </si>
  <si>
    <t>主表の特定寄附金控除額の基礎となる合計額</t>
  </si>
  <si>
    <t>損金算入される額のみ</t>
  </si>
  <si>
    <t>adjust_local_credit</t>
  </si>
  <si>
    <t>別表六(二)付表六「7の計」</t>
  </si>
  <si>
    <t>調整地方税額に係る控除額で差し引く額</t>
  </si>
  <si>
    <t>留保控除額（付表・付表一）の入力</t>
  </si>
  <si>
    <t>f1_capital</t>
  </si>
  <si>
    <t>期末資本金又は出資金</t>
  </si>
  <si>
    <t>付表1欄：期末資本金の額又は出資金の額</t>
  </si>
  <si>
    <t>f1_opening_profit</t>
  </si>
  <si>
    <t>別表五(一)の該当欄</t>
  </si>
  <si>
    <t>期首利益積立金額の基礎額（主表10控除前）</t>
  </si>
  <si>
    <t>利益積立金額がマイナスの場合は負数可</t>
  </si>
  <si>
    <t>f1_merger_inc</t>
  </si>
  <si>
    <t>適格合併等</t>
  </si>
  <si>
    <t>適格合併等により増加した利益積立金額</t>
  </si>
  <si>
    <t>f1_split_dec</t>
  </si>
  <si>
    <t>適格分割型分割等</t>
  </si>
  <si>
    <t>適格分割型分割等により減少した利益積立金額</t>
  </si>
  <si>
    <t>f1_09</t>
  </si>
  <si>
    <t>別表四「52の①」</t>
  </si>
  <si>
    <t>付表の9欄：所得金額</t>
  </si>
  <si>
    <t>別表四の所得金額又は欠損金額を符号付きで転記（欠損は負数可）</t>
  </si>
  <si>
    <t>f1_10</t>
  </si>
  <si>
    <t>別表四「38」</t>
  </si>
  <si>
    <t>付表の10欄：非適格合併による移転資産等の譲渡利益額又は譲渡損失額</t>
  </si>
  <si>
    <t>譲渡損失額はマイナス入力可</t>
  </si>
  <si>
    <t>f1_11</t>
  </si>
  <si>
    <t>別表八(一)「5」から通算法人間配当等を除いた額</t>
  </si>
  <si>
    <t>付表の11欄：受取配当等の益金不算入額</t>
  </si>
  <si>
    <t>f1_12</t>
  </si>
  <si>
    <t>別表八(二)「26」＋別表十七(三の七)「27の計」</t>
  </si>
  <si>
    <t>付表の12欄：外国子会社等から受ける剰余金の配当等の益金不算入額</t>
  </si>
  <si>
    <t>f1_13</t>
  </si>
  <si>
    <t>別表四「16」</t>
  </si>
  <si>
    <t>付表の13欄：受贈益の益金不算入額</t>
  </si>
  <si>
    <t>f1_14</t>
  </si>
  <si>
    <t>別表四「19」＋別表四付表「7」</t>
  </si>
  <si>
    <t>付表の14欄：法人税額の還付金等</t>
  </si>
  <si>
    <t>f1_15</t>
  </si>
  <si>
    <t>別表七の当該年版様式列挙額</t>
  </si>
  <si>
    <t>付表の15欄：欠損金等の当期控除額</t>
  </si>
  <si>
    <t>f1_16</t>
  </si>
  <si>
    <t>別表四「37」</t>
  </si>
  <si>
    <t>付表の16欄：災害損失欠損金額の益金算入額</t>
  </si>
  <si>
    <t>f1_19</t>
  </si>
  <si>
    <t>別表八(三)「13」の合計額</t>
  </si>
  <si>
    <t>付表の19欄：他法人株式等の帳簿価額から減算される金額</t>
  </si>
  <si>
    <t>f1_20</t>
  </si>
  <si>
    <t>別表十(三)「43」</t>
  </si>
  <si>
    <t>付表の20欄：新鉱床探鉱費又は海外新鉱床探鉱費の特別控除額</t>
  </si>
  <si>
    <t>f1_21</t>
  </si>
  <si>
    <t>別表十(四)「20」</t>
  </si>
  <si>
    <t>付表の21欄：日本船舶による収入金額に係る所得の損金算入額</t>
  </si>
  <si>
    <t>f1_22</t>
  </si>
  <si>
    <t>別表十(四)「21」又は「23」</t>
  </si>
  <si>
    <t>付表の22欄：日本船舶による収入金額に係る所得の益金算入額</t>
  </si>
  <si>
    <t>f1_23</t>
  </si>
  <si>
    <t>別表十(一)「15」又は別表十(二)「10」</t>
  </si>
  <si>
    <t>付表の23欄：沖縄認定法人・国家戦略特区指定法人の所得特別控除額</t>
  </si>
  <si>
    <t>f1_24</t>
  </si>
  <si>
    <t>別表十(一)「16」又は別表十(二)「11」</t>
  </si>
  <si>
    <t>付表の24欄：沖縄認定法人・国家戦略特区指定法人の要加算調整額</t>
  </si>
  <si>
    <t>f1_25</t>
  </si>
  <si>
    <t>別表十(五)「22+37+42+47+52」</t>
  </si>
  <si>
    <t>付表の25欄：収用等の場合等の所得の特別控除額</t>
  </si>
  <si>
    <t>f1_26</t>
  </si>
  <si>
    <t>別表十(六)「12」</t>
  </si>
  <si>
    <t>付表の26欄：特別新事業開拓事業者関係の特別勘定繰入額</t>
  </si>
  <si>
    <t>f1_27</t>
  </si>
  <si>
    <t>別表十(六)「18」＋「20」</t>
  </si>
  <si>
    <t>付表の27欄：特別新事業開拓事業者関係の特別勘定取崩額</t>
  </si>
  <si>
    <t>f1_28</t>
  </si>
  <si>
    <t>別表十(七)「22」</t>
  </si>
  <si>
    <t>付表の28欄：肉用牛の売却に係る所得の特別控除額</t>
  </si>
  <si>
    <t>f1_29</t>
  </si>
  <si>
    <t>別表十七(二の三)「10」</t>
  </si>
  <si>
    <t>付表の29欄：超過利子額の損金算入額</t>
  </si>
  <si>
    <t>f1_30</t>
  </si>
  <si>
    <t>別表十七の当該年版様式列挙額</t>
  </si>
  <si>
    <t>付表の30欄：課税対象金額等の益金算入額</t>
  </si>
  <si>
    <t>通算法人調整（付表二）の入力</t>
  </si>
  <si>
    <t>f2_01</t>
  </si>
  <si>
    <t>別表四付表「3」</t>
  </si>
  <si>
    <t>付表二の1欄：他の通算法人に対する通算法人株式の譲渡損失額</t>
  </si>
  <si>
    <t>f2_02</t>
  </si>
  <si>
    <t>別表七の二「11」</t>
  </si>
  <si>
    <t>付表二の2欄：通算対象所得金額の益金算入額</t>
  </si>
  <si>
    <t>f2_03</t>
  </si>
  <si>
    <t>施行令139条の8関係・入力値</t>
  </si>
  <si>
    <t>付表二の3欄：通算外配当等流出額</t>
  </si>
  <si>
    <t>f2_04</t>
  </si>
  <si>
    <t>付表二の4欄：通算内配当等の額</t>
  </si>
  <si>
    <t>f2_06</t>
  </si>
  <si>
    <t>別表四付表「8」</t>
  </si>
  <si>
    <t>付表二の6欄：他の通算法人に対する通算法人株式の譲渡利益額</t>
  </si>
  <si>
    <t>f2_07</t>
  </si>
  <si>
    <t>別表七の二「5」</t>
  </si>
  <si>
    <t>付表二の7欄：通算対象欠損金額の損金算入額</t>
  </si>
  <si>
    <t>f2_08</t>
  </si>
  <si>
    <t>法人税法施行令139条の8第1項</t>
  </si>
  <si>
    <t>付表二の8欄：通算法人間配当等の当期受取額</t>
  </si>
  <si>
    <t>f2_12</t>
  </si>
  <si>
    <t>別表四付表「9」</t>
  </si>
  <si>
    <t>付表二の12欄：通算法人の合併等があった場合の欠損金の損金算入額</t>
  </si>
  <si>
    <t>f2_15</t>
  </si>
  <si>
    <t>別表七(二)付表一「23の計」</t>
  </si>
  <si>
    <t>付表二の15欄：当初配賦欠損金控除額の益金算入額</t>
  </si>
  <si>
    <t>f2_16</t>
  </si>
  <si>
    <t>別表八(一)付表「24」</t>
  </si>
  <si>
    <t>付表二の16欄：当初支払利子配賦額の控除不足額の益金算入額</t>
  </si>
  <si>
    <t>f2_21</t>
  </si>
  <si>
    <t>別表十八(一)「5の計」</t>
  </si>
  <si>
    <t>付表二の21欄：他の通算法人の調整通算外配当等流出額の合計額（控除前）</t>
  </si>
  <si>
    <t>計算欄では(20)を控除</t>
  </si>
  <si>
    <t>f2_23</t>
  </si>
  <si>
    <t>別表十八(一)「6の計」</t>
  </si>
  <si>
    <t>付表二の23欄：他の通算法人の純通算内配当等の額の合計額（控除前）</t>
  </si>
  <si>
    <t>計算欄では(22)を控除</t>
  </si>
  <si>
    <t>入力別有効性</t>
  </si>
  <si>
    <t>絶対値</t>
  </si>
  <si>
    <t>入力名</t>
  </si>
  <si>
    <t>inp_m9_base</t>
  </si>
  <si>
    <t>inp_m9_extra</t>
  </si>
  <si>
    <t>inp_m9_inner</t>
  </si>
  <si>
    <t>inp_prev_div</t>
  </si>
  <si>
    <t>inp_curr_div</t>
  </si>
  <si>
    <t>inp_b1_2</t>
  </si>
  <si>
    <t>inp_b1_3</t>
  </si>
  <si>
    <t>inp_b1_4</t>
  </si>
  <si>
    <t>inp_b1_6</t>
  </si>
  <si>
    <t>inp_b1_9out</t>
  </si>
  <si>
    <t>inp_b1_11</t>
  </si>
  <si>
    <t>inp_b1_17</t>
  </si>
  <si>
    <t>inp_b1_18</t>
  </si>
  <si>
    <t>inp_b1_31</t>
  </si>
  <si>
    <t>inp_b1_32</t>
  </si>
  <si>
    <t>inp_b1_36</t>
  </si>
  <si>
    <t>inp_b1_65</t>
  </si>
  <si>
    <t>inp_b6_5_2_5_3</t>
  </si>
  <si>
    <t>inp_m22_credits</t>
  </si>
  <si>
    <t>inp_m23_credits</t>
  </si>
  <si>
    <t>inp_m22_b1_4_adjust</t>
  </si>
  <si>
    <t>inp_m23_b1_4_adjust</t>
  </si>
  <si>
    <t>inp_m14_foreign</t>
  </si>
  <si>
    <t>inp_specific_donation_total</t>
  </si>
  <si>
    <t>inp_adjust_local_credit</t>
  </si>
  <si>
    <t>inp_f1_capital</t>
  </si>
  <si>
    <t>inp_f1_opening_profit</t>
  </si>
  <si>
    <t>inp_f1_merger_inc</t>
  </si>
  <si>
    <t>inp_f1_split_dec</t>
  </si>
  <si>
    <t>inp_f1_09</t>
  </si>
  <si>
    <t>inp_f1_10</t>
  </si>
  <si>
    <t>inp_f1_11</t>
  </si>
  <si>
    <t>inp_f1_12</t>
  </si>
  <si>
    <t>inp_f1_13</t>
  </si>
  <si>
    <t>inp_f1_14</t>
  </si>
  <si>
    <t>inp_f1_15</t>
  </si>
  <si>
    <t>inp_f1_16</t>
  </si>
  <si>
    <t>inp_f1_19</t>
  </si>
  <si>
    <t>inp_f1_20</t>
  </si>
  <si>
    <t>inp_f1_21</t>
  </si>
  <si>
    <t>inp_f1_22</t>
  </si>
  <si>
    <t>inp_f1_23</t>
  </si>
  <si>
    <t>inp_f1_24</t>
  </si>
  <si>
    <t>inp_f1_25</t>
  </si>
  <si>
    <t>inp_f1_26</t>
  </si>
  <si>
    <t>inp_f1_27</t>
  </si>
  <si>
    <t>inp_f1_28</t>
  </si>
  <si>
    <t>inp_f1_29</t>
  </si>
  <si>
    <t>inp_f1_30</t>
  </si>
  <si>
    <t>inp_f2_01</t>
  </si>
  <si>
    <t>inp_f2_02</t>
  </si>
  <si>
    <t>inp_f2_03</t>
  </si>
  <si>
    <t>inp_f2_04</t>
  </si>
  <si>
    <t>inp_f2_06</t>
  </si>
  <si>
    <t>inp_f2_07</t>
  </si>
  <si>
    <t>inp_f2_08</t>
  </si>
  <si>
    <t>inp_f2_12</t>
  </si>
  <si>
    <t>inp_f2_15</t>
  </si>
  <si>
    <t>inp_f2_16</t>
  </si>
  <si>
    <t>inp_f2_21</t>
  </si>
  <si>
    <t>inp_f2_23</t>
  </si>
  <si>
    <t>全金額入力の絶対値合計が1000000000000000 円以下かつ整数入力</t>
  </si>
  <si>
    <t>付表二の制度開始日条件</t>
  </si>
  <si>
    <t>別表三(一) - 留保金額に対する税額の計算</t>
  </si>
  <si>
    <t>令和5年版 国税庁様式。青色セルは自動計算、黄色セルは入力シートで入力します。</t>
  </si>
  <si>
    <t>番号</t>
  </si>
  <si>
    <t>項目</t>
  </si>
  <si>
    <t>計算式・転記元</t>
  </si>
  <si>
    <t>金額</t>
  </si>
  <si>
    <t>注記</t>
  </si>
  <si>
    <t>年3,000万円相当額以下の金額</t>
  </si>
  <si>
    <t>MIN((21),3,000万円×月数/12)</t>
  </si>
  <si>
    <t>1,000円単位</t>
  </si>
  <si>
    <t>年3,000万円相当額超・年1億円相当額以下</t>
  </si>
  <si>
    <t>基本通達16-1-8(2)の端数判定</t>
  </si>
  <si>
    <t>特殊な切上げ・切捨て</t>
  </si>
  <si>
    <t>年1億円相当額を超える金額</t>
  </si>
  <si>
    <t>(21)-(1)-(2)</t>
  </si>
  <si>
    <t>課税留保金額 計</t>
  </si>
  <si>
    <t>(1)+(2)+(3)</t>
  </si>
  <si>
    <t>主表(21)と一致</t>
  </si>
  <si>
    <t>(1)の10％相当額</t>
  </si>
  <si>
    <t>(1)×10％</t>
  </si>
  <si>
    <t/>
  </si>
  <si>
    <t>(2)の15％相当額</t>
  </si>
  <si>
    <t>(2)×15％</t>
  </si>
  <si>
    <t>(3)の20％相当額</t>
  </si>
  <si>
    <t>(3)×20％</t>
  </si>
  <si>
    <t>留保金額に対する税額 計</t>
  </si>
  <si>
    <t>(5)+(6)+(7)</t>
  </si>
  <si>
    <t>別表一へ転記</t>
  </si>
  <si>
    <t>留保所得金額</t>
  </si>
  <si>
    <t>別表四52②＋記載要領上の追加額</t>
  </si>
  <si>
    <t>内書額は別入力</t>
  </si>
  <si>
    <t>前期の主表11</t>
  </si>
  <si>
    <t>法人税額及び地方法人税額の合計額</t>
  </si>
  <si>
    <t>R5公式様式算式</t>
  </si>
  <si>
    <t>マイナスは0</t>
  </si>
  <si>
    <t>住民税額</t>
  </si>
  <si>
    <t>主表28</t>
  </si>
  <si>
    <t>外国関係会社等に係る控除対象所得税額等相当額</t>
  </si>
  <si>
    <t>法人税額等の合計額</t>
  </si>
  <si>
    <t>MAX((12)+(13)-(14),0)</t>
  </si>
  <si>
    <t>通算法人の留保金加算額</t>
  </si>
  <si>
    <t>付表二5</t>
  </si>
  <si>
    <t>通算法人の留保金控除額</t>
  </si>
  <si>
    <t>付表二10</t>
  </si>
  <si>
    <t>他法人株式等の帳簿価額から減算される金額</t>
  </si>
  <si>
    <t>付表一19</t>
  </si>
  <si>
    <t>当期留保金額</t>
  </si>
  <si>
    <t>(9)-9内書+(10)-(11)-(15)+(16)-(17)-(18)</t>
  </si>
  <si>
    <t>留保控除額</t>
  </si>
  <si>
    <t>付表33</t>
  </si>
  <si>
    <t>課税留保金額</t>
  </si>
  <si>
    <t>MAX((19)-(20),0)、1,000円未満切捨て</t>
  </si>
  <si>
    <t>基本通達16-1-8(1)</t>
  </si>
  <si>
    <t>住民税計算の基礎となる法人税額（中小企業者等以外）</t>
  </si>
  <si>
    <t>R5様式列挙額</t>
  </si>
  <si>
    <t>住民税計算の基礎となる法人税額（中小企業者等）</t>
  </si>
  <si>
    <t>選択した(22)又は(23)×適用率</t>
  </si>
  <si>
    <t>特定寄附金の額の合計額に係る控除額</t>
  </si>
  <si>
    <t>特定寄附金合計×適用率</t>
  </si>
  <si>
    <t>調整地方税額に係る控除額</t>
  </si>
  <si>
    <t>((24)+(別表一11+17)×10.4％－付表六7計×10.4％)×20％</t>
  </si>
  <si>
    <t>住民税額から控除される金額</t>
  </si>
  <si>
    <t>(25)又は(26)の少ない金額</t>
  </si>
  <si>
    <t>(24)-(27)</t>
  </si>
  <si>
    <t>主表13へ</t>
  </si>
  <si>
    <t>別表三(一)付表一 - 留保控除額の計算</t>
  </si>
  <si>
    <t>期末資本金の額又は出資金の額</t>
  </si>
  <si>
    <t>入力値</t>
  </si>
  <si>
    <t>同上の25％相当額</t>
  </si>
  <si>
    <t>(1)×25％</t>
  </si>
  <si>
    <t>1円未満切捨て</t>
  </si>
  <si>
    <t>期首利益積立金額</t>
  </si>
  <si>
    <t>別表五(一)該当欄－主表(10)</t>
  </si>
  <si>
    <t>期末利益積立金額</t>
  </si>
  <si>
    <t>(3)+(4)-(5)</t>
  </si>
  <si>
    <t>積立金基準額</t>
  </si>
  <si>
    <t>(2)-(6)</t>
  </si>
  <si>
    <t>記載要領により差額がマイナスの場合は0。期末利益積立金額が負ならその正数分だけ増加</t>
  </si>
  <si>
    <t>定額基準額</t>
  </si>
  <si>
    <t>2,000万円×当期月数/12</t>
  </si>
  <si>
    <t>所得金額</t>
  </si>
  <si>
    <t>非適格合併による移転資産等の譲渡利益額又は譲渡損失額</t>
  </si>
  <si>
    <t>受取配当等の益金不算入額</t>
  </si>
  <si>
    <t>外国子会社等から受ける剰余金の配当等の益金不算入額</t>
  </si>
  <si>
    <t>受贈益の益金不算入額</t>
  </si>
  <si>
    <t>法人税額の還付金等</t>
  </si>
  <si>
    <t>欠損金等の当期控除額</t>
  </si>
  <si>
    <t>災害損失欠損金額の益金算入額</t>
  </si>
  <si>
    <t>通算法人の所得基準額加算額</t>
  </si>
  <si>
    <t>付表二(13)</t>
  </si>
  <si>
    <t>通算法人の所得基準額控除額</t>
  </si>
  <si>
    <t>付表二(17)</t>
  </si>
  <si>
    <t>新鉱床探鉱費又は海外新鉱床探鉱費の特別控除額</t>
  </si>
  <si>
    <t>日本船舶による収入金額に係る所得の損金算入額</t>
  </si>
  <si>
    <t>日本船舶による収入金額に係る所得の益金算入額</t>
  </si>
  <si>
    <t>沖縄認定法人・国家戦略特区指定法人の所得特別控除額</t>
  </si>
  <si>
    <t>沖縄認定法人・国家戦略特区指定法人の要加算調整額</t>
  </si>
  <si>
    <t>収用等の場合等の所得の特別控除額</t>
  </si>
  <si>
    <t>特別新事業開拓事業者関係の特別勘定繰入額</t>
  </si>
  <si>
    <t>特別新事業開拓事業者関係の特別勘定取崩額</t>
  </si>
  <si>
    <t>肉用牛の売却に係る所得の特別控除額</t>
  </si>
  <si>
    <t>超過利子額の損金算入額</t>
  </si>
  <si>
    <t>課税対象金額等の益金算入額</t>
  </si>
  <si>
    <t>所得等の金額</t>
  </si>
  <si>
    <t>(9)-(10)+(11)+(12)+(13)+(14)+(15)-(16)+(17)-(18)-(19)+(20)+(21)-(22)+(23)-(24)+(25)+(26)-(27)+(28)+(29)-(30)</t>
  </si>
  <si>
    <t>所得基準額</t>
  </si>
  <si>
    <t>(31)×40％</t>
  </si>
  <si>
    <t>(7)、(8)、(32)のいずれか多い金額</t>
  </si>
  <si>
    <t>主表20へ</t>
  </si>
  <si>
    <t>別表三(一)付表二 - 通算法人調整</t>
  </si>
  <si>
    <t>他の通算法人に対する通算法人株式の譲渡損失額</t>
  </si>
  <si>
    <t>通算対象所得金額の益金算入額</t>
  </si>
  <si>
    <t>通算外配当等流出額</t>
  </si>
  <si>
    <t>通算内配当等の額</t>
  </si>
  <si>
    <t>(1)+(2)+(3)+(4)</t>
  </si>
  <si>
    <t>主表16へ</t>
  </si>
  <si>
    <t>他の通算法人に対する通算法人株式の譲渡利益額</t>
  </si>
  <si>
    <t>通算対象欠損金額の損金算入額</t>
  </si>
  <si>
    <t>通算法人間配当等の当期受取額</t>
  </si>
  <si>
    <t>通算外配当等流出配賦額</t>
  </si>
  <si>
    <t>付表二(26)</t>
  </si>
  <si>
    <t>(6)+(7)+(8)+(9)</t>
  </si>
  <si>
    <t>主表17へ</t>
  </si>
  <si>
    <t>所得基準額加算</t>
  </si>
  <si>
    <t>通算法人の合併等があった場合の欠損金の損金算入額</t>
  </si>
  <si>
    <t>(11)+(12)</t>
  </si>
  <si>
    <t>付表一へ</t>
  </si>
  <si>
    <t>所得基準額控除</t>
  </si>
  <si>
    <t>当初配賦欠損金控除額の益金算入額</t>
  </si>
  <si>
    <t>当初支払利子配賦額の控除不足額の益金算入額</t>
  </si>
  <si>
    <t>(14)+(15)+(16)</t>
  </si>
  <si>
    <t>通算内配当等の額の当期受取額</t>
  </si>
  <si>
    <t>付表二(8)と同額</t>
  </si>
  <si>
    <t>通算内配当等受取超過額</t>
  </si>
  <si>
    <t>MAX((18)-(4),0)</t>
  </si>
  <si>
    <t>調整通算外配当等流出額</t>
  </si>
  <si>
    <t>(3)と(19)の少ない金額</t>
  </si>
  <si>
    <t>他の通算法人の調整通算外配当等流出額の合計額（控除前）</t>
  </si>
  <si>
    <t>純通算内配当等の額</t>
  </si>
  <si>
    <t>MAX((4)-(18),0)</t>
  </si>
  <si>
    <t>他の通算法人の純通算内配当等の額の合計額（控除前）</t>
  </si>
  <si>
    <t>純通算内配当等の割合</t>
  </si>
  <si>
    <t>(22)/((22)+(23))</t>
  </si>
  <si>
    <t>分母0は0</t>
  </si>
  <si>
    <t>通算外配当等流出超過額</t>
  </si>
  <si>
    <t>MAX((3)-(19),0)</t>
  </si>
  <si>
    <t>((20)+(21))×(24)+(25)</t>
  </si>
  <si>
    <t>割合を分数のまま計算し1円未満切捨て</t>
  </si>
  <si>
    <t>端数処理ヘルパー</t>
  </si>
  <si>
    <t>値</t>
  </si>
  <si>
    <t>課税留保金額（切捨前）</t>
  </si>
  <si>
    <t>主表(21)で切り捨てた端数</t>
  </si>
  <si>
    <t>年1億円相当額（生額）</t>
  </si>
  <si>
    <t>主表(2)の丸め前金額</t>
  </si>
  <si>
    <t>主表(2)の1,000円未満端数</t>
  </si>
  <si>
    <t>主表(2)の丸め後金額</t>
  </si>
  <si>
    <t>bit</t>
  </si>
  <si>
    <t>bit値</t>
  </si>
  <si>
    <t>倍加後値</t>
  </si>
  <si>
    <t>商</t>
  </si>
  <si>
    <t>剰余</t>
  </si>
  <si>
    <t>r5_f2_26_ratio</t>
  </si>
  <si>
    <t>通算外配当等流出配賦額を厳密計算</t>
  </si>
  <si>
    <t>出力</t>
  </si>
  <si>
    <t>r5_f1_32_income</t>
  </si>
  <si>
    <t>所得基準額40％を厳密計算</t>
  </si>
  <si>
    <t>r5_m_24_resident</t>
  </si>
  <si>
    <t>住民税率を1円未満切捨てで厳密計算</t>
  </si>
  <si>
    <t>r5_m_26_municipal</t>
  </si>
  <si>
    <t>調整地方税額：住民税項</t>
  </si>
  <si>
    <t>r5_m_26_delta</t>
  </si>
  <si>
    <t>調整地方税額：加減算項</t>
  </si>
  <si>
    <t>全演算が2^53未満の整数安全域</t>
  </si>
  <si>
    <t>付表二21・23欄／割合の整合性</t>
  </si>
  <si>
    <t>別表二判定結果18</t>
  </si>
  <si>
    <t>中小企業者等区分の選択</t>
  </si>
  <si>
    <t>通算法人区分の選択</t>
  </si>
  <si>
    <t>開始日・終了日・事業年度月数の有効性（1900～2100年・12か月以内）</t>
  </si>
  <si>
    <t>最終結果・帳票印字の準備完了</t>
  </si>
  <si>
    <t>特定同族会社の留保金課税 計算シート（令和5年版）</t>
  </si>
  <si>
    <t>令和5年4月1日から令和6年3月31日までに終了する事業年度の年次版／国税庁の当該年公式別表を背景として再現</t>
  </si>
  <si>
    <t>最終結果</t>
  </si>
  <si>
    <t>留保金額に対する税額（別表三(一)「8」）</t>
  </si>
  <si>
    <t>課税留保金額（同「21」）</t>
  </si>
  <si>
    <t>留保控除額（別表三(一)付表一「33」）</t>
  </si>
  <si>
    <t>住民税額（別表三(一)「28」）</t>
  </si>
  <si>
    <t>適用・入力チェック</t>
  </si>
  <si>
    <t>事業年度・年度版・制度開始日の適用期間</t>
  </si>
  <si>
    <t>特定同族会社の判定</t>
  </si>
  <si>
    <t>必須区分の選択</t>
  </si>
  <si>
    <t>入力域・厳密整数演算</t>
  </si>
  <si>
    <t>事業年度月数</t>
  </si>
  <si>
    <t>操作手順</t>
  </si>
  <si>
    <t>1. 「入力」シートの黄色セルへ、各別表から円単位で入力し、別表二「判定結果18」と必須区分を明示選択します。</t>
  </si>
  <si>
    <t>2. 青色の計算シートで主表・付表の算式と転記元を確認します。全金額入力の絶対値合計1,000兆円が保証入力域です。</t>
  </si>
  <si>
    <t>3. 緑色タブの国税庁様式に自動転記された金額を確認し、申告用データと突合します。準備未完了時は印字しません。</t>
  </si>
  <si>
    <t>4. このブックは計算補助です。提出前に最新の法令・記載要領・電子申告仕様を必ず確認してください。</t>
  </si>
  <si>
    <t>シート移動</t>
  </si>
  <si>
    <t>入力</t>
  </si>
  <si>
    <t>主表計算</t>
  </si>
  <si>
    <t>付表一_計算</t>
  </si>
  <si>
    <t>付表二計算</t>
  </si>
  <si>
    <t>公式様式</t>
  </si>
  <si>
    <t>検算</t>
  </si>
  <si>
    <t>根拠・出典</t>
  </si>
  <si>
    <t>令和5年版 根拠・出典・ファイル同一性</t>
  </si>
  <si>
    <t>種別</t>
  </si>
  <si>
    <t>資料名</t>
  </si>
  <si>
    <t>URL</t>
  </si>
  <si>
    <t>SHA-256</t>
  </si>
  <si>
    <t>用途</t>
  </si>
  <si>
    <t>国税庁</t>
  </si>
  <si>
    <t>令和5年 法人税各種別表一覧</t>
  </si>
  <si>
    <t>https://www.nta.go.jp/taxes/tetsuzuki/shinsei/annai/hojin/shinkoku/itiran2023/01.htm</t>
  </si>
  <si>
    <t>年度版・適用様式の確認</t>
  </si>
  <si>
    <t>別表三(一) 公式様式</t>
  </si>
  <si>
    <t>https://www.nta.go.jp/taxes/tetsuzuki/shinsei/annai/hojin/shinkoku/itiran2023/pdf/03%2801%29.pdf</t>
  </si>
  <si>
    <t>4E6171E23C6E08BB15BF5C332E446F5C4892BB2FED1B8ECB8B267846B2128210</t>
  </si>
  <si>
    <t>公式様式・算式・記載要領</t>
  </si>
  <si>
    <t>別表三(一) 記載要領</t>
  </si>
  <si>
    <t>https://www.nta.go.jp/taxes/tetsuzuki/shinsei/annai/hojin/shinkoku/itiran2023/pdf/03%2801%29-ki.pdf</t>
  </si>
  <si>
    <t>3FC13F2467BA15038BC856694C9D57E4041452863C6AD441BE388751C11FDAEB</t>
  </si>
  <si>
    <t>別表三(一)付表（付表一）公式様式</t>
  </si>
  <si>
    <t>https://www.nta.go.jp/taxes/tetsuzuki/shinsei/annai/hojin/shinkoku/itiran2023/pdf/03%2801%29-f1.pdf</t>
  </si>
  <si>
    <t>4C81ABBDB51278222D177F83355B92570AD42295FA05A163A94B968E4DAE6D8D</t>
  </si>
  <si>
    <t>別表三(一)付表（付表一）記載要領</t>
  </si>
  <si>
    <t>https://www.nta.go.jp/taxes/tetsuzuki/shinsei/annai/hojin/shinkoku/itiran2023/pdf/03%2801%29-f1-ki.pdf</t>
  </si>
  <si>
    <t>9FF7325AE5B7ED5DCE61B0BF3C81A474D849FBC830BDD98E5442AC6F0E813E41</t>
  </si>
  <si>
    <t>別表三(一)付表二 公式様式</t>
  </si>
  <si>
    <t>https://www.nta.go.jp/taxes/tetsuzuki/shinsei/annai/hojin/shinkoku/itiran2023/pdf/03%2801%29-f2.pdf</t>
  </si>
  <si>
    <t>F84AC88152CCA1084FFD4D1956900D68AEF031FD4949EF6224C95C55436040C3</t>
  </si>
  <si>
    <t>別表三(一)付表二 記載要領</t>
  </si>
  <si>
    <t>https://www.nta.go.jp/taxes/tetsuzuki/shinsei/annai/hojin/shinkoku/itiran2023/pdf/03%2801%29-f2-ki.pdf</t>
  </si>
  <si>
    <t>972812D755D8F9CA5EA668613759800C2FE031AC8F45948E6F98A1F51DFADC7C</t>
  </si>
  <si>
    <t>法人税基本通達16-1-8</t>
  </si>
  <si>
    <t>https://www.nta.go.jp/law/tsutatsu/kihon/hojin/16/16_01_02.htm</t>
  </si>
  <si>
    <t>課税留保金額の1,000円端数処理</t>
  </si>
  <si>
    <t>e-Gov</t>
  </si>
  <si>
    <t>法人税法67条</t>
  </si>
  <si>
    <t>https://laws.e-gov.go.jp/law/340AC0000000034#Mp-At_67</t>
  </si>
  <si>
    <t>特定同族会社の特別税率・留保控除</t>
  </si>
  <si>
    <t>国税通則法10条</t>
  </si>
  <si>
    <t>https://laws.e-gov.go.jp/law/337AC0000000066#Mp-At_10</t>
  </si>
  <si>
    <t>暦による月数計算</t>
  </si>
  <si>
    <t>計算</t>
  </si>
  <si>
    <t>端数処理：法人税基本通達16-1-8。月数：法人税法67条7項・国税通則法10条。留保控除：積立金・定額・所得の三基準の最大額。</t>
  </si>
  <si>
    <t>未選択</t>
    <phoneticPr fontId="3"/>
  </si>
  <si>
    <t>未確認</t>
    <phoneticPr fontId="3"/>
  </si>
  <si>
    <t>令和5年版 組込検算・構造QA</t>
  </si>
  <si>
    <t>テスト</t>
  </si>
  <si>
    <t>期待値</t>
  </si>
  <si>
    <t>実測値</t>
  </si>
  <si>
    <t>結果</t>
  </si>
  <si>
    <t>12か月・3段階税率</t>
  </si>
  <si>
    <t>課税留保180,000,000 / 税額29,500,000</t>
  </si>
  <si>
    <t>180,000,000 / 29,500,000</t>
  </si>
  <si>
    <t>PASS</t>
  </si>
  <si>
    <t>5か月・通達端数切上げ</t>
  </si>
  <si>
    <t>(2)=29,167,000</t>
  </si>
  <si>
    <t>5か月・通達端数切捨て</t>
  </si>
  <si>
    <t>(2)=29,166,000</t>
  </si>
  <si>
    <t>月数・平年月末</t>
  </si>
  <si>
    <t>月数=1</t>
  </si>
  <si>
    <t>月数・閏年月末</t>
  </si>
  <si>
    <t>月数・応当日前日</t>
  </si>
  <si>
    <t>月数・1か月と1日</t>
  </si>
  <si>
    <t>月数=2</t>
  </si>
  <si>
    <t>事業年度・文字列貼付ガード</t>
  </si>
  <si>
    <t>period=FALSE / ready=FALSE</t>
  </si>
  <si>
    <t>period=False / ready=False</t>
  </si>
  <si>
    <t>事業年度・12か月超ガード</t>
  </si>
  <si>
    <t>事業年度・2101年範囲外ガード</t>
  </si>
  <si>
    <t>入力規則・符号分類</t>
  </si>
  <si>
    <t>資本金の負数を拒否／利益積立金の負数を受理</t>
  </si>
  <si>
    <t>資本金拒否=True／利益積立金受理=True</t>
  </si>
  <si>
    <t>付表(7)・負数は0</t>
  </si>
  <si>
    <t>(7)=0</t>
  </si>
  <si>
    <t>R5固定率</t>
  </si>
  <si>
    <t>住民税10.4% / 寄附40%</t>
  </si>
  <si>
    <t>10.4% / 40%</t>
  </si>
  <si>
    <t>住民税率・15桁厳密切捨て</t>
  </si>
  <si>
    <t>付表二21・控除前入力規則</t>
  </si>
  <si>
    <t>49拒否／50受理</t>
  </si>
  <si>
    <t>49拒否=True／50受理=True</t>
  </si>
  <si>
    <t>付表二23・控除前入力規則</t>
  </si>
  <si>
    <t>99拒否／100受理</t>
  </si>
  <si>
    <t>99拒否=True／100受理=True</t>
  </si>
  <si>
    <t>付表二26・分数のまま計算</t>
  </si>
  <si>
    <t>(26)=29,701,000</t>
  </si>
  <si>
    <t>付表二26・15桁厳密除算反例</t>
  </si>
  <si>
    <t>厳密整数演算ヘルパー</t>
  </si>
  <si>
    <t>構造検査</t>
  </si>
  <si>
    <t>数式エラー</t>
  </si>
  <si>
    <t>主表行数</t>
  </si>
  <si>
    <t>付表行数</t>
  </si>
  <si>
    <t>付表二行数</t>
  </si>
  <si>
    <t>事業年度入力有効性</t>
  </si>
  <si>
    <t>年度版適用期間</t>
  </si>
  <si>
    <t>保証入力域</t>
  </si>
  <si>
    <t>厳密整数演算</t>
  </si>
  <si>
    <t>動的入力整合性（入力変更時も自動更新）</t>
  </si>
  <si>
    <t>付表二21・23欄の控除前合計額／24欄割合</t>
  </si>
  <si>
    <t>TRUE（割合0～100%）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</si>
</sst>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9" formatCode="yyyy/mm/dd"/>
    <numFmt numFmtId="180" formatCode="[=0]&quot;OK&quot;;[=0]&quot;要確認&quot;"/>
    <numFmt numFmtId="181" formatCode="0.0%"/>
    <numFmt numFmtId="182" formatCode="#,##0;\-#,##0;0"/>
    <numFmt numFmtId="183" formatCode="0.00000000"/>
    <numFmt numFmtId="184" formatCode="#,##0&quot; 円&quot;"/>
  </numFmts>
  <fonts count="16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6"/>
      <color rgb="FFFFFFFF"/>
      <name val="Yu Gothic"/>
      <family val="3"/>
      <charset val="128"/>
    </font>
    <font>
      <sz val="11"/>
      <color theme="1"/>
      <name val="Yu Gothic"/>
      <family val="3"/>
      <charset val="128"/>
    </font>
    <font>
      <sz val="11"/>
      <color rgb="FF595959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b/>
      <sz val="11"/>
      <color theme="1"/>
      <name val="Yu Gothic"/>
      <family val="3"/>
      <charset val="128"/>
    </font>
    <font>
      <sz val="11"/>
      <color rgb="FFC00000"/>
      <name val="Yu Gothic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8"/>
      <color rgb="FFFFFFFF"/>
      <name val="Yu Gothic"/>
      <family val="3"/>
      <charset val="128"/>
    </font>
    <font>
      <u/>
      <sz val="11"/>
      <color rgb="FF2F75B5"/>
      <name val="Yu Gothic"/>
      <family val="3"/>
      <charset val="128"/>
    </font>
    <font>
      <b/>
      <sz val="11"/>
      <color rgb="FF548235"/>
      <name val="Yu Gothic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4FB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/>
      <right/>
      <top style="thin">
        <color rgb="FF7F8C8D"/>
      </top>
      <bottom/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5" fillId="2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2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80" fontId="6" fillId="0" borderId="1" xfId="0" applyNumberFormat="1" applyFont="1" applyBorder="1" applyAlignment="1">
      <alignment vertical="center"/>
    </xf>
    <xf numFmtId="181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9" fillId="6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1" fontId="6" fillId="4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vertical="center" wrapText="1"/>
    </xf>
    <xf numFmtId="182" fontId="6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4" fontId="0" fillId="0" borderId="1" xfId="0" applyNumberFormat="1" applyBorder="1" applyAlignment="1">
      <alignment vertical="center"/>
    </xf>
    <xf numFmtId="183" fontId="6" fillId="4" borderId="1" xfId="0" applyNumberFormat="1" applyFont="1" applyFill="1" applyBorder="1" applyAlignment="1">
      <alignment horizontal="right" vertical="center"/>
    </xf>
    <xf numFmtId="182" fontId="10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0" fontId="10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180" fontId="10" fillId="7" borderId="1" xfId="0" applyNumberFormat="1" applyFont="1" applyFill="1" applyBorder="1" applyAlignment="1">
      <alignment vertical="center"/>
    </xf>
    <xf numFmtId="0" fontId="11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3" fillId="2" borderId="0" xfId="0" applyFont="1" applyFill="1">
      <alignment vertical="center"/>
    </xf>
    <xf numFmtId="0" fontId="10" fillId="8" borderId="0" xfId="0" applyFont="1" applyFill="1">
      <alignment vertical="center"/>
    </xf>
    <xf numFmtId="184" fontId="10" fillId="7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4" fillId="0" borderId="0" xfId="1" applyFont="1">
      <alignment vertical="center"/>
    </xf>
    <xf numFmtId="0" fontId="14" fillId="0" borderId="1" xfId="1" applyFont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82" fontId="6" fillId="3" borderId="1" xfId="0" applyNumberFormat="1" applyFont="1" applyFill="1" applyBorder="1" applyAlignment="1" applyProtection="1">
      <alignment horizontal="right" vertical="center"/>
      <protection locked="0"/>
    </xf>
    <xf numFmtId="49" fontId="6" fillId="3" borderId="1" xfId="0" applyNumberFormat="1" applyFont="1" applyFill="1" applyBorder="1" applyAlignment="1" applyProtection="1">
      <alignment horizontal="right" vertical="center"/>
      <protection locked="0"/>
    </xf>
    <xf numFmtId="179" fontId="6" fillId="3" borderId="1" xfId="0" applyNumberFormat="1" applyFont="1" applyFill="1" applyBorder="1" applyAlignment="1" applyProtection="1">
      <alignment horizontal="right" vertical="center"/>
      <protection locked="0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5080</xdr:colOff>
      <xdr:row>3</xdr:row>
      <xdr:rowOff>17780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A85AC714-454D-C3EC-A3FB-C6683B4069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6500" cy="10693400"/>
        </a:xfrm>
        <a:prstGeom prst="rect">
          <a:avLst/>
        </a:prstGeom>
      </xdr:spPr>
    </xdr:pic>
    <xdr:clientData/>
  </xdr:twoCellAnchor>
  <xdr:twoCellAnchor editAs="absolute">
    <xdr:from>
      <xdr:col>6</xdr:col>
      <xdr:colOff>376936</xdr:colOff>
      <xdr:row>0</xdr:row>
      <xdr:rowOff>464033</xdr:rowOff>
    </xdr:from>
    <xdr:to>
      <xdr:col>7</xdr:col>
      <xdr:colOff>569976</xdr:colOff>
      <xdr:row>0</xdr:row>
      <xdr:rowOff>857733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99CEE531-EA56-2A3C-1012-B11848B1E1EA}"/>
            </a:ext>
          </a:extLst>
        </xdr:cNvPr>
        <xdr:cNvSpPr txBox="1"/>
      </xdr:nvSpPr>
      <xdr:spPr>
        <a:xfrm>
          <a:off x="4171696" y="464033"/>
          <a:ext cx="825500" cy="3937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ctr"/>
          <a:fld id="{CA485ABE-07C8-4217-AC50-9159F3D54AE8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392176</xdr:colOff>
      <xdr:row>0</xdr:row>
      <xdr:rowOff>464033</xdr:rowOff>
    </xdr:from>
    <xdr:to>
      <xdr:col>10</xdr:col>
      <xdr:colOff>371856</xdr:colOff>
      <xdr:row>0</xdr:row>
      <xdr:rowOff>857733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B7D6CBF9-9F9F-1B8C-7995-B85DD0D7CCF4}"/>
            </a:ext>
          </a:extLst>
        </xdr:cNvPr>
        <xdr:cNvSpPr txBox="1"/>
      </xdr:nvSpPr>
      <xdr:spPr>
        <a:xfrm>
          <a:off x="5451856" y="464033"/>
          <a:ext cx="12446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8DE8AA0B-580F-4E5B-991C-22DB5278FC6C}" type="TxLink">
            <a:rPr kumimoji="1" lang="en-US" altLang="en-US" sz="51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1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557784</xdr:colOff>
      <xdr:row>0</xdr:row>
      <xdr:rowOff>1256513</xdr:rowOff>
    </xdr:from>
    <xdr:to>
      <xdr:col>5</xdr:col>
      <xdr:colOff>319024</xdr:colOff>
      <xdr:row>0</xdr:row>
      <xdr:rowOff>1650213</xdr:rowOff>
    </xdr:to>
    <xdr:sp macro="" textlink="印字値!$A$5">
      <xdr:nvSpPr>
        <xdr:cNvPr id="6" name="主表01">
          <a:extLst>
            <a:ext uri="{FF2B5EF4-FFF2-40B4-BE49-F238E27FC236}">
              <a16:creationId xmlns:a16="http://schemas.microsoft.com/office/drawing/2014/main" id="{6481F66D-F33C-97AE-F0E0-E2591B2317C4}"/>
            </a:ext>
          </a:extLst>
        </xdr:cNvPr>
        <xdr:cNvSpPr txBox="1"/>
      </xdr:nvSpPr>
      <xdr:spPr>
        <a:xfrm>
          <a:off x="3087624" y="1256513"/>
          <a:ext cx="3937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760DDA1-C2E2-43AD-8E7A-0913C01ECA7B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557784</xdr:colOff>
      <xdr:row>0</xdr:row>
      <xdr:rowOff>1759433</xdr:rowOff>
    </xdr:from>
    <xdr:to>
      <xdr:col>5</xdr:col>
      <xdr:colOff>319024</xdr:colOff>
      <xdr:row>0</xdr:row>
      <xdr:rowOff>2153133</xdr:rowOff>
    </xdr:to>
    <xdr:sp macro="" textlink="印字値!$A$6">
      <xdr:nvSpPr>
        <xdr:cNvPr id="7" name="主表02">
          <a:extLst>
            <a:ext uri="{FF2B5EF4-FFF2-40B4-BE49-F238E27FC236}">
              <a16:creationId xmlns:a16="http://schemas.microsoft.com/office/drawing/2014/main" id="{C44F931F-34A3-0E59-DA8D-8C62DB3A191D}"/>
            </a:ext>
          </a:extLst>
        </xdr:cNvPr>
        <xdr:cNvSpPr txBox="1"/>
      </xdr:nvSpPr>
      <xdr:spPr>
        <a:xfrm>
          <a:off x="3087624" y="1759433"/>
          <a:ext cx="3937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AF8A83D-E26B-4FF3-8712-B90AF0E88E13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557784</xdr:colOff>
      <xdr:row>0</xdr:row>
      <xdr:rowOff>2262353</xdr:rowOff>
    </xdr:from>
    <xdr:to>
      <xdr:col>5</xdr:col>
      <xdr:colOff>319024</xdr:colOff>
      <xdr:row>0</xdr:row>
      <xdr:rowOff>2656053</xdr:rowOff>
    </xdr:to>
    <xdr:sp macro="" textlink="印字値!$A$7">
      <xdr:nvSpPr>
        <xdr:cNvPr id="8" name="主表03">
          <a:extLst>
            <a:ext uri="{FF2B5EF4-FFF2-40B4-BE49-F238E27FC236}">
              <a16:creationId xmlns:a16="http://schemas.microsoft.com/office/drawing/2014/main" id="{57850FE6-F3F9-6CEF-707D-36901CCB4F74}"/>
            </a:ext>
          </a:extLst>
        </xdr:cNvPr>
        <xdr:cNvSpPr txBox="1"/>
      </xdr:nvSpPr>
      <xdr:spPr>
        <a:xfrm>
          <a:off x="3087624" y="2262353"/>
          <a:ext cx="3937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9149C6B-0BA7-4B80-856C-0C2F60D8E292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557784</xdr:colOff>
      <xdr:row>0</xdr:row>
      <xdr:rowOff>2765273</xdr:rowOff>
    </xdr:from>
    <xdr:to>
      <xdr:col>5</xdr:col>
      <xdr:colOff>319024</xdr:colOff>
      <xdr:row>0</xdr:row>
      <xdr:rowOff>3158973</xdr:rowOff>
    </xdr:to>
    <xdr:sp macro="" textlink="印字値!$A$8">
      <xdr:nvSpPr>
        <xdr:cNvPr id="9" name="主表04">
          <a:extLst>
            <a:ext uri="{FF2B5EF4-FFF2-40B4-BE49-F238E27FC236}">
              <a16:creationId xmlns:a16="http://schemas.microsoft.com/office/drawing/2014/main" id="{8B8B62AD-D8CA-63B2-9775-8DAE9B97A790}"/>
            </a:ext>
          </a:extLst>
        </xdr:cNvPr>
        <xdr:cNvSpPr txBox="1"/>
      </xdr:nvSpPr>
      <xdr:spPr>
        <a:xfrm>
          <a:off x="3087624" y="2765273"/>
          <a:ext cx="3937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C9731BD-70B4-4C55-B3BA-4EDFD6159E0A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0</xdr:row>
      <xdr:rowOff>1256513</xdr:rowOff>
    </xdr:from>
    <xdr:to>
      <xdr:col>10</xdr:col>
      <xdr:colOff>346964</xdr:colOff>
      <xdr:row>0</xdr:row>
      <xdr:rowOff>1650213</xdr:rowOff>
    </xdr:to>
    <xdr:sp macro="" textlink="印字値!$A$9">
      <xdr:nvSpPr>
        <xdr:cNvPr id="10" name="主表05">
          <a:extLst>
            <a:ext uri="{FF2B5EF4-FFF2-40B4-BE49-F238E27FC236}">
              <a16:creationId xmlns:a16="http://schemas.microsoft.com/office/drawing/2014/main" id="{58150704-A691-C7DE-C50E-3688ECDC0F68}"/>
            </a:ext>
          </a:extLst>
        </xdr:cNvPr>
        <xdr:cNvSpPr txBox="1"/>
      </xdr:nvSpPr>
      <xdr:spPr>
        <a:xfrm>
          <a:off x="6074664" y="1256513"/>
          <a:ext cx="5969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B9AAD0B-79BB-4742-9B3F-3D8F3F32ABF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0</xdr:row>
      <xdr:rowOff>1759433</xdr:rowOff>
    </xdr:from>
    <xdr:to>
      <xdr:col>10</xdr:col>
      <xdr:colOff>346964</xdr:colOff>
      <xdr:row>0</xdr:row>
      <xdr:rowOff>2153133</xdr:rowOff>
    </xdr:to>
    <xdr:sp macro="" textlink="印字値!$A$10">
      <xdr:nvSpPr>
        <xdr:cNvPr id="11" name="主表06">
          <a:extLst>
            <a:ext uri="{FF2B5EF4-FFF2-40B4-BE49-F238E27FC236}">
              <a16:creationId xmlns:a16="http://schemas.microsoft.com/office/drawing/2014/main" id="{1E5FCE78-5C09-3FDB-41B3-2B7C009332E7}"/>
            </a:ext>
          </a:extLst>
        </xdr:cNvPr>
        <xdr:cNvSpPr txBox="1"/>
      </xdr:nvSpPr>
      <xdr:spPr>
        <a:xfrm>
          <a:off x="6074664" y="1759433"/>
          <a:ext cx="5969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00F4CB5-6D57-4525-A7D7-8DFD5C0A589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0</xdr:row>
      <xdr:rowOff>2262353</xdr:rowOff>
    </xdr:from>
    <xdr:to>
      <xdr:col>10</xdr:col>
      <xdr:colOff>346964</xdr:colOff>
      <xdr:row>0</xdr:row>
      <xdr:rowOff>2656053</xdr:rowOff>
    </xdr:to>
    <xdr:sp macro="" textlink="印字値!$A$11">
      <xdr:nvSpPr>
        <xdr:cNvPr id="12" name="主表07">
          <a:extLst>
            <a:ext uri="{FF2B5EF4-FFF2-40B4-BE49-F238E27FC236}">
              <a16:creationId xmlns:a16="http://schemas.microsoft.com/office/drawing/2014/main" id="{6E2410C2-157F-FB67-DBC6-05B40008C623}"/>
            </a:ext>
          </a:extLst>
        </xdr:cNvPr>
        <xdr:cNvSpPr txBox="1"/>
      </xdr:nvSpPr>
      <xdr:spPr>
        <a:xfrm>
          <a:off x="6074664" y="2262353"/>
          <a:ext cx="5969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06E48AB-FAF1-467E-A05C-0D4B0B5309B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0</xdr:row>
      <xdr:rowOff>2765273</xdr:rowOff>
    </xdr:from>
    <xdr:to>
      <xdr:col>10</xdr:col>
      <xdr:colOff>346964</xdr:colOff>
      <xdr:row>0</xdr:row>
      <xdr:rowOff>3158973</xdr:rowOff>
    </xdr:to>
    <xdr:sp macro="" textlink="印字値!$A$12">
      <xdr:nvSpPr>
        <xdr:cNvPr id="13" name="主表08">
          <a:extLst>
            <a:ext uri="{FF2B5EF4-FFF2-40B4-BE49-F238E27FC236}">
              <a16:creationId xmlns:a16="http://schemas.microsoft.com/office/drawing/2014/main" id="{41A53ECF-5F2E-3C6D-2316-556E06D1275E}"/>
            </a:ext>
          </a:extLst>
        </xdr:cNvPr>
        <xdr:cNvSpPr txBox="1"/>
      </xdr:nvSpPr>
      <xdr:spPr>
        <a:xfrm>
          <a:off x="6074664" y="2765273"/>
          <a:ext cx="5969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1FAC188-5FFB-4233-B4F4-C4BD59F31AE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557784</xdr:colOff>
      <xdr:row>0</xdr:row>
      <xdr:rowOff>3435833</xdr:rowOff>
    </xdr:from>
    <xdr:to>
      <xdr:col>5</xdr:col>
      <xdr:colOff>522224</xdr:colOff>
      <xdr:row>1</xdr:row>
      <xdr:rowOff>169393</xdr:rowOff>
    </xdr:to>
    <xdr:sp macro="" textlink="印字値!$A$13">
      <xdr:nvSpPr>
        <xdr:cNvPr id="14" name="主表09">
          <a:extLst>
            <a:ext uri="{FF2B5EF4-FFF2-40B4-BE49-F238E27FC236}">
              <a16:creationId xmlns:a16="http://schemas.microsoft.com/office/drawing/2014/main" id="{4FC19DF5-F466-A45B-2060-2C4A0C0EE8CE}"/>
            </a:ext>
          </a:extLst>
        </xdr:cNvPr>
        <xdr:cNvSpPr txBox="1"/>
      </xdr:nvSpPr>
      <xdr:spPr>
        <a:xfrm>
          <a:off x="3087624" y="3435833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5D96E8D-71EF-41C0-981C-E30D452FAF4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557784</xdr:colOff>
      <xdr:row>1</xdr:row>
      <xdr:rowOff>279628</xdr:rowOff>
    </xdr:from>
    <xdr:to>
      <xdr:col>5</xdr:col>
      <xdr:colOff>522224</xdr:colOff>
      <xdr:row>1</xdr:row>
      <xdr:rowOff>571728</xdr:rowOff>
    </xdr:to>
    <xdr:sp macro="" textlink="印字値!$A$14">
      <xdr:nvSpPr>
        <xdr:cNvPr id="15" name="主表10">
          <a:extLst>
            <a:ext uri="{FF2B5EF4-FFF2-40B4-BE49-F238E27FC236}">
              <a16:creationId xmlns:a16="http://schemas.microsoft.com/office/drawing/2014/main" id="{83D9242C-4C1A-5BFF-FE85-342E0DB7513B}"/>
            </a:ext>
          </a:extLst>
        </xdr:cNvPr>
        <xdr:cNvSpPr txBox="1"/>
      </xdr:nvSpPr>
      <xdr:spPr>
        <a:xfrm>
          <a:off x="3087624" y="3838168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EF426C6-9D73-48A0-B7F7-35ADE725D27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557784</xdr:colOff>
      <xdr:row>1</xdr:row>
      <xdr:rowOff>681965</xdr:rowOff>
    </xdr:from>
    <xdr:to>
      <xdr:col>5</xdr:col>
      <xdr:colOff>522224</xdr:colOff>
      <xdr:row>1</xdr:row>
      <xdr:rowOff>974065</xdr:rowOff>
    </xdr:to>
    <xdr:sp macro="" textlink="印字値!$A$15">
      <xdr:nvSpPr>
        <xdr:cNvPr id="16" name="主表11">
          <a:extLst>
            <a:ext uri="{FF2B5EF4-FFF2-40B4-BE49-F238E27FC236}">
              <a16:creationId xmlns:a16="http://schemas.microsoft.com/office/drawing/2014/main" id="{8477D3DA-6C39-6D28-C730-09CB23D285AF}"/>
            </a:ext>
          </a:extLst>
        </xdr:cNvPr>
        <xdr:cNvSpPr txBox="1"/>
      </xdr:nvSpPr>
      <xdr:spPr>
        <a:xfrm>
          <a:off x="3087624" y="4240505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8FD1166-CD41-4CD2-A488-CA00A253D82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557784</xdr:colOff>
      <xdr:row>1</xdr:row>
      <xdr:rowOff>1084301</xdr:rowOff>
    </xdr:from>
    <xdr:to>
      <xdr:col>5</xdr:col>
      <xdr:colOff>522224</xdr:colOff>
      <xdr:row>1</xdr:row>
      <xdr:rowOff>1681201</xdr:rowOff>
    </xdr:to>
    <xdr:sp macro="" textlink="印字値!$A$16">
      <xdr:nvSpPr>
        <xdr:cNvPr id="17" name="主表12">
          <a:extLst>
            <a:ext uri="{FF2B5EF4-FFF2-40B4-BE49-F238E27FC236}">
              <a16:creationId xmlns:a16="http://schemas.microsoft.com/office/drawing/2014/main" id="{B141B4B2-84D0-2B0D-B5A2-ADCA54F85251}"/>
            </a:ext>
          </a:extLst>
        </xdr:cNvPr>
        <xdr:cNvSpPr txBox="1"/>
      </xdr:nvSpPr>
      <xdr:spPr>
        <a:xfrm>
          <a:off x="3087624" y="4642841"/>
          <a:ext cx="5969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BA99AFB-999E-40E5-9B51-4A7BB71F290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557784</xdr:colOff>
      <xdr:row>1</xdr:row>
      <xdr:rowOff>1788389</xdr:rowOff>
    </xdr:from>
    <xdr:to>
      <xdr:col>5</xdr:col>
      <xdr:colOff>522224</xdr:colOff>
      <xdr:row>1</xdr:row>
      <xdr:rowOff>1978889</xdr:rowOff>
    </xdr:to>
    <xdr:sp macro="" textlink="印字値!$A$17">
      <xdr:nvSpPr>
        <xdr:cNvPr id="18" name="主表13">
          <a:extLst>
            <a:ext uri="{FF2B5EF4-FFF2-40B4-BE49-F238E27FC236}">
              <a16:creationId xmlns:a16="http://schemas.microsoft.com/office/drawing/2014/main" id="{639783C7-8768-7AD7-3F86-50293F4879C9}"/>
            </a:ext>
          </a:extLst>
        </xdr:cNvPr>
        <xdr:cNvSpPr txBox="1"/>
      </xdr:nvSpPr>
      <xdr:spPr>
        <a:xfrm>
          <a:off x="3087624" y="5346929"/>
          <a:ext cx="5969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EDE55C7-52E4-41FA-A10A-8D563B1631CC}" type="TxLink">
            <a:rPr kumimoji="1" lang="en-US" altLang="en-US" sz="56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6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557784</xdr:colOff>
      <xdr:row>1</xdr:row>
      <xdr:rowOff>2090141</xdr:rowOff>
    </xdr:from>
    <xdr:to>
      <xdr:col>5</xdr:col>
      <xdr:colOff>522224</xdr:colOff>
      <xdr:row>1</xdr:row>
      <xdr:rowOff>2382241</xdr:rowOff>
    </xdr:to>
    <xdr:sp macro="" textlink="印字値!$A$18">
      <xdr:nvSpPr>
        <xdr:cNvPr id="19" name="主表14">
          <a:extLst>
            <a:ext uri="{FF2B5EF4-FFF2-40B4-BE49-F238E27FC236}">
              <a16:creationId xmlns:a16="http://schemas.microsoft.com/office/drawing/2014/main" id="{C1F070E5-6E6F-DD6D-0755-2A0719BC72D8}"/>
            </a:ext>
          </a:extLst>
        </xdr:cNvPr>
        <xdr:cNvSpPr txBox="1"/>
      </xdr:nvSpPr>
      <xdr:spPr>
        <a:xfrm>
          <a:off x="3087624" y="5648681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4AB381F-F521-4399-9FC9-4BBFACE1BF9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557784</xdr:colOff>
      <xdr:row>1</xdr:row>
      <xdr:rowOff>2492477</xdr:rowOff>
    </xdr:from>
    <xdr:to>
      <xdr:col>5</xdr:col>
      <xdr:colOff>522224</xdr:colOff>
      <xdr:row>1</xdr:row>
      <xdr:rowOff>2784577</xdr:rowOff>
    </xdr:to>
    <xdr:sp macro="" textlink="印字値!$A$19">
      <xdr:nvSpPr>
        <xdr:cNvPr id="20" name="主表15">
          <a:extLst>
            <a:ext uri="{FF2B5EF4-FFF2-40B4-BE49-F238E27FC236}">
              <a16:creationId xmlns:a16="http://schemas.microsoft.com/office/drawing/2014/main" id="{E351076B-B2A8-DCD3-9584-57F848320273}"/>
            </a:ext>
          </a:extLst>
        </xdr:cNvPr>
        <xdr:cNvSpPr txBox="1"/>
      </xdr:nvSpPr>
      <xdr:spPr>
        <a:xfrm>
          <a:off x="3087624" y="6051017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D1A3CD4-D79C-4C4F-A93A-D09515AE444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557784</xdr:colOff>
      <xdr:row>1</xdr:row>
      <xdr:rowOff>2894813</xdr:rowOff>
    </xdr:from>
    <xdr:to>
      <xdr:col>5</xdr:col>
      <xdr:colOff>522224</xdr:colOff>
      <xdr:row>1</xdr:row>
      <xdr:rowOff>3186913</xdr:rowOff>
    </xdr:to>
    <xdr:sp macro="" textlink="印字値!$A$20">
      <xdr:nvSpPr>
        <xdr:cNvPr id="21" name="主表16">
          <a:extLst>
            <a:ext uri="{FF2B5EF4-FFF2-40B4-BE49-F238E27FC236}">
              <a16:creationId xmlns:a16="http://schemas.microsoft.com/office/drawing/2014/main" id="{1A1A73AB-2A21-B71F-3796-8940523C7607}"/>
            </a:ext>
          </a:extLst>
        </xdr:cNvPr>
        <xdr:cNvSpPr txBox="1"/>
      </xdr:nvSpPr>
      <xdr:spPr>
        <a:xfrm>
          <a:off x="3087624" y="6453353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BFD16B4-76E3-4DF3-B992-397C2FAC295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557784</xdr:colOff>
      <xdr:row>1</xdr:row>
      <xdr:rowOff>3297149</xdr:rowOff>
    </xdr:from>
    <xdr:to>
      <xdr:col>5</xdr:col>
      <xdr:colOff>522224</xdr:colOff>
      <xdr:row>2</xdr:row>
      <xdr:rowOff>30709</xdr:rowOff>
    </xdr:to>
    <xdr:sp macro="" textlink="印字値!$A$21">
      <xdr:nvSpPr>
        <xdr:cNvPr id="22" name="主表17">
          <a:extLst>
            <a:ext uri="{FF2B5EF4-FFF2-40B4-BE49-F238E27FC236}">
              <a16:creationId xmlns:a16="http://schemas.microsoft.com/office/drawing/2014/main" id="{3B86280A-776B-CB48-39FA-607D853B81D2}"/>
            </a:ext>
          </a:extLst>
        </xdr:cNvPr>
        <xdr:cNvSpPr txBox="1"/>
      </xdr:nvSpPr>
      <xdr:spPr>
        <a:xfrm>
          <a:off x="3087624" y="6855689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26850C5-004B-49AD-9AD3-5FCC10BE67D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557784</xdr:colOff>
      <xdr:row>2</xdr:row>
      <xdr:rowOff>140944</xdr:rowOff>
    </xdr:from>
    <xdr:to>
      <xdr:col>5</xdr:col>
      <xdr:colOff>522224</xdr:colOff>
      <xdr:row>2</xdr:row>
      <xdr:rowOff>433044</xdr:rowOff>
    </xdr:to>
    <xdr:sp macro="" textlink="印字値!$A$22">
      <xdr:nvSpPr>
        <xdr:cNvPr id="23" name="主表18">
          <a:extLst>
            <a:ext uri="{FF2B5EF4-FFF2-40B4-BE49-F238E27FC236}">
              <a16:creationId xmlns:a16="http://schemas.microsoft.com/office/drawing/2014/main" id="{6297A967-BD94-7FA3-640B-1777640A3247}"/>
            </a:ext>
          </a:extLst>
        </xdr:cNvPr>
        <xdr:cNvSpPr txBox="1"/>
      </xdr:nvSpPr>
      <xdr:spPr>
        <a:xfrm>
          <a:off x="3087624" y="7258024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45AF337-1CF5-44ED-B2DB-7FC7FF6700A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557784</xdr:colOff>
      <xdr:row>2</xdr:row>
      <xdr:rowOff>543280</xdr:rowOff>
    </xdr:from>
    <xdr:to>
      <xdr:col>5</xdr:col>
      <xdr:colOff>522224</xdr:colOff>
      <xdr:row>2</xdr:row>
      <xdr:rowOff>835380</xdr:rowOff>
    </xdr:to>
    <xdr:sp macro="" textlink="印字値!$A$23">
      <xdr:nvSpPr>
        <xdr:cNvPr id="24" name="主表19">
          <a:extLst>
            <a:ext uri="{FF2B5EF4-FFF2-40B4-BE49-F238E27FC236}">
              <a16:creationId xmlns:a16="http://schemas.microsoft.com/office/drawing/2014/main" id="{BE25E29F-18F1-DDC1-1E2D-74A14FE68FF7}"/>
            </a:ext>
          </a:extLst>
        </xdr:cNvPr>
        <xdr:cNvSpPr txBox="1"/>
      </xdr:nvSpPr>
      <xdr:spPr>
        <a:xfrm>
          <a:off x="3087624" y="7660360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9C91739-A393-4F1A-AE2F-24E8362D7D1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557784</xdr:colOff>
      <xdr:row>2</xdr:row>
      <xdr:rowOff>945616</xdr:rowOff>
    </xdr:from>
    <xdr:to>
      <xdr:col>5</xdr:col>
      <xdr:colOff>522224</xdr:colOff>
      <xdr:row>2</xdr:row>
      <xdr:rowOff>1237716</xdr:rowOff>
    </xdr:to>
    <xdr:sp macro="" textlink="印字値!$A$24">
      <xdr:nvSpPr>
        <xdr:cNvPr id="25" name="主表20">
          <a:extLst>
            <a:ext uri="{FF2B5EF4-FFF2-40B4-BE49-F238E27FC236}">
              <a16:creationId xmlns:a16="http://schemas.microsoft.com/office/drawing/2014/main" id="{7702B2AE-0F2E-66BE-207E-56FC97DCC0A8}"/>
            </a:ext>
          </a:extLst>
        </xdr:cNvPr>
        <xdr:cNvSpPr txBox="1"/>
      </xdr:nvSpPr>
      <xdr:spPr>
        <a:xfrm>
          <a:off x="3087624" y="8062696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65D22A9-7AD2-43A9-960A-13D0087A436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557784</xdr:colOff>
      <xdr:row>2</xdr:row>
      <xdr:rowOff>1347953</xdr:rowOff>
    </xdr:from>
    <xdr:to>
      <xdr:col>5</xdr:col>
      <xdr:colOff>319024</xdr:colOff>
      <xdr:row>2</xdr:row>
      <xdr:rowOff>1640053</xdr:rowOff>
    </xdr:to>
    <xdr:sp macro="" textlink="印字値!$A$25">
      <xdr:nvSpPr>
        <xdr:cNvPr id="26" name="主表21">
          <a:extLst>
            <a:ext uri="{FF2B5EF4-FFF2-40B4-BE49-F238E27FC236}">
              <a16:creationId xmlns:a16="http://schemas.microsoft.com/office/drawing/2014/main" id="{3631843B-DB97-8C8D-037C-36E8FA2AFE7C}"/>
            </a:ext>
          </a:extLst>
        </xdr:cNvPr>
        <xdr:cNvSpPr txBox="1"/>
      </xdr:nvSpPr>
      <xdr:spPr>
        <a:xfrm>
          <a:off x="3087624" y="8465033"/>
          <a:ext cx="3937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20742D2-718C-47E6-9E35-5C4F5DF1B039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0</xdr:row>
      <xdr:rowOff>3435833</xdr:rowOff>
    </xdr:from>
    <xdr:to>
      <xdr:col>10</xdr:col>
      <xdr:colOff>346964</xdr:colOff>
      <xdr:row>1</xdr:row>
      <xdr:rowOff>677393</xdr:rowOff>
    </xdr:to>
    <xdr:sp macro="" textlink="印字値!$A$26">
      <xdr:nvSpPr>
        <xdr:cNvPr id="27" name="主表22">
          <a:extLst>
            <a:ext uri="{FF2B5EF4-FFF2-40B4-BE49-F238E27FC236}">
              <a16:creationId xmlns:a16="http://schemas.microsoft.com/office/drawing/2014/main" id="{42A691E7-E0B6-E16E-B800-12B4DF89E2DA}"/>
            </a:ext>
          </a:extLst>
        </xdr:cNvPr>
        <xdr:cNvSpPr txBox="1"/>
      </xdr:nvSpPr>
      <xdr:spPr>
        <a:xfrm>
          <a:off x="6074664" y="3435833"/>
          <a:ext cx="596900" cy="800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6C73D44-3973-42A0-A9BA-C5F7E44F3E1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1</xdr:row>
      <xdr:rowOff>782549</xdr:rowOff>
    </xdr:from>
    <xdr:to>
      <xdr:col>10</xdr:col>
      <xdr:colOff>346964</xdr:colOff>
      <xdr:row>1</xdr:row>
      <xdr:rowOff>1887449</xdr:rowOff>
    </xdr:to>
    <xdr:sp macro="" textlink="印字値!$A$27">
      <xdr:nvSpPr>
        <xdr:cNvPr id="28" name="主表23">
          <a:extLst>
            <a:ext uri="{FF2B5EF4-FFF2-40B4-BE49-F238E27FC236}">
              <a16:creationId xmlns:a16="http://schemas.microsoft.com/office/drawing/2014/main" id="{E5E5430A-E74A-568D-45F3-A08BDDC6B79C}"/>
            </a:ext>
          </a:extLst>
        </xdr:cNvPr>
        <xdr:cNvSpPr txBox="1"/>
      </xdr:nvSpPr>
      <xdr:spPr>
        <a:xfrm>
          <a:off x="6074664" y="4341089"/>
          <a:ext cx="596900" cy="1104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A456C39-7558-4077-8912-D8CBD04CE32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1</xdr:row>
      <xdr:rowOff>1989557</xdr:rowOff>
    </xdr:from>
    <xdr:to>
      <xdr:col>10</xdr:col>
      <xdr:colOff>346964</xdr:colOff>
      <xdr:row>1</xdr:row>
      <xdr:rowOff>2586457</xdr:rowOff>
    </xdr:to>
    <xdr:sp macro="" textlink="印字値!$A$28">
      <xdr:nvSpPr>
        <xdr:cNvPr id="29" name="主表24">
          <a:extLst>
            <a:ext uri="{FF2B5EF4-FFF2-40B4-BE49-F238E27FC236}">
              <a16:creationId xmlns:a16="http://schemas.microsoft.com/office/drawing/2014/main" id="{B270D20A-B844-D298-25DE-79FD4FB99276}"/>
            </a:ext>
          </a:extLst>
        </xdr:cNvPr>
        <xdr:cNvSpPr txBox="1"/>
      </xdr:nvSpPr>
      <xdr:spPr>
        <a:xfrm>
          <a:off x="6074664" y="5548097"/>
          <a:ext cx="5969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2E4CB65-CFCB-44CA-8BB5-67F71FA57D8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1</xdr:row>
      <xdr:rowOff>2693645</xdr:rowOff>
    </xdr:from>
    <xdr:to>
      <xdr:col>10</xdr:col>
      <xdr:colOff>346964</xdr:colOff>
      <xdr:row>1</xdr:row>
      <xdr:rowOff>3188945</xdr:rowOff>
    </xdr:to>
    <xdr:sp macro="" textlink="印字値!$A$29">
      <xdr:nvSpPr>
        <xdr:cNvPr id="30" name="主表25">
          <a:extLst>
            <a:ext uri="{FF2B5EF4-FFF2-40B4-BE49-F238E27FC236}">
              <a16:creationId xmlns:a16="http://schemas.microsoft.com/office/drawing/2014/main" id="{257A8FA2-2607-F33E-EF25-5E627122D66F}"/>
            </a:ext>
          </a:extLst>
        </xdr:cNvPr>
        <xdr:cNvSpPr txBox="1"/>
      </xdr:nvSpPr>
      <xdr:spPr>
        <a:xfrm>
          <a:off x="6074664" y="6252185"/>
          <a:ext cx="5969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766E8A4-90F7-4FCC-8CE4-1A491F635C7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1</xdr:row>
      <xdr:rowOff>3297149</xdr:rowOff>
    </xdr:from>
    <xdr:to>
      <xdr:col>10</xdr:col>
      <xdr:colOff>346964</xdr:colOff>
      <xdr:row>2</xdr:row>
      <xdr:rowOff>335509</xdr:rowOff>
    </xdr:to>
    <xdr:sp macro="" textlink="印字値!$A$30">
      <xdr:nvSpPr>
        <xdr:cNvPr id="31" name="主表26">
          <a:extLst>
            <a:ext uri="{FF2B5EF4-FFF2-40B4-BE49-F238E27FC236}">
              <a16:creationId xmlns:a16="http://schemas.microsoft.com/office/drawing/2014/main" id="{40F1D861-6346-8110-739E-D4775F43F517}"/>
            </a:ext>
          </a:extLst>
        </xdr:cNvPr>
        <xdr:cNvSpPr txBox="1"/>
      </xdr:nvSpPr>
      <xdr:spPr>
        <a:xfrm>
          <a:off x="6074664" y="6855689"/>
          <a:ext cx="5969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E4837DE-A4C6-4808-BF3D-76BD0848985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2</xdr:row>
      <xdr:rowOff>442697</xdr:rowOff>
    </xdr:from>
    <xdr:to>
      <xdr:col>10</xdr:col>
      <xdr:colOff>346964</xdr:colOff>
      <xdr:row>2</xdr:row>
      <xdr:rowOff>1039597</xdr:rowOff>
    </xdr:to>
    <xdr:sp macro="" textlink="印字値!$A$31">
      <xdr:nvSpPr>
        <xdr:cNvPr id="32" name="主表27">
          <a:extLst>
            <a:ext uri="{FF2B5EF4-FFF2-40B4-BE49-F238E27FC236}">
              <a16:creationId xmlns:a16="http://schemas.microsoft.com/office/drawing/2014/main" id="{ED837A4A-8E3D-C4D0-7A0A-9FD60F54A889}"/>
            </a:ext>
          </a:extLst>
        </xdr:cNvPr>
        <xdr:cNvSpPr txBox="1"/>
      </xdr:nvSpPr>
      <xdr:spPr>
        <a:xfrm>
          <a:off x="6074664" y="7559777"/>
          <a:ext cx="5969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4568728-641C-4DD8-99E8-E4E985FDF3B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2</xdr:row>
      <xdr:rowOff>1146785</xdr:rowOff>
    </xdr:from>
    <xdr:to>
      <xdr:col>10</xdr:col>
      <xdr:colOff>346964</xdr:colOff>
      <xdr:row>2</xdr:row>
      <xdr:rowOff>1642085</xdr:rowOff>
    </xdr:to>
    <xdr:sp macro="" textlink="印字値!$A$32">
      <xdr:nvSpPr>
        <xdr:cNvPr id="33" name="主表28">
          <a:extLst>
            <a:ext uri="{FF2B5EF4-FFF2-40B4-BE49-F238E27FC236}">
              <a16:creationId xmlns:a16="http://schemas.microsoft.com/office/drawing/2014/main" id="{AAD3E1F0-5DC8-E7D5-02E9-B9516145367A}"/>
            </a:ext>
          </a:extLst>
        </xdr:cNvPr>
        <xdr:cNvSpPr txBox="1"/>
      </xdr:nvSpPr>
      <xdr:spPr>
        <a:xfrm>
          <a:off x="6074664" y="8263865"/>
          <a:ext cx="5969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2AB03AB-0DF0-4FC7-B796-3A9F0B3243E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557784</xdr:colOff>
      <xdr:row>0</xdr:row>
      <xdr:rowOff>3423133</xdr:rowOff>
    </xdr:from>
    <xdr:to>
      <xdr:col>5</xdr:col>
      <xdr:colOff>496824</xdr:colOff>
      <xdr:row>0</xdr:row>
      <xdr:rowOff>3524733</xdr:rowOff>
    </xdr:to>
    <xdr:sp macro="" textlink="印字値!$B$5">
      <xdr:nvSpPr>
        <xdr:cNvPr id="34" name="主表09内書">
          <a:extLst>
            <a:ext uri="{FF2B5EF4-FFF2-40B4-BE49-F238E27FC236}">
              <a16:creationId xmlns:a16="http://schemas.microsoft.com/office/drawing/2014/main" id="{0665976A-02BC-0A27-5FEE-6BC3630774B8}"/>
            </a:ext>
          </a:extLst>
        </xdr:cNvPr>
        <xdr:cNvSpPr txBox="1"/>
      </xdr:nvSpPr>
      <xdr:spPr>
        <a:xfrm>
          <a:off x="3087624" y="3423133"/>
          <a:ext cx="571500" cy="101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rmAutofit/>
        </a:bodyPr>
        <a:lstStyle/>
        <a:p>
          <a:pPr algn="r"/>
          <a:fld id="{703BF4C2-CE89-4299-9BD4-5052177FC2FC}" type="TxLink">
            <a:rPr kumimoji="1" lang="en-US" altLang="en-US" sz="5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5080</xdr:colOff>
      <xdr:row>3</xdr:row>
      <xdr:rowOff>17780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6E74F5F5-B6BB-4643-B21C-8A56D0B74B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6500" cy="10693400"/>
        </a:xfrm>
        <a:prstGeom prst="rect">
          <a:avLst/>
        </a:prstGeom>
      </xdr:spPr>
    </xdr:pic>
    <xdr:clientData/>
  </xdr:twoCellAnchor>
  <xdr:twoCellAnchor editAs="absolute">
    <xdr:from>
      <xdr:col>6</xdr:col>
      <xdr:colOff>376936</xdr:colOff>
      <xdr:row>0</xdr:row>
      <xdr:rowOff>464033</xdr:rowOff>
    </xdr:from>
    <xdr:to>
      <xdr:col>8</xdr:col>
      <xdr:colOff>102616</xdr:colOff>
      <xdr:row>0</xdr:row>
      <xdr:rowOff>857733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87576672-814A-F7B5-6442-97F32199B8AA}"/>
            </a:ext>
          </a:extLst>
        </xdr:cNvPr>
        <xdr:cNvSpPr txBox="1"/>
      </xdr:nvSpPr>
      <xdr:spPr>
        <a:xfrm>
          <a:off x="4171696" y="464033"/>
          <a:ext cx="990600" cy="3937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ctr"/>
          <a:fld id="{EE64E5BD-6161-44A0-A6E5-8C422AB8F2B6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477520</xdr:colOff>
      <xdr:row>0</xdr:row>
      <xdr:rowOff>464033</xdr:rowOff>
    </xdr:from>
    <xdr:to>
      <xdr:col>10</xdr:col>
      <xdr:colOff>546100</xdr:colOff>
      <xdr:row>0</xdr:row>
      <xdr:rowOff>857733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EC038F15-4667-DC80-8285-820695C29159}"/>
            </a:ext>
          </a:extLst>
        </xdr:cNvPr>
        <xdr:cNvSpPr txBox="1"/>
      </xdr:nvSpPr>
      <xdr:spPr>
        <a:xfrm>
          <a:off x="5537200" y="464033"/>
          <a:ext cx="13335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F2156BFD-1485-49A1-9874-ECA508FA1B40}" type="TxLink">
            <a:rPr kumimoji="1" lang="en-US" altLang="en-US" sz="51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1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387096</xdr:colOff>
      <xdr:row>0</xdr:row>
      <xdr:rowOff>921233</xdr:rowOff>
    </xdr:from>
    <xdr:to>
      <xdr:col>5</xdr:col>
      <xdr:colOff>529336</xdr:colOff>
      <xdr:row>0</xdr:row>
      <xdr:rowOff>1289533</xdr:rowOff>
    </xdr:to>
    <xdr:sp macro="" textlink="印字値!$C$5">
      <xdr:nvSpPr>
        <xdr:cNvPr id="6" name="付表01">
          <a:extLst>
            <a:ext uri="{FF2B5EF4-FFF2-40B4-BE49-F238E27FC236}">
              <a16:creationId xmlns:a16="http://schemas.microsoft.com/office/drawing/2014/main" id="{C24D02B0-122D-D6F4-1F42-AE95DAE87ECD}"/>
            </a:ext>
          </a:extLst>
        </xdr:cNvPr>
        <xdr:cNvSpPr txBox="1"/>
      </xdr:nvSpPr>
      <xdr:spPr>
        <a:xfrm>
          <a:off x="2916936" y="921233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14D5843-6D10-4E30-9D10-6BCCC1C5276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387096</xdr:colOff>
      <xdr:row>0</xdr:row>
      <xdr:rowOff>1390625</xdr:rowOff>
    </xdr:from>
    <xdr:to>
      <xdr:col>5</xdr:col>
      <xdr:colOff>529336</xdr:colOff>
      <xdr:row>0</xdr:row>
      <xdr:rowOff>1758925</xdr:rowOff>
    </xdr:to>
    <xdr:sp macro="" textlink="印字値!$C$6">
      <xdr:nvSpPr>
        <xdr:cNvPr id="7" name="付表02">
          <a:extLst>
            <a:ext uri="{FF2B5EF4-FFF2-40B4-BE49-F238E27FC236}">
              <a16:creationId xmlns:a16="http://schemas.microsoft.com/office/drawing/2014/main" id="{33FC52F8-2E1C-1F4A-EE96-4CB3D2946C00}"/>
            </a:ext>
          </a:extLst>
        </xdr:cNvPr>
        <xdr:cNvSpPr txBox="1"/>
      </xdr:nvSpPr>
      <xdr:spPr>
        <a:xfrm>
          <a:off x="2916936" y="1390625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28EE8F9-0060-47FF-8046-E150BE5500E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387096</xdr:colOff>
      <xdr:row>0</xdr:row>
      <xdr:rowOff>1860017</xdr:rowOff>
    </xdr:from>
    <xdr:to>
      <xdr:col>5</xdr:col>
      <xdr:colOff>529336</xdr:colOff>
      <xdr:row>0</xdr:row>
      <xdr:rowOff>2228317</xdr:rowOff>
    </xdr:to>
    <xdr:sp macro="" textlink="印字値!$C$7">
      <xdr:nvSpPr>
        <xdr:cNvPr id="8" name="付表03">
          <a:extLst>
            <a:ext uri="{FF2B5EF4-FFF2-40B4-BE49-F238E27FC236}">
              <a16:creationId xmlns:a16="http://schemas.microsoft.com/office/drawing/2014/main" id="{E5244BE1-211E-7D1C-9701-11ECA225601B}"/>
            </a:ext>
          </a:extLst>
        </xdr:cNvPr>
        <xdr:cNvSpPr txBox="1"/>
      </xdr:nvSpPr>
      <xdr:spPr>
        <a:xfrm>
          <a:off x="2916936" y="1860017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A943E6F-772B-40BE-BC91-0BA0894AB76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387096</xdr:colOff>
      <xdr:row>0</xdr:row>
      <xdr:rowOff>2329409</xdr:rowOff>
    </xdr:from>
    <xdr:to>
      <xdr:col>5</xdr:col>
      <xdr:colOff>529336</xdr:colOff>
      <xdr:row>0</xdr:row>
      <xdr:rowOff>2697709</xdr:rowOff>
    </xdr:to>
    <xdr:sp macro="" textlink="印字値!$C$8">
      <xdr:nvSpPr>
        <xdr:cNvPr id="9" name="付表04">
          <a:extLst>
            <a:ext uri="{FF2B5EF4-FFF2-40B4-BE49-F238E27FC236}">
              <a16:creationId xmlns:a16="http://schemas.microsoft.com/office/drawing/2014/main" id="{150B08BF-F3A3-FCF1-0BE8-7ECE182BACCD}"/>
            </a:ext>
          </a:extLst>
        </xdr:cNvPr>
        <xdr:cNvSpPr txBox="1"/>
      </xdr:nvSpPr>
      <xdr:spPr>
        <a:xfrm>
          <a:off x="2916936" y="2329409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7807E85-F5C4-4FE2-BD53-1A68730F669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387096</xdr:colOff>
      <xdr:row>0</xdr:row>
      <xdr:rowOff>2798801</xdr:rowOff>
    </xdr:from>
    <xdr:to>
      <xdr:col>5</xdr:col>
      <xdr:colOff>529336</xdr:colOff>
      <xdr:row>0</xdr:row>
      <xdr:rowOff>3167101</xdr:rowOff>
    </xdr:to>
    <xdr:sp macro="" textlink="印字値!$C$9">
      <xdr:nvSpPr>
        <xdr:cNvPr id="10" name="付表05">
          <a:extLst>
            <a:ext uri="{FF2B5EF4-FFF2-40B4-BE49-F238E27FC236}">
              <a16:creationId xmlns:a16="http://schemas.microsoft.com/office/drawing/2014/main" id="{8CFF45DD-81C3-215B-C38F-770573A74A70}"/>
            </a:ext>
          </a:extLst>
        </xdr:cNvPr>
        <xdr:cNvSpPr txBox="1"/>
      </xdr:nvSpPr>
      <xdr:spPr>
        <a:xfrm>
          <a:off x="2916936" y="2798801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10015BA-6290-4A25-9287-A0E4BA111AF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387096</xdr:colOff>
      <xdr:row>0</xdr:row>
      <xdr:rowOff>3268193</xdr:rowOff>
    </xdr:from>
    <xdr:to>
      <xdr:col>5</xdr:col>
      <xdr:colOff>529336</xdr:colOff>
      <xdr:row>1</xdr:row>
      <xdr:rowOff>77953</xdr:rowOff>
    </xdr:to>
    <xdr:sp macro="" textlink="印字値!$C$10">
      <xdr:nvSpPr>
        <xdr:cNvPr id="11" name="付表06">
          <a:extLst>
            <a:ext uri="{FF2B5EF4-FFF2-40B4-BE49-F238E27FC236}">
              <a16:creationId xmlns:a16="http://schemas.microsoft.com/office/drawing/2014/main" id="{31E86621-FF1F-1688-415D-6C439376C9E2}"/>
            </a:ext>
          </a:extLst>
        </xdr:cNvPr>
        <xdr:cNvSpPr txBox="1"/>
      </xdr:nvSpPr>
      <xdr:spPr>
        <a:xfrm>
          <a:off x="2916936" y="3268193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8C2F7E7-B9F2-4B72-A602-3C4E8C720A2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387096</xdr:colOff>
      <xdr:row>1</xdr:row>
      <xdr:rowOff>179045</xdr:rowOff>
    </xdr:from>
    <xdr:to>
      <xdr:col>5</xdr:col>
      <xdr:colOff>529336</xdr:colOff>
      <xdr:row>1</xdr:row>
      <xdr:rowOff>547345</xdr:rowOff>
    </xdr:to>
    <xdr:sp macro="" textlink="印字値!$C$11">
      <xdr:nvSpPr>
        <xdr:cNvPr id="12" name="付表07">
          <a:extLst>
            <a:ext uri="{FF2B5EF4-FFF2-40B4-BE49-F238E27FC236}">
              <a16:creationId xmlns:a16="http://schemas.microsoft.com/office/drawing/2014/main" id="{27C54B70-E1B8-46E8-C178-6992BB4FBDEF}"/>
            </a:ext>
          </a:extLst>
        </xdr:cNvPr>
        <xdr:cNvSpPr txBox="1"/>
      </xdr:nvSpPr>
      <xdr:spPr>
        <a:xfrm>
          <a:off x="2916936" y="3737585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95ED1F4-2FC2-4A1A-A33B-110FC4F0880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387096</xdr:colOff>
      <xdr:row>1</xdr:row>
      <xdr:rowOff>648437</xdr:rowOff>
    </xdr:from>
    <xdr:to>
      <xdr:col>5</xdr:col>
      <xdr:colOff>529336</xdr:colOff>
      <xdr:row>1</xdr:row>
      <xdr:rowOff>1131037</xdr:rowOff>
    </xdr:to>
    <xdr:sp macro="" textlink="印字値!$C$12">
      <xdr:nvSpPr>
        <xdr:cNvPr id="13" name="付表08">
          <a:extLst>
            <a:ext uri="{FF2B5EF4-FFF2-40B4-BE49-F238E27FC236}">
              <a16:creationId xmlns:a16="http://schemas.microsoft.com/office/drawing/2014/main" id="{B08B69AE-50E8-F85C-9CF7-6E7009E33A77}"/>
            </a:ext>
          </a:extLst>
        </xdr:cNvPr>
        <xdr:cNvSpPr txBox="1"/>
      </xdr:nvSpPr>
      <xdr:spPr>
        <a:xfrm>
          <a:off x="2916936" y="4206977"/>
          <a:ext cx="7747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B419FC8-93C8-4ECB-B56A-6171DA7FAD2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387096</xdr:colOff>
      <xdr:row>1</xdr:row>
      <xdr:rowOff>1235177</xdr:rowOff>
    </xdr:from>
    <xdr:to>
      <xdr:col>5</xdr:col>
      <xdr:colOff>529336</xdr:colOff>
      <xdr:row>1</xdr:row>
      <xdr:rowOff>1603477</xdr:rowOff>
    </xdr:to>
    <xdr:sp macro="" textlink="印字値!$C$13">
      <xdr:nvSpPr>
        <xdr:cNvPr id="14" name="付表09">
          <a:extLst>
            <a:ext uri="{FF2B5EF4-FFF2-40B4-BE49-F238E27FC236}">
              <a16:creationId xmlns:a16="http://schemas.microsoft.com/office/drawing/2014/main" id="{089556C3-A32A-C780-CFCB-C794EAC6EC11}"/>
            </a:ext>
          </a:extLst>
        </xdr:cNvPr>
        <xdr:cNvSpPr txBox="1"/>
      </xdr:nvSpPr>
      <xdr:spPr>
        <a:xfrm>
          <a:off x="2916936" y="4793717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9AA8399-DAA0-45DF-A596-8E23F9B436A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387096</xdr:colOff>
      <xdr:row>1</xdr:row>
      <xdr:rowOff>1704569</xdr:rowOff>
    </xdr:from>
    <xdr:to>
      <xdr:col>5</xdr:col>
      <xdr:colOff>529336</xdr:colOff>
      <xdr:row>1</xdr:row>
      <xdr:rowOff>2187169</xdr:rowOff>
    </xdr:to>
    <xdr:sp macro="" textlink="印字値!$C$14">
      <xdr:nvSpPr>
        <xdr:cNvPr id="15" name="付表10">
          <a:extLst>
            <a:ext uri="{FF2B5EF4-FFF2-40B4-BE49-F238E27FC236}">
              <a16:creationId xmlns:a16="http://schemas.microsoft.com/office/drawing/2014/main" id="{F218DA7F-9A5A-4DF7-06D4-28380B08FB7A}"/>
            </a:ext>
          </a:extLst>
        </xdr:cNvPr>
        <xdr:cNvSpPr txBox="1"/>
      </xdr:nvSpPr>
      <xdr:spPr>
        <a:xfrm>
          <a:off x="2916936" y="5263109"/>
          <a:ext cx="7747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EA8CEDD-CCD0-4BA8-943F-30D9B664861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387096</xdr:colOff>
      <xdr:row>1</xdr:row>
      <xdr:rowOff>2291309</xdr:rowOff>
    </xdr:from>
    <xdr:to>
      <xdr:col>5</xdr:col>
      <xdr:colOff>529336</xdr:colOff>
      <xdr:row>1</xdr:row>
      <xdr:rowOff>2773909</xdr:rowOff>
    </xdr:to>
    <xdr:sp macro="" textlink="印字値!$C$15">
      <xdr:nvSpPr>
        <xdr:cNvPr id="16" name="付表11">
          <a:extLst>
            <a:ext uri="{FF2B5EF4-FFF2-40B4-BE49-F238E27FC236}">
              <a16:creationId xmlns:a16="http://schemas.microsoft.com/office/drawing/2014/main" id="{37D9D1DC-1E84-FF2A-4EA4-BD15BA3A4F1D}"/>
            </a:ext>
          </a:extLst>
        </xdr:cNvPr>
        <xdr:cNvSpPr txBox="1"/>
      </xdr:nvSpPr>
      <xdr:spPr>
        <a:xfrm>
          <a:off x="2916936" y="5849849"/>
          <a:ext cx="7747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5992212-B9C4-4C2A-8A0B-DE05C6EF734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387096</xdr:colOff>
      <xdr:row>1</xdr:row>
      <xdr:rowOff>2878049</xdr:rowOff>
    </xdr:from>
    <xdr:to>
      <xdr:col>5</xdr:col>
      <xdr:colOff>529336</xdr:colOff>
      <xdr:row>1</xdr:row>
      <xdr:rowOff>3474949</xdr:rowOff>
    </xdr:to>
    <xdr:sp macro="" textlink="印字値!$C$16">
      <xdr:nvSpPr>
        <xdr:cNvPr id="17" name="付表12">
          <a:extLst>
            <a:ext uri="{FF2B5EF4-FFF2-40B4-BE49-F238E27FC236}">
              <a16:creationId xmlns:a16="http://schemas.microsoft.com/office/drawing/2014/main" id="{E2411E24-3067-CA1F-0543-9908C94C0FD9}"/>
            </a:ext>
          </a:extLst>
        </xdr:cNvPr>
        <xdr:cNvSpPr txBox="1"/>
      </xdr:nvSpPr>
      <xdr:spPr>
        <a:xfrm>
          <a:off x="2916936" y="6436589"/>
          <a:ext cx="7747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EFBC437-2F7B-4B35-B60C-88EE36CB20F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387096</xdr:colOff>
      <xdr:row>2</xdr:row>
      <xdr:rowOff>23597</xdr:rowOff>
    </xdr:from>
    <xdr:to>
      <xdr:col>5</xdr:col>
      <xdr:colOff>529336</xdr:colOff>
      <xdr:row>2</xdr:row>
      <xdr:rowOff>506197</xdr:rowOff>
    </xdr:to>
    <xdr:sp macro="" textlink="印字値!$C$17">
      <xdr:nvSpPr>
        <xdr:cNvPr id="18" name="付表13">
          <a:extLst>
            <a:ext uri="{FF2B5EF4-FFF2-40B4-BE49-F238E27FC236}">
              <a16:creationId xmlns:a16="http://schemas.microsoft.com/office/drawing/2014/main" id="{A69DBCB4-0451-D292-BEFD-C95EDFC74F72}"/>
            </a:ext>
          </a:extLst>
        </xdr:cNvPr>
        <xdr:cNvSpPr txBox="1"/>
      </xdr:nvSpPr>
      <xdr:spPr>
        <a:xfrm>
          <a:off x="2916936" y="7140677"/>
          <a:ext cx="7747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E672E6D-719F-43C1-B330-CA8BF7E70D6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387096</xdr:colOff>
      <xdr:row>2</xdr:row>
      <xdr:rowOff>610337</xdr:rowOff>
    </xdr:from>
    <xdr:to>
      <xdr:col>5</xdr:col>
      <xdr:colOff>529336</xdr:colOff>
      <xdr:row>2</xdr:row>
      <xdr:rowOff>1207237</xdr:rowOff>
    </xdr:to>
    <xdr:sp macro="" textlink="印字値!$C$18">
      <xdr:nvSpPr>
        <xdr:cNvPr id="19" name="付表14">
          <a:extLst>
            <a:ext uri="{FF2B5EF4-FFF2-40B4-BE49-F238E27FC236}">
              <a16:creationId xmlns:a16="http://schemas.microsoft.com/office/drawing/2014/main" id="{69A556BA-9FB8-BB4D-5E9B-ECC965ADF052}"/>
            </a:ext>
          </a:extLst>
        </xdr:cNvPr>
        <xdr:cNvSpPr txBox="1"/>
      </xdr:nvSpPr>
      <xdr:spPr>
        <a:xfrm>
          <a:off x="2916936" y="7727417"/>
          <a:ext cx="7747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932DF45-D74E-4AA0-BBDD-8972649BB66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387096</xdr:colOff>
      <xdr:row>2</xdr:row>
      <xdr:rowOff>1314425</xdr:rowOff>
    </xdr:from>
    <xdr:to>
      <xdr:col>5</xdr:col>
      <xdr:colOff>529336</xdr:colOff>
      <xdr:row>2</xdr:row>
      <xdr:rowOff>1797025</xdr:rowOff>
    </xdr:to>
    <xdr:sp macro="" textlink="印字値!$C$19">
      <xdr:nvSpPr>
        <xdr:cNvPr id="20" name="付表15">
          <a:extLst>
            <a:ext uri="{FF2B5EF4-FFF2-40B4-BE49-F238E27FC236}">
              <a16:creationId xmlns:a16="http://schemas.microsoft.com/office/drawing/2014/main" id="{CC4BDCCF-B504-D1BF-9441-1453DC0ECB5D}"/>
            </a:ext>
          </a:extLst>
        </xdr:cNvPr>
        <xdr:cNvSpPr txBox="1"/>
      </xdr:nvSpPr>
      <xdr:spPr>
        <a:xfrm>
          <a:off x="2916936" y="8431505"/>
          <a:ext cx="7747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565DB00-985A-4D26-B361-AF1D05BACA2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387096</xdr:colOff>
      <xdr:row>2</xdr:row>
      <xdr:rowOff>1901165</xdr:rowOff>
    </xdr:from>
    <xdr:to>
      <xdr:col>5</xdr:col>
      <xdr:colOff>529336</xdr:colOff>
      <xdr:row>2</xdr:row>
      <xdr:rowOff>2383765</xdr:rowOff>
    </xdr:to>
    <xdr:sp macro="" textlink="印字値!$C$20">
      <xdr:nvSpPr>
        <xdr:cNvPr id="21" name="付表16">
          <a:extLst>
            <a:ext uri="{FF2B5EF4-FFF2-40B4-BE49-F238E27FC236}">
              <a16:creationId xmlns:a16="http://schemas.microsoft.com/office/drawing/2014/main" id="{501DDBB2-3260-6746-BD21-95F1D3055C1C}"/>
            </a:ext>
          </a:extLst>
        </xdr:cNvPr>
        <xdr:cNvSpPr txBox="1"/>
      </xdr:nvSpPr>
      <xdr:spPr>
        <a:xfrm>
          <a:off x="2916936" y="9018245"/>
          <a:ext cx="7747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389E837-E77F-41A1-B5F1-8B28B3326A5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0</xdr:row>
      <xdr:rowOff>921233</xdr:rowOff>
    </xdr:from>
    <xdr:to>
      <xdr:col>10</xdr:col>
      <xdr:colOff>524764</xdr:colOff>
      <xdr:row>0</xdr:row>
      <xdr:rowOff>1289533</xdr:rowOff>
    </xdr:to>
    <xdr:sp macro="" textlink="印字値!$C$21">
      <xdr:nvSpPr>
        <xdr:cNvPr id="22" name="付表17">
          <a:extLst>
            <a:ext uri="{FF2B5EF4-FFF2-40B4-BE49-F238E27FC236}">
              <a16:creationId xmlns:a16="http://schemas.microsoft.com/office/drawing/2014/main" id="{D1C47370-C1F5-CDD1-D2CF-369AB33711E9}"/>
            </a:ext>
          </a:extLst>
        </xdr:cNvPr>
        <xdr:cNvSpPr txBox="1"/>
      </xdr:nvSpPr>
      <xdr:spPr>
        <a:xfrm>
          <a:off x="6074664" y="921233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DFA781B-D4DA-4E88-8CD0-6F35FBD25E7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0</xdr:row>
      <xdr:rowOff>1390625</xdr:rowOff>
    </xdr:from>
    <xdr:to>
      <xdr:col>10</xdr:col>
      <xdr:colOff>524764</xdr:colOff>
      <xdr:row>0</xdr:row>
      <xdr:rowOff>1758925</xdr:rowOff>
    </xdr:to>
    <xdr:sp macro="" textlink="印字値!$C$22">
      <xdr:nvSpPr>
        <xdr:cNvPr id="23" name="付表18">
          <a:extLst>
            <a:ext uri="{FF2B5EF4-FFF2-40B4-BE49-F238E27FC236}">
              <a16:creationId xmlns:a16="http://schemas.microsoft.com/office/drawing/2014/main" id="{802B4FD9-8B69-7E5A-43B5-AF4929FCA01B}"/>
            </a:ext>
          </a:extLst>
        </xdr:cNvPr>
        <xdr:cNvSpPr txBox="1"/>
      </xdr:nvSpPr>
      <xdr:spPr>
        <a:xfrm>
          <a:off x="6074664" y="1390625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D3120D5-D6AE-41AA-8D5E-C836A8482EF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0</xdr:row>
      <xdr:rowOff>1860017</xdr:rowOff>
    </xdr:from>
    <xdr:to>
      <xdr:col>10</xdr:col>
      <xdr:colOff>524764</xdr:colOff>
      <xdr:row>0</xdr:row>
      <xdr:rowOff>2228317</xdr:rowOff>
    </xdr:to>
    <xdr:sp macro="" textlink="印字値!$C$23">
      <xdr:nvSpPr>
        <xdr:cNvPr id="24" name="付表19">
          <a:extLst>
            <a:ext uri="{FF2B5EF4-FFF2-40B4-BE49-F238E27FC236}">
              <a16:creationId xmlns:a16="http://schemas.microsoft.com/office/drawing/2014/main" id="{8C04FA9B-7470-E04B-D193-54F2E6ACA7BF}"/>
            </a:ext>
          </a:extLst>
        </xdr:cNvPr>
        <xdr:cNvSpPr txBox="1"/>
      </xdr:nvSpPr>
      <xdr:spPr>
        <a:xfrm>
          <a:off x="6074664" y="1860017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92D6942-323F-4506-86DE-015245B866E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0</xdr:row>
      <xdr:rowOff>2329409</xdr:rowOff>
    </xdr:from>
    <xdr:to>
      <xdr:col>10</xdr:col>
      <xdr:colOff>524764</xdr:colOff>
      <xdr:row>0</xdr:row>
      <xdr:rowOff>2697709</xdr:rowOff>
    </xdr:to>
    <xdr:sp macro="" textlink="印字値!$C$24">
      <xdr:nvSpPr>
        <xdr:cNvPr id="25" name="付表20">
          <a:extLst>
            <a:ext uri="{FF2B5EF4-FFF2-40B4-BE49-F238E27FC236}">
              <a16:creationId xmlns:a16="http://schemas.microsoft.com/office/drawing/2014/main" id="{188DAE6B-99D9-641B-96E5-735A26D5F772}"/>
            </a:ext>
          </a:extLst>
        </xdr:cNvPr>
        <xdr:cNvSpPr txBox="1"/>
      </xdr:nvSpPr>
      <xdr:spPr>
        <a:xfrm>
          <a:off x="6074664" y="2329409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6C0AD6A-4255-41CE-B690-165E0716E2C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0</xdr:row>
      <xdr:rowOff>2798801</xdr:rowOff>
    </xdr:from>
    <xdr:to>
      <xdr:col>10</xdr:col>
      <xdr:colOff>524764</xdr:colOff>
      <xdr:row>0</xdr:row>
      <xdr:rowOff>3167101</xdr:rowOff>
    </xdr:to>
    <xdr:sp macro="" textlink="印字値!$C$25">
      <xdr:nvSpPr>
        <xdr:cNvPr id="26" name="付表21">
          <a:extLst>
            <a:ext uri="{FF2B5EF4-FFF2-40B4-BE49-F238E27FC236}">
              <a16:creationId xmlns:a16="http://schemas.microsoft.com/office/drawing/2014/main" id="{CDEDAD04-DA93-5A00-086A-C42788441EA5}"/>
            </a:ext>
          </a:extLst>
        </xdr:cNvPr>
        <xdr:cNvSpPr txBox="1"/>
      </xdr:nvSpPr>
      <xdr:spPr>
        <a:xfrm>
          <a:off x="6074664" y="2798801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A415F4A-71F6-44B2-A38F-F07460C769F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0</xdr:row>
      <xdr:rowOff>3268193</xdr:rowOff>
    </xdr:from>
    <xdr:to>
      <xdr:col>10</xdr:col>
      <xdr:colOff>524764</xdr:colOff>
      <xdr:row>1</xdr:row>
      <xdr:rowOff>77953</xdr:rowOff>
    </xdr:to>
    <xdr:sp macro="" textlink="印字値!$C$26">
      <xdr:nvSpPr>
        <xdr:cNvPr id="27" name="付表22">
          <a:extLst>
            <a:ext uri="{FF2B5EF4-FFF2-40B4-BE49-F238E27FC236}">
              <a16:creationId xmlns:a16="http://schemas.microsoft.com/office/drawing/2014/main" id="{3C6FC311-543D-27B1-D8B4-EE6E0BC681A0}"/>
            </a:ext>
          </a:extLst>
        </xdr:cNvPr>
        <xdr:cNvSpPr txBox="1"/>
      </xdr:nvSpPr>
      <xdr:spPr>
        <a:xfrm>
          <a:off x="6074664" y="3268193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0905D11-0445-4BC3-AD3B-E9FF6AFE65B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1</xdr:row>
      <xdr:rowOff>179045</xdr:rowOff>
    </xdr:from>
    <xdr:to>
      <xdr:col>10</xdr:col>
      <xdr:colOff>524764</xdr:colOff>
      <xdr:row>1</xdr:row>
      <xdr:rowOff>547345</xdr:rowOff>
    </xdr:to>
    <xdr:sp macro="" textlink="印字値!$C$27">
      <xdr:nvSpPr>
        <xdr:cNvPr id="28" name="付表23">
          <a:extLst>
            <a:ext uri="{FF2B5EF4-FFF2-40B4-BE49-F238E27FC236}">
              <a16:creationId xmlns:a16="http://schemas.microsoft.com/office/drawing/2014/main" id="{666C5313-261F-3A71-6470-6E4484A8186B}"/>
            </a:ext>
          </a:extLst>
        </xdr:cNvPr>
        <xdr:cNvSpPr txBox="1"/>
      </xdr:nvSpPr>
      <xdr:spPr>
        <a:xfrm>
          <a:off x="6074664" y="3737585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BBBD22D-5302-473B-B080-1EEBB11CF97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1</xdr:row>
      <xdr:rowOff>648437</xdr:rowOff>
    </xdr:from>
    <xdr:to>
      <xdr:col>10</xdr:col>
      <xdr:colOff>524764</xdr:colOff>
      <xdr:row>1</xdr:row>
      <xdr:rowOff>1016737</xdr:rowOff>
    </xdr:to>
    <xdr:sp macro="" textlink="印字値!$C$28">
      <xdr:nvSpPr>
        <xdr:cNvPr id="29" name="付表24">
          <a:extLst>
            <a:ext uri="{FF2B5EF4-FFF2-40B4-BE49-F238E27FC236}">
              <a16:creationId xmlns:a16="http://schemas.microsoft.com/office/drawing/2014/main" id="{1540E592-9CCA-E487-16A3-F73A68FE1612}"/>
            </a:ext>
          </a:extLst>
        </xdr:cNvPr>
        <xdr:cNvSpPr txBox="1"/>
      </xdr:nvSpPr>
      <xdr:spPr>
        <a:xfrm>
          <a:off x="6074664" y="4206977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86E5DF2-AC34-4012-BFAE-D900B298CB6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1</xdr:row>
      <xdr:rowOff>1117828</xdr:rowOff>
    </xdr:from>
    <xdr:to>
      <xdr:col>10</xdr:col>
      <xdr:colOff>524764</xdr:colOff>
      <xdr:row>1</xdr:row>
      <xdr:rowOff>1486128</xdr:rowOff>
    </xdr:to>
    <xdr:sp macro="" textlink="印字値!$C$29">
      <xdr:nvSpPr>
        <xdr:cNvPr id="30" name="付表25">
          <a:extLst>
            <a:ext uri="{FF2B5EF4-FFF2-40B4-BE49-F238E27FC236}">
              <a16:creationId xmlns:a16="http://schemas.microsoft.com/office/drawing/2014/main" id="{6B2C2E0F-0553-FDC6-6EAC-850113303EA9}"/>
            </a:ext>
          </a:extLst>
        </xdr:cNvPr>
        <xdr:cNvSpPr txBox="1"/>
      </xdr:nvSpPr>
      <xdr:spPr>
        <a:xfrm>
          <a:off x="6074664" y="4676368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6577439-BE84-44CE-8AB0-877F102B2A0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1</xdr:row>
      <xdr:rowOff>1587221</xdr:rowOff>
    </xdr:from>
    <xdr:to>
      <xdr:col>10</xdr:col>
      <xdr:colOff>524764</xdr:colOff>
      <xdr:row>1</xdr:row>
      <xdr:rowOff>2069821</xdr:rowOff>
    </xdr:to>
    <xdr:sp macro="" textlink="印字値!$C$30">
      <xdr:nvSpPr>
        <xdr:cNvPr id="31" name="付表26">
          <a:extLst>
            <a:ext uri="{FF2B5EF4-FFF2-40B4-BE49-F238E27FC236}">
              <a16:creationId xmlns:a16="http://schemas.microsoft.com/office/drawing/2014/main" id="{3509D7CF-DD18-FA24-84B8-C04D24662F24}"/>
            </a:ext>
          </a:extLst>
        </xdr:cNvPr>
        <xdr:cNvSpPr txBox="1"/>
      </xdr:nvSpPr>
      <xdr:spPr>
        <a:xfrm>
          <a:off x="6074664" y="5145761"/>
          <a:ext cx="7747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5920797-EAF3-4D1B-875E-B26DA6EA3F4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1</xdr:row>
      <xdr:rowOff>2173960</xdr:rowOff>
    </xdr:from>
    <xdr:to>
      <xdr:col>10</xdr:col>
      <xdr:colOff>524764</xdr:colOff>
      <xdr:row>1</xdr:row>
      <xdr:rowOff>2656560</xdr:rowOff>
    </xdr:to>
    <xdr:sp macro="" textlink="印字値!$C$31">
      <xdr:nvSpPr>
        <xdr:cNvPr id="32" name="付表27">
          <a:extLst>
            <a:ext uri="{FF2B5EF4-FFF2-40B4-BE49-F238E27FC236}">
              <a16:creationId xmlns:a16="http://schemas.microsoft.com/office/drawing/2014/main" id="{D575080B-A8D5-166D-3432-DF6093C36BF3}"/>
            </a:ext>
          </a:extLst>
        </xdr:cNvPr>
        <xdr:cNvSpPr txBox="1"/>
      </xdr:nvSpPr>
      <xdr:spPr>
        <a:xfrm>
          <a:off x="6074664" y="5732500"/>
          <a:ext cx="7747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AEB62B7-A122-49FF-9021-19C769A6764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1</xdr:row>
      <xdr:rowOff>2760701</xdr:rowOff>
    </xdr:from>
    <xdr:to>
      <xdr:col>10</xdr:col>
      <xdr:colOff>524764</xdr:colOff>
      <xdr:row>1</xdr:row>
      <xdr:rowOff>3129001</xdr:rowOff>
    </xdr:to>
    <xdr:sp macro="" textlink="印字値!$C$32">
      <xdr:nvSpPr>
        <xdr:cNvPr id="33" name="付表28">
          <a:extLst>
            <a:ext uri="{FF2B5EF4-FFF2-40B4-BE49-F238E27FC236}">
              <a16:creationId xmlns:a16="http://schemas.microsoft.com/office/drawing/2014/main" id="{2ABCEFEF-79DE-7F45-2DE3-0E727FB06500}"/>
            </a:ext>
          </a:extLst>
        </xdr:cNvPr>
        <xdr:cNvSpPr txBox="1"/>
      </xdr:nvSpPr>
      <xdr:spPr>
        <a:xfrm>
          <a:off x="6074664" y="6319241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E0833EE-6F92-4E86-AB90-CAFEFF9AE7A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1</xdr:row>
      <xdr:rowOff>3230093</xdr:rowOff>
    </xdr:from>
    <xdr:to>
      <xdr:col>10</xdr:col>
      <xdr:colOff>524764</xdr:colOff>
      <xdr:row>2</xdr:row>
      <xdr:rowOff>39853</xdr:rowOff>
    </xdr:to>
    <xdr:sp macro="" textlink="印字値!$C$33">
      <xdr:nvSpPr>
        <xdr:cNvPr id="34" name="付表29">
          <a:extLst>
            <a:ext uri="{FF2B5EF4-FFF2-40B4-BE49-F238E27FC236}">
              <a16:creationId xmlns:a16="http://schemas.microsoft.com/office/drawing/2014/main" id="{85753408-8C12-294A-B8A4-68F358314617}"/>
            </a:ext>
          </a:extLst>
        </xdr:cNvPr>
        <xdr:cNvSpPr txBox="1"/>
      </xdr:nvSpPr>
      <xdr:spPr>
        <a:xfrm>
          <a:off x="6074664" y="6788633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D76128B-4056-4A02-9A45-338F2C41FB6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2</xdr:row>
      <xdr:rowOff>140944</xdr:rowOff>
    </xdr:from>
    <xdr:to>
      <xdr:col>10</xdr:col>
      <xdr:colOff>524764</xdr:colOff>
      <xdr:row>2</xdr:row>
      <xdr:rowOff>737844</xdr:rowOff>
    </xdr:to>
    <xdr:sp macro="" textlink="印字値!$C$34">
      <xdr:nvSpPr>
        <xdr:cNvPr id="35" name="付表30">
          <a:extLst>
            <a:ext uri="{FF2B5EF4-FFF2-40B4-BE49-F238E27FC236}">
              <a16:creationId xmlns:a16="http://schemas.microsoft.com/office/drawing/2014/main" id="{CA45CF35-98F6-3F54-D5CB-7EAAB2FCBE1C}"/>
            </a:ext>
          </a:extLst>
        </xdr:cNvPr>
        <xdr:cNvSpPr txBox="1"/>
      </xdr:nvSpPr>
      <xdr:spPr>
        <a:xfrm>
          <a:off x="6074664" y="7258024"/>
          <a:ext cx="7747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4B3CE4B-95A6-4102-86ED-49AF3FAA734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2</xdr:row>
      <xdr:rowOff>845032</xdr:rowOff>
    </xdr:from>
    <xdr:to>
      <xdr:col>10</xdr:col>
      <xdr:colOff>524764</xdr:colOff>
      <xdr:row>2</xdr:row>
      <xdr:rowOff>1441932</xdr:rowOff>
    </xdr:to>
    <xdr:sp macro="" textlink="印字値!$C$35">
      <xdr:nvSpPr>
        <xdr:cNvPr id="36" name="付表31">
          <a:extLst>
            <a:ext uri="{FF2B5EF4-FFF2-40B4-BE49-F238E27FC236}">
              <a16:creationId xmlns:a16="http://schemas.microsoft.com/office/drawing/2014/main" id="{D83E0842-EF74-525B-ACD1-72A347E65DFD}"/>
            </a:ext>
          </a:extLst>
        </xdr:cNvPr>
        <xdr:cNvSpPr txBox="1"/>
      </xdr:nvSpPr>
      <xdr:spPr>
        <a:xfrm>
          <a:off x="6074664" y="7962112"/>
          <a:ext cx="7747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CA395CC-2859-4F72-9F3F-D475E5F6B14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2</xdr:row>
      <xdr:rowOff>1549120</xdr:rowOff>
    </xdr:from>
    <xdr:to>
      <xdr:col>10</xdr:col>
      <xdr:colOff>524764</xdr:colOff>
      <xdr:row>2</xdr:row>
      <xdr:rowOff>1917420</xdr:rowOff>
    </xdr:to>
    <xdr:sp macro="" textlink="印字値!$C$36">
      <xdr:nvSpPr>
        <xdr:cNvPr id="37" name="付表32">
          <a:extLst>
            <a:ext uri="{FF2B5EF4-FFF2-40B4-BE49-F238E27FC236}">
              <a16:creationId xmlns:a16="http://schemas.microsoft.com/office/drawing/2014/main" id="{DA772123-9908-8DE6-5120-E632EA0906C7}"/>
            </a:ext>
          </a:extLst>
        </xdr:cNvPr>
        <xdr:cNvSpPr txBox="1"/>
      </xdr:nvSpPr>
      <xdr:spPr>
        <a:xfrm>
          <a:off x="6074664" y="8666200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C75DA1D-C150-41EE-B33D-D03DB72D22A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382524</xdr:colOff>
      <xdr:row>2</xdr:row>
      <xdr:rowOff>2018513</xdr:rowOff>
    </xdr:from>
    <xdr:to>
      <xdr:col>10</xdr:col>
      <xdr:colOff>524764</xdr:colOff>
      <xdr:row>2</xdr:row>
      <xdr:rowOff>2386813</xdr:rowOff>
    </xdr:to>
    <xdr:sp macro="" textlink="印字値!$C$37">
      <xdr:nvSpPr>
        <xdr:cNvPr id="38" name="付表33">
          <a:extLst>
            <a:ext uri="{FF2B5EF4-FFF2-40B4-BE49-F238E27FC236}">
              <a16:creationId xmlns:a16="http://schemas.microsoft.com/office/drawing/2014/main" id="{18F73C79-7A5B-0D75-2D98-AEA9EF89BEFA}"/>
            </a:ext>
          </a:extLst>
        </xdr:cNvPr>
        <xdr:cNvSpPr txBox="1"/>
      </xdr:nvSpPr>
      <xdr:spPr>
        <a:xfrm>
          <a:off x="6074664" y="9135593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02557D3-F968-4668-9818-457DDA9C398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5080</xdr:colOff>
      <xdr:row>3</xdr:row>
      <xdr:rowOff>17780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522BE646-AF8F-B92C-2451-B12C3C1BF3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6500" cy="10693400"/>
        </a:xfrm>
        <a:prstGeom prst="rect">
          <a:avLst/>
        </a:prstGeom>
      </xdr:spPr>
    </xdr:pic>
    <xdr:clientData/>
  </xdr:twoCellAnchor>
  <xdr:twoCellAnchor editAs="absolute">
    <xdr:from>
      <xdr:col>6</xdr:col>
      <xdr:colOff>376936</xdr:colOff>
      <xdr:row>0</xdr:row>
      <xdr:rowOff>464033</xdr:rowOff>
    </xdr:from>
    <xdr:to>
      <xdr:col>8</xdr:col>
      <xdr:colOff>13716</xdr:colOff>
      <xdr:row>0</xdr:row>
      <xdr:rowOff>857733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4A291248-693A-79D2-FA37-E2BDFCF5C50B}"/>
            </a:ext>
          </a:extLst>
        </xdr:cNvPr>
        <xdr:cNvSpPr txBox="1"/>
      </xdr:nvSpPr>
      <xdr:spPr>
        <a:xfrm>
          <a:off x="4171696" y="464033"/>
          <a:ext cx="901700" cy="3937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ctr"/>
          <a:fld id="{85E948B6-11EB-41D0-B758-6C9BFC9D7798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392176</xdr:colOff>
      <xdr:row>0</xdr:row>
      <xdr:rowOff>464033</xdr:rowOff>
    </xdr:from>
    <xdr:to>
      <xdr:col>10</xdr:col>
      <xdr:colOff>549656</xdr:colOff>
      <xdr:row>0</xdr:row>
      <xdr:rowOff>857733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1D8C38D7-B66C-8CF0-1042-004E838E5BB0}"/>
            </a:ext>
          </a:extLst>
        </xdr:cNvPr>
        <xdr:cNvSpPr txBox="1"/>
      </xdr:nvSpPr>
      <xdr:spPr>
        <a:xfrm>
          <a:off x="5451856" y="464033"/>
          <a:ext cx="14224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05C03F23-2FD3-4BB0-AEA8-37C81B097EAC}" type="TxLink">
            <a:rPr kumimoji="1" lang="en-US" altLang="en-US" sz="51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1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472440</xdr:colOff>
      <xdr:row>0</xdr:row>
      <xdr:rowOff>1107161</xdr:rowOff>
    </xdr:from>
    <xdr:to>
      <xdr:col>5</xdr:col>
      <xdr:colOff>525780</xdr:colOff>
      <xdr:row>0</xdr:row>
      <xdr:rowOff>1500861</xdr:rowOff>
    </xdr:to>
    <xdr:sp macro="" textlink="印字値!$E$5">
      <xdr:nvSpPr>
        <xdr:cNvPr id="6" name="付表二01">
          <a:extLst>
            <a:ext uri="{FF2B5EF4-FFF2-40B4-BE49-F238E27FC236}">
              <a16:creationId xmlns:a16="http://schemas.microsoft.com/office/drawing/2014/main" id="{3FC6C7AF-F691-3EE0-07A3-C89800CC5C99}"/>
            </a:ext>
          </a:extLst>
        </xdr:cNvPr>
        <xdr:cNvSpPr txBox="1"/>
      </xdr:nvSpPr>
      <xdr:spPr>
        <a:xfrm>
          <a:off x="3002280" y="1107161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11314B1-D171-4728-92E7-A035814C9CC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472440</xdr:colOff>
      <xdr:row>0</xdr:row>
      <xdr:rowOff>1607033</xdr:rowOff>
    </xdr:from>
    <xdr:to>
      <xdr:col>5</xdr:col>
      <xdr:colOff>525780</xdr:colOff>
      <xdr:row>0</xdr:row>
      <xdr:rowOff>2000733</xdr:rowOff>
    </xdr:to>
    <xdr:sp macro="" textlink="印字値!$E$6">
      <xdr:nvSpPr>
        <xdr:cNvPr id="7" name="付表二02">
          <a:extLst>
            <a:ext uri="{FF2B5EF4-FFF2-40B4-BE49-F238E27FC236}">
              <a16:creationId xmlns:a16="http://schemas.microsoft.com/office/drawing/2014/main" id="{C029740A-343D-7D7F-745E-AEE0C8CFAD83}"/>
            </a:ext>
          </a:extLst>
        </xdr:cNvPr>
        <xdr:cNvSpPr txBox="1"/>
      </xdr:nvSpPr>
      <xdr:spPr>
        <a:xfrm>
          <a:off x="3002280" y="1607033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582A48F-D5C5-4976-85A7-BBEC737FB0A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472440</xdr:colOff>
      <xdr:row>0</xdr:row>
      <xdr:rowOff>2106905</xdr:rowOff>
    </xdr:from>
    <xdr:to>
      <xdr:col>5</xdr:col>
      <xdr:colOff>525780</xdr:colOff>
      <xdr:row>0</xdr:row>
      <xdr:rowOff>2500605</xdr:rowOff>
    </xdr:to>
    <xdr:sp macro="" textlink="印字値!$E$7">
      <xdr:nvSpPr>
        <xdr:cNvPr id="8" name="付表二03">
          <a:extLst>
            <a:ext uri="{FF2B5EF4-FFF2-40B4-BE49-F238E27FC236}">
              <a16:creationId xmlns:a16="http://schemas.microsoft.com/office/drawing/2014/main" id="{4BFF4C1A-FA41-FA01-3FEB-7C317569159A}"/>
            </a:ext>
          </a:extLst>
        </xdr:cNvPr>
        <xdr:cNvSpPr txBox="1"/>
      </xdr:nvSpPr>
      <xdr:spPr>
        <a:xfrm>
          <a:off x="3002280" y="2106905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6F1389B-E5E4-4D3A-BBA7-114505B21AA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472440</xdr:colOff>
      <xdr:row>0</xdr:row>
      <xdr:rowOff>2606777</xdr:rowOff>
    </xdr:from>
    <xdr:to>
      <xdr:col>5</xdr:col>
      <xdr:colOff>525780</xdr:colOff>
      <xdr:row>0</xdr:row>
      <xdr:rowOff>3000477</xdr:rowOff>
    </xdr:to>
    <xdr:sp macro="" textlink="印字値!$E$8">
      <xdr:nvSpPr>
        <xdr:cNvPr id="9" name="付表二04">
          <a:extLst>
            <a:ext uri="{FF2B5EF4-FFF2-40B4-BE49-F238E27FC236}">
              <a16:creationId xmlns:a16="http://schemas.microsoft.com/office/drawing/2014/main" id="{BAD9EE02-360A-2927-E7C2-0FDE94EC6598}"/>
            </a:ext>
          </a:extLst>
        </xdr:cNvPr>
        <xdr:cNvSpPr txBox="1"/>
      </xdr:nvSpPr>
      <xdr:spPr>
        <a:xfrm>
          <a:off x="3002280" y="2606777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3E9728F-FC7D-4145-9AD3-9BF4461E15F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472440</xdr:colOff>
      <xdr:row>0</xdr:row>
      <xdr:rowOff>3106649</xdr:rowOff>
    </xdr:from>
    <xdr:to>
      <xdr:col>5</xdr:col>
      <xdr:colOff>525780</xdr:colOff>
      <xdr:row>0</xdr:row>
      <xdr:rowOff>3500349</xdr:rowOff>
    </xdr:to>
    <xdr:sp macro="" textlink="印字値!$E$9">
      <xdr:nvSpPr>
        <xdr:cNvPr id="10" name="付表二05">
          <a:extLst>
            <a:ext uri="{FF2B5EF4-FFF2-40B4-BE49-F238E27FC236}">
              <a16:creationId xmlns:a16="http://schemas.microsoft.com/office/drawing/2014/main" id="{AD590A97-53A6-BE98-7E48-A70ECF67F3DA}"/>
            </a:ext>
          </a:extLst>
        </xdr:cNvPr>
        <xdr:cNvSpPr txBox="1"/>
      </xdr:nvSpPr>
      <xdr:spPr>
        <a:xfrm>
          <a:off x="3002280" y="3106649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46875E3-8DB7-4908-830C-AB43C06F152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467868</xdr:colOff>
      <xdr:row>0</xdr:row>
      <xdr:rowOff>1107161</xdr:rowOff>
    </xdr:from>
    <xdr:to>
      <xdr:col>10</xdr:col>
      <xdr:colOff>521208</xdr:colOff>
      <xdr:row>0</xdr:row>
      <xdr:rowOff>1500861</xdr:rowOff>
    </xdr:to>
    <xdr:sp macro="" textlink="印字値!$E$10">
      <xdr:nvSpPr>
        <xdr:cNvPr id="11" name="付表二06">
          <a:extLst>
            <a:ext uri="{FF2B5EF4-FFF2-40B4-BE49-F238E27FC236}">
              <a16:creationId xmlns:a16="http://schemas.microsoft.com/office/drawing/2014/main" id="{097466F2-E621-48B0-E83A-A8D7551D1E7F}"/>
            </a:ext>
          </a:extLst>
        </xdr:cNvPr>
        <xdr:cNvSpPr txBox="1"/>
      </xdr:nvSpPr>
      <xdr:spPr>
        <a:xfrm>
          <a:off x="6160008" y="1107161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6D433EB-8D6D-4712-851F-3DFE383F5C1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467868</xdr:colOff>
      <xdr:row>0</xdr:row>
      <xdr:rowOff>1607033</xdr:rowOff>
    </xdr:from>
    <xdr:to>
      <xdr:col>10</xdr:col>
      <xdr:colOff>521208</xdr:colOff>
      <xdr:row>0</xdr:row>
      <xdr:rowOff>2000733</xdr:rowOff>
    </xdr:to>
    <xdr:sp macro="" textlink="印字値!$E$11">
      <xdr:nvSpPr>
        <xdr:cNvPr id="12" name="付表二07">
          <a:extLst>
            <a:ext uri="{FF2B5EF4-FFF2-40B4-BE49-F238E27FC236}">
              <a16:creationId xmlns:a16="http://schemas.microsoft.com/office/drawing/2014/main" id="{3535D317-49E0-C969-F24A-875062D1531D}"/>
            </a:ext>
          </a:extLst>
        </xdr:cNvPr>
        <xdr:cNvSpPr txBox="1"/>
      </xdr:nvSpPr>
      <xdr:spPr>
        <a:xfrm>
          <a:off x="6160008" y="1607033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3D01846-9F76-4997-8B1F-8789074798B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467868</xdr:colOff>
      <xdr:row>0</xdr:row>
      <xdr:rowOff>2106905</xdr:rowOff>
    </xdr:from>
    <xdr:to>
      <xdr:col>10</xdr:col>
      <xdr:colOff>521208</xdr:colOff>
      <xdr:row>0</xdr:row>
      <xdr:rowOff>2500605</xdr:rowOff>
    </xdr:to>
    <xdr:sp macro="" textlink="印字値!$E$12">
      <xdr:nvSpPr>
        <xdr:cNvPr id="13" name="付表二08">
          <a:extLst>
            <a:ext uri="{FF2B5EF4-FFF2-40B4-BE49-F238E27FC236}">
              <a16:creationId xmlns:a16="http://schemas.microsoft.com/office/drawing/2014/main" id="{78685E15-09CD-291C-8E86-C10A772FA146}"/>
            </a:ext>
          </a:extLst>
        </xdr:cNvPr>
        <xdr:cNvSpPr txBox="1"/>
      </xdr:nvSpPr>
      <xdr:spPr>
        <a:xfrm>
          <a:off x="6160008" y="2106905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A7F0CE4-E9F4-4C3D-898B-0CC904DAA2C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467868</xdr:colOff>
      <xdr:row>0</xdr:row>
      <xdr:rowOff>2606777</xdr:rowOff>
    </xdr:from>
    <xdr:to>
      <xdr:col>10</xdr:col>
      <xdr:colOff>521208</xdr:colOff>
      <xdr:row>0</xdr:row>
      <xdr:rowOff>3000477</xdr:rowOff>
    </xdr:to>
    <xdr:sp macro="" textlink="印字値!$E$13">
      <xdr:nvSpPr>
        <xdr:cNvPr id="14" name="付表二09">
          <a:extLst>
            <a:ext uri="{FF2B5EF4-FFF2-40B4-BE49-F238E27FC236}">
              <a16:creationId xmlns:a16="http://schemas.microsoft.com/office/drawing/2014/main" id="{80634EEB-8A43-1133-5390-EE59F35483E8}"/>
            </a:ext>
          </a:extLst>
        </xdr:cNvPr>
        <xdr:cNvSpPr txBox="1"/>
      </xdr:nvSpPr>
      <xdr:spPr>
        <a:xfrm>
          <a:off x="6160008" y="2606777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B58BB3E-F5A4-47D1-AF06-C044963F24D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467868</xdr:colOff>
      <xdr:row>0</xdr:row>
      <xdr:rowOff>3106649</xdr:rowOff>
    </xdr:from>
    <xdr:to>
      <xdr:col>10</xdr:col>
      <xdr:colOff>521208</xdr:colOff>
      <xdr:row>0</xdr:row>
      <xdr:rowOff>3500349</xdr:rowOff>
    </xdr:to>
    <xdr:sp macro="" textlink="印字値!$E$14">
      <xdr:nvSpPr>
        <xdr:cNvPr id="15" name="付表二10">
          <a:extLst>
            <a:ext uri="{FF2B5EF4-FFF2-40B4-BE49-F238E27FC236}">
              <a16:creationId xmlns:a16="http://schemas.microsoft.com/office/drawing/2014/main" id="{F8255026-DB1F-DDDA-0F7A-8A327957B394}"/>
            </a:ext>
          </a:extLst>
        </xdr:cNvPr>
        <xdr:cNvSpPr txBox="1"/>
      </xdr:nvSpPr>
      <xdr:spPr>
        <a:xfrm>
          <a:off x="6160008" y="3106649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07EF984-D708-4C9F-BBB0-96C99F26A2F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472440</xdr:colOff>
      <xdr:row>1</xdr:row>
      <xdr:rowOff>233909</xdr:rowOff>
    </xdr:from>
    <xdr:to>
      <xdr:col>5</xdr:col>
      <xdr:colOff>525780</xdr:colOff>
      <xdr:row>1</xdr:row>
      <xdr:rowOff>830809</xdr:rowOff>
    </xdr:to>
    <xdr:sp macro="" textlink="印字値!$E$15">
      <xdr:nvSpPr>
        <xdr:cNvPr id="16" name="付表二11">
          <a:extLst>
            <a:ext uri="{FF2B5EF4-FFF2-40B4-BE49-F238E27FC236}">
              <a16:creationId xmlns:a16="http://schemas.microsoft.com/office/drawing/2014/main" id="{F81B72D9-7AAF-B472-D950-0EDFBE3A21EB}"/>
            </a:ext>
          </a:extLst>
        </xdr:cNvPr>
        <xdr:cNvSpPr txBox="1"/>
      </xdr:nvSpPr>
      <xdr:spPr>
        <a:xfrm>
          <a:off x="3002280" y="3792449"/>
          <a:ext cx="6858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0F6A908-212E-41E1-915C-7D819238161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472440</xdr:colOff>
      <xdr:row>1</xdr:row>
      <xdr:rowOff>937997</xdr:rowOff>
    </xdr:from>
    <xdr:to>
      <xdr:col>5</xdr:col>
      <xdr:colOff>525780</xdr:colOff>
      <xdr:row>1</xdr:row>
      <xdr:rowOff>1534897</xdr:rowOff>
    </xdr:to>
    <xdr:sp macro="" textlink="印字値!$E$16">
      <xdr:nvSpPr>
        <xdr:cNvPr id="17" name="付表二12">
          <a:extLst>
            <a:ext uri="{FF2B5EF4-FFF2-40B4-BE49-F238E27FC236}">
              <a16:creationId xmlns:a16="http://schemas.microsoft.com/office/drawing/2014/main" id="{0BBD47A8-7DCD-80DA-BB9E-70371AEC2C5B}"/>
            </a:ext>
          </a:extLst>
        </xdr:cNvPr>
        <xdr:cNvSpPr txBox="1"/>
      </xdr:nvSpPr>
      <xdr:spPr>
        <a:xfrm>
          <a:off x="3002280" y="4496537"/>
          <a:ext cx="6858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3F81C61-8177-4326-B988-4A727CBD465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472440</xdr:colOff>
      <xdr:row>1</xdr:row>
      <xdr:rowOff>1642084</xdr:rowOff>
    </xdr:from>
    <xdr:to>
      <xdr:col>5</xdr:col>
      <xdr:colOff>525780</xdr:colOff>
      <xdr:row>1</xdr:row>
      <xdr:rowOff>2238984</xdr:rowOff>
    </xdr:to>
    <xdr:sp macro="" textlink="印字値!$E$17">
      <xdr:nvSpPr>
        <xdr:cNvPr id="18" name="付表二13">
          <a:extLst>
            <a:ext uri="{FF2B5EF4-FFF2-40B4-BE49-F238E27FC236}">
              <a16:creationId xmlns:a16="http://schemas.microsoft.com/office/drawing/2014/main" id="{5858D551-6021-45D1-3E35-C72156FD7F8B}"/>
            </a:ext>
          </a:extLst>
        </xdr:cNvPr>
        <xdr:cNvSpPr txBox="1"/>
      </xdr:nvSpPr>
      <xdr:spPr>
        <a:xfrm>
          <a:off x="3002280" y="5200624"/>
          <a:ext cx="6858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657FE01-7DA5-4EAD-A295-E5560373E21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467868</xdr:colOff>
      <xdr:row>1</xdr:row>
      <xdr:rowOff>233909</xdr:rowOff>
    </xdr:from>
    <xdr:to>
      <xdr:col>10</xdr:col>
      <xdr:colOff>521208</xdr:colOff>
      <xdr:row>1</xdr:row>
      <xdr:rowOff>602209</xdr:rowOff>
    </xdr:to>
    <xdr:sp macro="" textlink="印字値!$E$18">
      <xdr:nvSpPr>
        <xdr:cNvPr id="19" name="付表二14">
          <a:extLst>
            <a:ext uri="{FF2B5EF4-FFF2-40B4-BE49-F238E27FC236}">
              <a16:creationId xmlns:a16="http://schemas.microsoft.com/office/drawing/2014/main" id="{84ECA39F-E00D-19F3-2047-420637C8CB5A}"/>
            </a:ext>
          </a:extLst>
        </xdr:cNvPr>
        <xdr:cNvSpPr txBox="1"/>
      </xdr:nvSpPr>
      <xdr:spPr>
        <a:xfrm>
          <a:off x="6160008" y="3792449"/>
          <a:ext cx="6858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424B008-3079-4E34-9293-A4B075AC54E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467868</xdr:colOff>
      <xdr:row>1</xdr:row>
      <xdr:rowOff>703301</xdr:rowOff>
    </xdr:from>
    <xdr:to>
      <xdr:col>10</xdr:col>
      <xdr:colOff>521208</xdr:colOff>
      <xdr:row>1</xdr:row>
      <xdr:rowOff>1071601</xdr:rowOff>
    </xdr:to>
    <xdr:sp macro="" textlink="印字値!$E$19">
      <xdr:nvSpPr>
        <xdr:cNvPr id="20" name="付表二15">
          <a:extLst>
            <a:ext uri="{FF2B5EF4-FFF2-40B4-BE49-F238E27FC236}">
              <a16:creationId xmlns:a16="http://schemas.microsoft.com/office/drawing/2014/main" id="{B96A2D0D-B3D2-28EC-ED63-0119FD0501EA}"/>
            </a:ext>
          </a:extLst>
        </xdr:cNvPr>
        <xdr:cNvSpPr txBox="1"/>
      </xdr:nvSpPr>
      <xdr:spPr>
        <a:xfrm>
          <a:off x="6160008" y="4261841"/>
          <a:ext cx="6858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A023485-6BF1-48E7-8A8B-B3004AEA091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467868</xdr:colOff>
      <xdr:row>1</xdr:row>
      <xdr:rowOff>1172693</xdr:rowOff>
    </xdr:from>
    <xdr:to>
      <xdr:col>10</xdr:col>
      <xdr:colOff>521208</xdr:colOff>
      <xdr:row>1</xdr:row>
      <xdr:rowOff>1540993</xdr:rowOff>
    </xdr:to>
    <xdr:sp macro="" textlink="印字値!$E$20">
      <xdr:nvSpPr>
        <xdr:cNvPr id="21" name="付表二16">
          <a:extLst>
            <a:ext uri="{FF2B5EF4-FFF2-40B4-BE49-F238E27FC236}">
              <a16:creationId xmlns:a16="http://schemas.microsoft.com/office/drawing/2014/main" id="{65C00F00-B848-D2A9-6DA5-BB7A054DE688}"/>
            </a:ext>
          </a:extLst>
        </xdr:cNvPr>
        <xdr:cNvSpPr txBox="1"/>
      </xdr:nvSpPr>
      <xdr:spPr>
        <a:xfrm>
          <a:off x="6160008" y="4731233"/>
          <a:ext cx="6858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7CDB931-D29D-439B-98D1-96682E38C03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467868</xdr:colOff>
      <xdr:row>1</xdr:row>
      <xdr:rowOff>1642084</xdr:rowOff>
    </xdr:from>
    <xdr:to>
      <xdr:col>10</xdr:col>
      <xdr:colOff>521208</xdr:colOff>
      <xdr:row>1</xdr:row>
      <xdr:rowOff>2238984</xdr:rowOff>
    </xdr:to>
    <xdr:sp macro="" textlink="印字値!$E$21">
      <xdr:nvSpPr>
        <xdr:cNvPr id="22" name="付表二17">
          <a:extLst>
            <a:ext uri="{FF2B5EF4-FFF2-40B4-BE49-F238E27FC236}">
              <a16:creationId xmlns:a16="http://schemas.microsoft.com/office/drawing/2014/main" id="{E86727E5-086E-E4ED-37E4-4FF10CB863E4}"/>
            </a:ext>
          </a:extLst>
        </xdr:cNvPr>
        <xdr:cNvSpPr txBox="1"/>
      </xdr:nvSpPr>
      <xdr:spPr>
        <a:xfrm>
          <a:off x="6160008" y="5200624"/>
          <a:ext cx="6858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CA55046-BAB4-41BB-94BB-A4551A7FC0B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472440</xdr:colOff>
      <xdr:row>1</xdr:row>
      <xdr:rowOff>2532101</xdr:rowOff>
    </xdr:from>
    <xdr:to>
      <xdr:col>5</xdr:col>
      <xdr:colOff>525780</xdr:colOff>
      <xdr:row>1</xdr:row>
      <xdr:rowOff>2925801</xdr:rowOff>
    </xdr:to>
    <xdr:sp macro="" textlink="印字値!$E$22">
      <xdr:nvSpPr>
        <xdr:cNvPr id="23" name="付表二18">
          <a:extLst>
            <a:ext uri="{FF2B5EF4-FFF2-40B4-BE49-F238E27FC236}">
              <a16:creationId xmlns:a16="http://schemas.microsoft.com/office/drawing/2014/main" id="{35600DDA-9731-ACCC-312D-D3EB5C7B09FB}"/>
            </a:ext>
          </a:extLst>
        </xdr:cNvPr>
        <xdr:cNvSpPr txBox="1"/>
      </xdr:nvSpPr>
      <xdr:spPr>
        <a:xfrm>
          <a:off x="3002280" y="6090641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1AA41F2-4494-4BB5-87C3-4BAB030B943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472440</xdr:colOff>
      <xdr:row>1</xdr:row>
      <xdr:rowOff>3030449</xdr:rowOff>
    </xdr:from>
    <xdr:to>
      <xdr:col>5</xdr:col>
      <xdr:colOff>525780</xdr:colOff>
      <xdr:row>1</xdr:row>
      <xdr:rowOff>3424149</xdr:rowOff>
    </xdr:to>
    <xdr:sp macro="" textlink="印字値!$E$23">
      <xdr:nvSpPr>
        <xdr:cNvPr id="24" name="付表二19">
          <a:extLst>
            <a:ext uri="{FF2B5EF4-FFF2-40B4-BE49-F238E27FC236}">
              <a16:creationId xmlns:a16="http://schemas.microsoft.com/office/drawing/2014/main" id="{35182762-ED84-32B3-5E8A-2BBF4A2D5121}"/>
            </a:ext>
          </a:extLst>
        </xdr:cNvPr>
        <xdr:cNvSpPr txBox="1"/>
      </xdr:nvSpPr>
      <xdr:spPr>
        <a:xfrm>
          <a:off x="3002280" y="6588989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01D0615-88A2-4DAC-9B19-708E65BE846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472440</xdr:colOff>
      <xdr:row>1</xdr:row>
      <xdr:rowOff>3530320</xdr:rowOff>
    </xdr:from>
    <xdr:to>
      <xdr:col>5</xdr:col>
      <xdr:colOff>525780</xdr:colOff>
      <xdr:row>2</xdr:row>
      <xdr:rowOff>365480</xdr:rowOff>
    </xdr:to>
    <xdr:sp macro="" textlink="印字値!$E$24">
      <xdr:nvSpPr>
        <xdr:cNvPr id="25" name="付表二20">
          <a:extLst>
            <a:ext uri="{FF2B5EF4-FFF2-40B4-BE49-F238E27FC236}">
              <a16:creationId xmlns:a16="http://schemas.microsoft.com/office/drawing/2014/main" id="{FCD651A8-49E4-AEBD-50BF-404F9BC785D2}"/>
            </a:ext>
          </a:extLst>
        </xdr:cNvPr>
        <xdr:cNvSpPr txBox="1"/>
      </xdr:nvSpPr>
      <xdr:spPr>
        <a:xfrm>
          <a:off x="3002280" y="7088860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A6C3DDA-FCCF-4EDF-8FD8-B689AC495DC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472440</xdr:colOff>
      <xdr:row>2</xdr:row>
      <xdr:rowOff>471653</xdr:rowOff>
    </xdr:from>
    <xdr:to>
      <xdr:col>5</xdr:col>
      <xdr:colOff>525780</xdr:colOff>
      <xdr:row>2</xdr:row>
      <xdr:rowOff>865353</xdr:rowOff>
    </xdr:to>
    <xdr:sp macro="" textlink="印字値!$E$25">
      <xdr:nvSpPr>
        <xdr:cNvPr id="26" name="付表二21">
          <a:extLst>
            <a:ext uri="{FF2B5EF4-FFF2-40B4-BE49-F238E27FC236}">
              <a16:creationId xmlns:a16="http://schemas.microsoft.com/office/drawing/2014/main" id="{5C4B6B14-7169-AB41-F225-93271A655BB7}"/>
            </a:ext>
          </a:extLst>
        </xdr:cNvPr>
        <xdr:cNvSpPr txBox="1"/>
      </xdr:nvSpPr>
      <xdr:spPr>
        <a:xfrm>
          <a:off x="3002280" y="7588733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A5D8B21-F28E-488F-B2CF-86D76D89074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472440</xdr:colOff>
      <xdr:row>2</xdr:row>
      <xdr:rowOff>971525</xdr:rowOff>
    </xdr:from>
    <xdr:to>
      <xdr:col>5</xdr:col>
      <xdr:colOff>525780</xdr:colOff>
      <xdr:row>2</xdr:row>
      <xdr:rowOff>1365225</xdr:rowOff>
    </xdr:to>
    <xdr:sp macro="" textlink="印字値!$E$26">
      <xdr:nvSpPr>
        <xdr:cNvPr id="27" name="付表二22">
          <a:extLst>
            <a:ext uri="{FF2B5EF4-FFF2-40B4-BE49-F238E27FC236}">
              <a16:creationId xmlns:a16="http://schemas.microsoft.com/office/drawing/2014/main" id="{3AC5C299-264C-453D-8780-C6103229B7C0}"/>
            </a:ext>
          </a:extLst>
        </xdr:cNvPr>
        <xdr:cNvSpPr txBox="1"/>
      </xdr:nvSpPr>
      <xdr:spPr>
        <a:xfrm>
          <a:off x="3002280" y="8088605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44C274A-951A-4677-9CE8-74DC62F7EC7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467868</xdr:colOff>
      <xdr:row>1</xdr:row>
      <xdr:rowOff>2532101</xdr:rowOff>
    </xdr:from>
    <xdr:to>
      <xdr:col>10</xdr:col>
      <xdr:colOff>521208</xdr:colOff>
      <xdr:row>1</xdr:row>
      <xdr:rowOff>3052801</xdr:rowOff>
    </xdr:to>
    <xdr:sp macro="" textlink="印字値!$E$27">
      <xdr:nvSpPr>
        <xdr:cNvPr id="28" name="付表二23">
          <a:extLst>
            <a:ext uri="{FF2B5EF4-FFF2-40B4-BE49-F238E27FC236}">
              <a16:creationId xmlns:a16="http://schemas.microsoft.com/office/drawing/2014/main" id="{E2ABCBB8-6EF3-F4A7-3AC3-E3D4D0421CF9}"/>
            </a:ext>
          </a:extLst>
        </xdr:cNvPr>
        <xdr:cNvSpPr txBox="1"/>
      </xdr:nvSpPr>
      <xdr:spPr>
        <a:xfrm>
          <a:off x="6160008" y="6090641"/>
          <a:ext cx="685800" cy="520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C1C1D4E-9C20-45C4-AD5E-5AAFB9FFDF8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467868</xdr:colOff>
      <xdr:row>1</xdr:row>
      <xdr:rowOff>3155417</xdr:rowOff>
    </xdr:from>
    <xdr:to>
      <xdr:col>10</xdr:col>
      <xdr:colOff>521208</xdr:colOff>
      <xdr:row>2</xdr:row>
      <xdr:rowOff>117577</xdr:rowOff>
    </xdr:to>
    <xdr:sp macro="" textlink="印字値!$E$28">
      <xdr:nvSpPr>
        <xdr:cNvPr id="29" name="付表二24">
          <a:extLst>
            <a:ext uri="{FF2B5EF4-FFF2-40B4-BE49-F238E27FC236}">
              <a16:creationId xmlns:a16="http://schemas.microsoft.com/office/drawing/2014/main" id="{D4F1A777-50F6-BEC8-ACD3-71AD2CF00FE3}"/>
            </a:ext>
          </a:extLst>
        </xdr:cNvPr>
        <xdr:cNvSpPr txBox="1"/>
      </xdr:nvSpPr>
      <xdr:spPr>
        <a:xfrm>
          <a:off x="6160008" y="6713957"/>
          <a:ext cx="685800" cy="520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76D68DF-FD77-48AF-B660-7B37A7205CE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467868</xdr:colOff>
      <xdr:row>2</xdr:row>
      <xdr:rowOff>221716</xdr:rowOff>
    </xdr:from>
    <xdr:to>
      <xdr:col>10</xdr:col>
      <xdr:colOff>521208</xdr:colOff>
      <xdr:row>2</xdr:row>
      <xdr:rowOff>742416</xdr:rowOff>
    </xdr:to>
    <xdr:sp macro="" textlink="印字値!$E$29">
      <xdr:nvSpPr>
        <xdr:cNvPr id="30" name="付表二25">
          <a:extLst>
            <a:ext uri="{FF2B5EF4-FFF2-40B4-BE49-F238E27FC236}">
              <a16:creationId xmlns:a16="http://schemas.microsoft.com/office/drawing/2014/main" id="{312BA177-9E5F-2667-5530-79EC97DD65A3}"/>
            </a:ext>
          </a:extLst>
        </xdr:cNvPr>
        <xdr:cNvSpPr txBox="1"/>
      </xdr:nvSpPr>
      <xdr:spPr>
        <a:xfrm>
          <a:off x="6160008" y="7338796"/>
          <a:ext cx="685800" cy="520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7A633CC-32F2-459C-AAB2-F086AFF9FAC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467868</xdr:colOff>
      <xdr:row>2</xdr:row>
      <xdr:rowOff>846556</xdr:rowOff>
    </xdr:from>
    <xdr:to>
      <xdr:col>10</xdr:col>
      <xdr:colOff>521208</xdr:colOff>
      <xdr:row>2</xdr:row>
      <xdr:rowOff>1367256</xdr:rowOff>
    </xdr:to>
    <xdr:sp macro="" textlink="印字値!$E$30">
      <xdr:nvSpPr>
        <xdr:cNvPr id="31" name="付表二26">
          <a:extLst>
            <a:ext uri="{FF2B5EF4-FFF2-40B4-BE49-F238E27FC236}">
              <a16:creationId xmlns:a16="http://schemas.microsoft.com/office/drawing/2014/main" id="{4B8488D4-EB08-15ED-27EE-08CE514EC4FA}"/>
            </a:ext>
          </a:extLst>
        </xdr:cNvPr>
        <xdr:cNvSpPr txBox="1"/>
      </xdr:nvSpPr>
      <xdr:spPr>
        <a:xfrm>
          <a:off x="6160008" y="7963636"/>
          <a:ext cx="685800" cy="520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C777688-2E7A-46FB-8072-5767E4A318D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ta.go.jp/law/tsutatsu/kihon/hojin/16/16_01_02.htm" TargetMode="External"/><Relationship Id="rId3" Type="http://schemas.openxmlformats.org/officeDocument/2006/relationships/hyperlink" Target="https://www.nta.go.jp/taxes/tetsuzuki/shinsei/annai/hojin/shinkoku/itiran2023/pdf/03%2801%29-ki.pdf" TargetMode="External"/><Relationship Id="rId7" Type="http://schemas.openxmlformats.org/officeDocument/2006/relationships/hyperlink" Target="https://www.nta.go.jp/taxes/tetsuzuki/shinsei/annai/hojin/shinkoku/itiran2023/pdf/03%2801%29-f2-ki.pdf" TargetMode="External"/><Relationship Id="rId2" Type="http://schemas.openxmlformats.org/officeDocument/2006/relationships/hyperlink" Target="https://www.nta.go.jp/taxes/tetsuzuki/shinsei/annai/hojin/shinkoku/itiran2023/pdf/03%2801%29.pdf" TargetMode="External"/><Relationship Id="rId1" Type="http://schemas.openxmlformats.org/officeDocument/2006/relationships/hyperlink" Target="https://www.nta.go.jp/taxes/tetsuzuki/shinsei/annai/hojin/shinkoku/itiran2023/01.htm" TargetMode="External"/><Relationship Id="rId6" Type="http://schemas.openxmlformats.org/officeDocument/2006/relationships/hyperlink" Target="https://www.nta.go.jp/taxes/tetsuzuki/shinsei/annai/hojin/shinkoku/itiran2023/pdf/03%2801%29-f2.pdf" TargetMode="External"/><Relationship Id="rId11" Type="http://schemas.openxmlformats.org/officeDocument/2006/relationships/printerSettings" Target="../printerSettings/printerSettings10.bin"/><Relationship Id="rId5" Type="http://schemas.openxmlformats.org/officeDocument/2006/relationships/hyperlink" Target="https://www.nta.go.jp/taxes/tetsuzuki/shinsei/annai/hojin/shinkoku/itiran2023/pdf/03%2801%29-f1-ki.pdf" TargetMode="External"/><Relationship Id="rId10" Type="http://schemas.openxmlformats.org/officeDocument/2006/relationships/hyperlink" Target="https://laws.e-gov.go.jp/law/337AC0000000066" TargetMode="External"/><Relationship Id="rId4" Type="http://schemas.openxmlformats.org/officeDocument/2006/relationships/hyperlink" Target="https://www.nta.go.jp/taxes/tetsuzuki/shinsei/annai/hojin/shinkoku/itiran2023/pdf/03%2801%29-f1.pdf" TargetMode="External"/><Relationship Id="rId9" Type="http://schemas.openxmlformats.org/officeDocument/2006/relationships/hyperlink" Target="https://laws.e-gov.go.jp/law/340AC00000000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1888-5B69-4B22-A8FC-7C22FD14B3CC}">
  <sheetPr>
    <tabColor rgb="FF17365D"/>
    <pageSetUpPr fitToPage="1"/>
  </sheetPr>
  <dimension ref="A1:H40"/>
  <sheetViews>
    <sheetView showGridLines="0" tabSelected="1" zoomScale="90" zoomScaleNormal="90" workbookViewId="0">
      <selection sqref="A1:H1"/>
    </sheetView>
  </sheetViews>
  <sheetFormatPr defaultRowHeight="18"/>
  <cols>
    <col min="1" max="8" width="15.69921875" customWidth="1"/>
  </cols>
  <sheetData>
    <row r="1" spans="1:8" ht="28.8">
      <c r="A1" s="41" t="s">
        <v>468</v>
      </c>
      <c r="B1" s="6"/>
      <c r="C1" s="6"/>
      <c r="D1" s="6"/>
      <c r="E1" s="6"/>
      <c r="F1" s="6"/>
      <c r="G1" s="6"/>
      <c r="H1" s="6"/>
    </row>
    <row r="2" spans="1:8">
      <c r="A2" s="42" t="s">
        <v>469</v>
      </c>
      <c r="B2" s="6"/>
      <c r="C2" s="6"/>
      <c r="D2" s="6"/>
      <c r="E2" s="6"/>
      <c r="F2" s="6"/>
      <c r="G2" s="6"/>
      <c r="H2" s="6"/>
    </row>
    <row r="3" spans="1:8">
      <c r="A3" s="8"/>
      <c r="B3" s="8"/>
      <c r="C3" s="8"/>
      <c r="D3" s="8"/>
      <c r="E3" s="8"/>
      <c r="F3" s="8"/>
      <c r="G3" s="8"/>
      <c r="H3" s="8"/>
    </row>
    <row r="4" spans="1:8" ht="22.95" customHeight="1">
      <c r="A4" s="9" t="s">
        <v>470</v>
      </c>
      <c r="B4" s="9"/>
      <c r="C4" s="9"/>
      <c r="D4" s="9"/>
      <c r="E4" s="9"/>
      <c r="F4" s="9"/>
      <c r="G4" s="9"/>
      <c r="H4" s="9"/>
    </row>
    <row r="5" spans="1:8">
      <c r="A5" s="11" t="s">
        <v>471</v>
      </c>
      <c r="B5" s="11"/>
      <c r="C5" s="11"/>
      <c r="D5" s="11"/>
      <c r="E5" s="11"/>
      <c r="F5" s="43" t="str">
        <f>IFERROR(IF(cfg_calculation_ready,out_retained_tax,""),"")</f>
        <v/>
      </c>
      <c r="G5" s="44"/>
      <c r="H5" s="44"/>
    </row>
    <row r="6" spans="1:8">
      <c r="A6" s="11" t="s">
        <v>472</v>
      </c>
      <c r="B6" s="11"/>
      <c r="C6" s="11"/>
      <c r="D6" s="11"/>
      <c r="E6" s="11"/>
      <c r="F6" s="43" t="str">
        <f>IFERROR(IF(cfg_calculation_ready,out_taxable_retained,""),"")</f>
        <v/>
      </c>
      <c r="G6" s="44"/>
      <c r="H6" s="44"/>
    </row>
    <row r="7" spans="1:8">
      <c r="A7" s="11" t="s">
        <v>473</v>
      </c>
      <c r="B7" s="11"/>
      <c r="C7" s="11"/>
      <c r="D7" s="11"/>
      <c r="E7" s="11"/>
      <c r="F7" s="43" t="str">
        <f>IFERROR(IF(cfg_calculation_ready,out_retention_allowance,""),"")</f>
        <v/>
      </c>
      <c r="G7" s="44"/>
      <c r="H7" s="44"/>
    </row>
    <row r="8" spans="1:8">
      <c r="A8" s="11" t="s">
        <v>474</v>
      </c>
      <c r="B8" s="11"/>
      <c r="C8" s="11"/>
      <c r="D8" s="11"/>
      <c r="E8" s="11"/>
      <c r="F8" s="43" t="str">
        <f>IFERROR(IF(cfg_calculation_ready,out_municipal_tax,""),"")</f>
        <v/>
      </c>
      <c r="G8" s="44"/>
      <c r="H8" s="44"/>
    </row>
    <row r="9" spans="1:8">
      <c r="A9" s="8"/>
      <c r="B9" s="8"/>
      <c r="C9" s="8"/>
      <c r="D9" s="8"/>
      <c r="E9" s="8"/>
      <c r="F9" s="8"/>
      <c r="G9" s="8"/>
      <c r="H9" s="8"/>
    </row>
    <row r="10" spans="1:8" ht="22.95" customHeight="1">
      <c r="A10" s="9" t="s">
        <v>475</v>
      </c>
      <c r="B10" s="9"/>
      <c r="C10" s="9"/>
      <c r="D10" s="9"/>
      <c r="E10" s="9"/>
      <c r="F10" s="9"/>
      <c r="G10" s="9"/>
      <c r="H10" s="9"/>
    </row>
    <row r="11" spans="1:8">
      <c r="A11" s="11" t="s">
        <v>476</v>
      </c>
      <c r="B11" s="11"/>
      <c r="C11" s="11"/>
      <c r="D11" s="11"/>
      <c r="E11" s="11"/>
      <c r="F11" s="15" t="str">
        <f>IFERROR(IF(NOT(cfg_period_input_valid),"要確認：日付範囲1900～2100年・前後関係・12か月以内",IF(NOT(cfg_applicable),"要確認：終了日がこの年度版の対象外",IF(NOT(cfg_f2_period_ok),"要確認：通算制度の開始日前","OK"))),"")</f>
        <v>OK</v>
      </c>
      <c r="G11" s="15"/>
      <c r="H11" s="15"/>
    </row>
    <row r="12" spans="1:8">
      <c r="A12" s="11" t="s">
        <v>477</v>
      </c>
      <c r="B12" s="11"/>
      <c r="C12" s="11"/>
      <c r="D12" s="11"/>
      <c r="E12" s="11"/>
      <c r="F12" s="15" t="str">
        <f>IFERROR(IF(inp_special="未確認","要確認：別表二「"&amp;"判定結果18"&amp;"」を確認",IF(inp_special="はい","OK","対象外：別表三(一)は使用しません")),"")</f>
        <v>要確認：別表二「判定結果18」を確認</v>
      </c>
      <c r="G12" s="15"/>
      <c r="H12" s="15"/>
    </row>
    <row r="13" spans="1:8">
      <c r="A13" s="11" t="s">
        <v>478</v>
      </c>
      <c r="B13" s="11"/>
      <c r="C13" s="11"/>
      <c r="D13" s="11"/>
      <c r="E13" s="11"/>
      <c r="F13" s="15" t="str">
        <f>IFERROR(IF(AND(cfg_class_selected,cfg_group_selected),"OK","要確認：中小企業者等・通算法人区分を選択"),"")</f>
        <v>要確認：中小企業者等・通算法人区分を選択</v>
      </c>
      <c r="G13" s="15"/>
      <c r="H13" s="15"/>
    </row>
    <row r="14" spans="1:8">
      <c r="A14" s="11" t="s">
        <v>479</v>
      </c>
      <c r="B14" s="11"/>
      <c r="C14" s="11"/>
      <c r="D14" s="11"/>
      <c r="E14" s="11"/>
      <c r="F14" s="15" t="str">
        <f>IFERROR(IF(AND(cfg_exact_domain_ok,cfg_exact_math_valid,cfg_f2_input_valid),"OK","要確認：入力の絶対値合計1,000兆円以下・整数・付表二整合を確認"),"")</f>
        <v>OK</v>
      </c>
      <c r="G14" s="15"/>
      <c r="H14" s="15"/>
    </row>
    <row r="15" spans="1:8">
      <c r="A15" s="11" t="s">
        <v>480</v>
      </c>
      <c r="B15" s="11"/>
      <c r="C15" s="11"/>
      <c r="D15" s="11"/>
      <c r="E15" s="11"/>
      <c r="F15" s="15" t="str">
        <f>IFERROR(IF(AND(inp_months&gt;=1,inp_months&lt;=12),"OK："&amp;inp_months&amp;"か月","要確認"),"")</f>
        <v>OK：12か月</v>
      </c>
      <c r="G15" s="15"/>
      <c r="H15" s="15"/>
    </row>
    <row r="16" spans="1:8" ht="22.95" customHeight="1">
      <c r="A16" s="45" t="s">
        <v>481</v>
      </c>
      <c r="B16" s="45"/>
      <c r="C16" s="45"/>
      <c r="D16" s="45"/>
      <c r="E16" s="45"/>
      <c r="F16" s="45"/>
      <c r="G16" s="45"/>
      <c r="H16" s="45"/>
    </row>
    <row r="17" spans="1:8" ht="28.05" customHeight="1">
      <c r="A17" s="35" t="s">
        <v>482</v>
      </c>
      <c r="B17" s="35"/>
      <c r="C17" s="35"/>
      <c r="D17" s="35"/>
      <c r="E17" s="35"/>
      <c r="F17" s="35"/>
      <c r="G17" s="35"/>
      <c r="H17" s="35"/>
    </row>
    <row r="18" spans="1:8" ht="28.05" customHeight="1">
      <c r="A18" s="35" t="s">
        <v>483</v>
      </c>
      <c r="B18" s="35"/>
      <c r="C18" s="35"/>
      <c r="D18" s="35"/>
      <c r="E18" s="35"/>
      <c r="F18" s="35"/>
      <c r="G18" s="35"/>
      <c r="H18" s="35"/>
    </row>
    <row r="19" spans="1:8" ht="28.05" customHeight="1">
      <c r="A19" s="35" t="s">
        <v>484</v>
      </c>
      <c r="B19" s="35"/>
      <c r="C19" s="35"/>
      <c r="D19" s="35"/>
      <c r="E19" s="35"/>
      <c r="F19" s="35"/>
      <c r="G19" s="35"/>
      <c r="H19" s="35"/>
    </row>
    <row r="20" spans="1:8" ht="28.05" customHeight="1">
      <c r="A20" s="35" t="s">
        <v>485</v>
      </c>
      <c r="B20" s="35"/>
      <c r="C20" s="35"/>
      <c r="D20" s="35"/>
      <c r="E20" s="35"/>
      <c r="F20" s="35"/>
      <c r="G20" s="35"/>
      <c r="H20" s="35"/>
    </row>
    <row r="21" spans="1:8">
      <c r="A21" s="8"/>
      <c r="B21" s="8"/>
      <c r="C21" s="8"/>
      <c r="D21" s="8"/>
      <c r="E21" s="8"/>
      <c r="F21" s="8"/>
      <c r="G21" s="8"/>
      <c r="H21" s="8"/>
    </row>
    <row r="22" spans="1:8" ht="22.95" customHeight="1">
      <c r="A22" s="46" t="s">
        <v>486</v>
      </c>
      <c r="B22" s="46"/>
      <c r="C22" s="46"/>
      <c r="D22" s="46"/>
      <c r="E22" s="46"/>
      <c r="F22" s="46"/>
      <c r="G22" s="46"/>
      <c r="H22" s="46"/>
    </row>
    <row r="23" spans="1:8">
      <c r="A23" s="47" t="s">
        <v>487</v>
      </c>
      <c r="B23" s="47" t="s">
        <v>488</v>
      </c>
      <c r="C23" s="47" t="s">
        <v>489</v>
      </c>
      <c r="D23" s="47" t="s">
        <v>490</v>
      </c>
      <c r="E23" s="47" t="s">
        <v>491</v>
      </c>
      <c r="F23" s="47" t="s">
        <v>492</v>
      </c>
      <c r="G23" s="47" t="s">
        <v>493</v>
      </c>
      <c r="H23" s="8"/>
    </row>
    <row r="24" spans="1:8">
      <c r="A24" s="8"/>
      <c r="B24" s="8"/>
      <c r="C24" s="8"/>
      <c r="D24" s="8"/>
      <c r="E24" s="8"/>
      <c r="F24" s="8"/>
      <c r="G24" s="8"/>
      <c r="H24" s="8"/>
    </row>
    <row r="25" spans="1:8">
      <c r="A25" s="8"/>
      <c r="B25" s="8"/>
      <c r="C25" s="8"/>
      <c r="D25" s="8"/>
      <c r="E25" s="8"/>
      <c r="F25" s="8"/>
      <c r="G25" s="8"/>
      <c r="H25" s="8"/>
    </row>
    <row r="26" spans="1:8">
      <c r="A26" s="8"/>
      <c r="B26" s="8"/>
      <c r="C26" s="8"/>
      <c r="D26" s="8"/>
      <c r="E26" s="8"/>
      <c r="F26" s="8"/>
      <c r="G26" s="8"/>
      <c r="H26" s="8"/>
    </row>
    <row r="27" spans="1:8">
      <c r="A27" s="8"/>
      <c r="B27" s="8"/>
      <c r="C27" s="8"/>
      <c r="D27" s="8"/>
      <c r="E27" s="8"/>
      <c r="F27" s="8"/>
      <c r="G27" s="8"/>
      <c r="H27" s="8"/>
    </row>
    <row r="28" spans="1:8">
      <c r="A28" s="8"/>
      <c r="B28" s="8"/>
      <c r="C28" s="8"/>
      <c r="D28" s="8"/>
      <c r="E28" s="8"/>
      <c r="F28" s="8"/>
      <c r="G28" s="8"/>
      <c r="H28" s="8"/>
    </row>
    <row r="29" spans="1:8">
      <c r="A29" s="8"/>
      <c r="B29" s="8"/>
      <c r="C29" s="8"/>
      <c r="D29" s="8"/>
      <c r="E29" s="8"/>
      <c r="F29" s="8"/>
      <c r="G29" s="8"/>
      <c r="H29" s="8"/>
    </row>
    <row r="30" spans="1:8">
      <c r="A30" s="8"/>
      <c r="B30" s="8"/>
      <c r="C30" s="8"/>
      <c r="D30" s="8"/>
      <c r="E30" s="8"/>
      <c r="F30" s="8"/>
      <c r="G30" s="8"/>
      <c r="H30" s="8"/>
    </row>
    <row r="31" spans="1:8">
      <c r="A31" s="8"/>
      <c r="B31" s="8"/>
      <c r="C31" s="8"/>
      <c r="D31" s="8"/>
      <c r="E31" s="8"/>
      <c r="F31" s="8"/>
      <c r="G31" s="8"/>
      <c r="H31" s="8"/>
    </row>
    <row r="32" spans="1:8">
      <c r="A32" s="8"/>
      <c r="B32" s="8"/>
      <c r="C32" s="8"/>
      <c r="D32" s="8"/>
      <c r="E32" s="8"/>
      <c r="F32" s="8"/>
      <c r="G32" s="8"/>
      <c r="H32" s="8"/>
    </row>
    <row r="33" spans="1:8">
      <c r="A33" s="8"/>
      <c r="B33" s="8"/>
      <c r="C33" s="8"/>
      <c r="D33" s="8"/>
      <c r="E33" s="8"/>
      <c r="F33" s="8"/>
      <c r="G33" s="8"/>
      <c r="H33" s="8"/>
    </row>
    <row r="34" spans="1:8">
      <c r="A34" s="8"/>
      <c r="B34" s="8"/>
      <c r="C34" s="8"/>
      <c r="D34" s="8"/>
      <c r="E34" s="8"/>
      <c r="F34" s="8"/>
      <c r="G34" s="8"/>
      <c r="H34" s="8"/>
    </row>
    <row r="35" spans="1:8">
      <c r="A35" s="8"/>
      <c r="B35" s="8"/>
      <c r="C35" s="8"/>
      <c r="D35" s="8"/>
      <c r="E35" s="8"/>
      <c r="F35" s="8"/>
      <c r="G35" s="8"/>
      <c r="H35" s="8"/>
    </row>
    <row r="36" spans="1:8">
      <c r="A36" s="8"/>
      <c r="B36" s="8"/>
      <c r="C36" s="8"/>
      <c r="D36" s="8"/>
      <c r="E36" s="8"/>
      <c r="F36" s="8"/>
      <c r="G36" s="8"/>
      <c r="H36" s="8"/>
    </row>
    <row r="37" spans="1:8">
      <c r="A37" s="8"/>
      <c r="B37" s="8"/>
      <c r="C37" s="8"/>
      <c r="D37" s="8"/>
      <c r="E37" s="8"/>
      <c r="F37" s="8"/>
      <c r="G37" s="8"/>
      <c r="H37" s="8"/>
    </row>
    <row r="38" spans="1:8">
      <c r="A38" s="8"/>
      <c r="B38" s="8"/>
      <c r="C38" s="8"/>
      <c r="D38" s="8"/>
      <c r="E38" s="8"/>
      <c r="F38" s="8"/>
      <c r="G38" s="8"/>
      <c r="H38" s="8"/>
    </row>
    <row r="39" spans="1:8">
      <c r="A39" s="8"/>
      <c r="B39" s="8"/>
      <c r="C39" s="8"/>
      <c r="D39" s="8"/>
      <c r="E39" s="8"/>
      <c r="F39" s="8"/>
      <c r="G39" s="8"/>
      <c r="H39" s="8"/>
    </row>
    <row r="40" spans="1:8">
      <c r="A40" s="8"/>
      <c r="B40" s="8"/>
      <c r="C40" s="8"/>
      <c r="D40" s="8"/>
      <c r="E40" s="8"/>
      <c r="F40" s="8"/>
      <c r="G40" s="8"/>
      <c r="H40" s="8"/>
    </row>
  </sheetData>
  <sheetProtection sheet="1" objects="1" scenarios="1"/>
  <mergeCells count="28">
    <mergeCell ref="A20:H20"/>
    <mergeCell ref="A22:H22"/>
    <mergeCell ref="A15:E15"/>
    <mergeCell ref="F15:H15"/>
    <mergeCell ref="A16:H16"/>
    <mergeCell ref="A17:H17"/>
    <mergeCell ref="A18:H18"/>
    <mergeCell ref="A19:H19"/>
    <mergeCell ref="A12:E12"/>
    <mergeCell ref="F12:H12"/>
    <mergeCell ref="A13:E13"/>
    <mergeCell ref="F13:H13"/>
    <mergeCell ref="A14:E14"/>
    <mergeCell ref="F14:H14"/>
    <mergeCell ref="A7:E7"/>
    <mergeCell ref="F7:H7"/>
    <mergeCell ref="A8:E8"/>
    <mergeCell ref="F8:H8"/>
    <mergeCell ref="A10:H10"/>
    <mergeCell ref="A11:E11"/>
    <mergeCell ref="F11:H11"/>
    <mergeCell ref="A1:H1"/>
    <mergeCell ref="A2:H2"/>
    <mergeCell ref="A4:H4"/>
    <mergeCell ref="A5:E5"/>
    <mergeCell ref="F5:H5"/>
    <mergeCell ref="A6:E6"/>
    <mergeCell ref="F6:H6"/>
  </mergeCells>
  <phoneticPr fontId="3"/>
  <hyperlinks>
    <hyperlink ref="A23" location="'入力'!A1" display="入力" xr:uid="{99BFA28D-5598-4535-9C4E-69E425C0FFD8}"/>
    <hyperlink ref="B23" location="'別表三一_計算'!A1" display="主表計算" xr:uid="{46A51AC5-E83B-48F3-A026-1E4747DFF859}"/>
    <hyperlink ref="C23" location="'付表一_計算'!A1" display="付表一_計算" xr:uid="{E42E87CB-0FAC-4D8D-AAA1-9BA6892EB5BD}"/>
    <hyperlink ref="D23" location="'付表二_計算'!A1" display="付表二計算" xr:uid="{4C6F3128-8EA1-458B-826C-CB724E1D59B5}"/>
    <hyperlink ref="E23" location="'別表三(一)'!A1" display="公式様式" xr:uid="{4AC6D278-4D57-4DD4-9294-A429A9644711}"/>
    <hyperlink ref="F23" location="'検算'!A1" display="検算" xr:uid="{ACE8C6F5-A1EA-415C-8304-B802A0A6EDE6}"/>
    <hyperlink ref="G23" location="'根拠・出典'!A1" display="根拠・出典" xr:uid="{735DCC28-AB81-4799-B951-12E83BAA449B}"/>
  </hyperlinks>
  <pageMargins left="0.7" right="0.7" top="0.75" bottom="0.75" header="0.3" footer="0.3"/>
  <pageSetup paperSize="9" fitToHeight="9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9DE7-859E-4044-A8FE-E2172741A548}">
  <sheetPr>
    <tabColor rgb="FFFFF2CC"/>
    <pageSetUpPr fitToPage="1"/>
  </sheetPr>
  <dimension ref="A1:H81"/>
  <sheetViews>
    <sheetView showGridLines="0" zoomScale="90" zoomScaleNormal="90" workbookViewId="0">
      <pane ySplit="13" topLeftCell="A14" activePane="bottomLeft" state="frozenSplit"/>
      <selection pane="bottomLeft" sqref="A1:H1"/>
    </sheetView>
  </sheetViews>
  <sheetFormatPr defaultRowHeight="18"/>
  <cols>
    <col min="1" max="1" width="29.69921875" customWidth="1"/>
    <col min="2" max="2" width="32.69921875" customWidth="1"/>
    <col min="3" max="3" width="48.69921875" customWidth="1"/>
    <col min="4" max="4" width="19.69921875" customWidth="1"/>
    <col min="5" max="5" width="29.69921875" customWidth="1"/>
    <col min="6" max="6" width="18.69921875" customWidth="1"/>
    <col min="7" max="7" width="14.69921875" customWidth="1"/>
    <col min="8" max="8" width="16.69921875" customWidth="1"/>
  </cols>
  <sheetData>
    <row r="1" spans="1:8" ht="26.4">
      <c r="A1" s="23" t="s">
        <v>9</v>
      </c>
      <c r="B1" s="24"/>
      <c r="C1" s="24"/>
      <c r="D1" s="24"/>
      <c r="E1" s="24"/>
      <c r="F1" s="24"/>
      <c r="G1" s="24"/>
      <c r="H1" s="24"/>
    </row>
    <row r="2" spans="1:8">
      <c r="A2" s="25" t="s">
        <v>10</v>
      </c>
      <c r="B2" s="24"/>
      <c r="C2" s="24"/>
      <c r="D2" s="24"/>
      <c r="E2" s="24"/>
      <c r="F2" s="24"/>
      <c r="G2" s="24"/>
      <c r="H2" s="24"/>
    </row>
    <row r="3" spans="1:8">
      <c r="A3" s="26"/>
      <c r="B3" s="26"/>
      <c r="C3" s="26"/>
      <c r="D3" s="26"/>
      <c r="E3" s="26"/>
      <c r="F3" s="26"/>
      <c r="G3" s="26"/>
      <c r="H3" s="26"/>
    </row>
    <row r="4" spans="1:8" ht="22.95" customHeight="1">
      <c r="A4" s="9" t="s">
        <v>18</v>
      </c>
      <c r="B4" s="9"/>
      <c r="C4" s="9"/>
      <c r="D4" s="9"/>
      <c r="E4" s="9"/>
      <c r="F4" s="10" t="s">
        <v>19</v>
      </c>
      <c r="G4" s="11"/>
      <c r="H4" s="11"/>
    </row>
    <row r="5" spans="1:8">
      <c r="A5" s="11" t="s">
        <v>11</v>
      </c>
      <c r="B5" s="11"/>
      <c r="C5" s="11"/>
      <c r="D5" s="57"/>
      <c r="E5" s="12"/>
      <c r="F5" s="11" t="s">
        <v>20</v>
      </c>
      <c r="G5" s="11"/>
      <c r="H5" s="13" t="b">
        <f>IFERROR(AND(inp_end&gt;=DATE(2023,4,1),inp_end&lt;DATE(2024,4,1)),"")</f>
        <v>1</v>
      </c>
    </row>
    <row r="6" spans="1:8">
      <c r="A6" s="11" t="s">
        <v>12</v>
      </c>
      <c r="B6" s="11"/>
      <c r="C6" s="11"/>
      <c r="D6" s="58">
        <v>45017</v>
      </c>
      <c r="E6" s="12"/>
      <c r="F6" s="11" t="s">
        <v>21</v>
      </c>
      <c r="G6" s="11"/>
      <c r="H6" s="14">
        <f>IFERROR(10.4%,"")</f>
        <v>0.10400000000000001</v>
      </c>
    </row>
    <row r="7" spans="1:8">
      <c r="A7" s="11" t="s">
        <v>13</v>
      </c>
      <c r="B7" s="11"/>
      <c r="C7" s="11"/>
      <c r="D7" s="58">
        <v>45382</v>
      </c>
      <c r="E7" s="12"/>
      <c r="F7" s="11" t="s">
        <v>22</v>
      </c>
      <c r="G7" s="11"/>
      <c r="H7" s="14">
        <f>IFERROR(40%,"")</f>
        <v>0.4</v>
      </c>
    </row>
    <row r="8" spans="1:8">
      <c r="A8" s="11" t="s">
        <v>14</v>
      </c>
      <c r="B8" s="11"/>
      <c r="C8" s="11"/>
      <c r="D8" s="18">
        <f>IFERROR(IF(OR(D6="",D7="",D7&lt;D6),"",MAX(1,MIN(12,1+--(D7&gt;IF(DAY(EDATE(D6,1))&lt;DAY(D6),EDATE(D6,1),EDATE(D6,1)-1))+--(D7&gt;IF(DAY(EDATE(D6,2))&lt;DAY(D6),EDATE(D6,2),EDATE(D6,2)-1))+--(D7&gt;IF(DAY(EDATE(D6,3))&lt;DAY(D6),EDATE(D6,3),EDATE(D6,3)-1))+--(D7&gt;IF(DAY(EDATE(D6,4))&lt;DAY(D6),EDATE(D6,4),EDATE(D6,4)-1))+--(D7&gt;IF(DAY(EDATE(D6,5))&lt;DAY(D6),EDATE(D6,5),EDATE(D6,5)-1))+--(D7&gt;IF(DAY(EDATE(D6,6))&lt;DAY(D6),EDATE(D6,6),EDATE(D6,6)-1))+--(D7&gt;IF(DAY(EDATE(D6,7))&lt;DAY(D6),EDATE(D6,7),EDATE(D6,7)-1))+--(D7&gt;IF(DAY(EDATE(D6,8))&lt;DAY(D6),EDATE(D6,8),EDATE(D6,8)-1))+--(D7&gt;IF(DAY(EDATE(D6,9))&lt;DAY(D6),EDATE(D6,9),EDATE(D6,9)-1))+--(D7&gt;IF(DAY(EDATE(D6,10))&lt;DAY(D6),EDATE(D6,10),EDATE(D6,10)-1))+--(D7&gt;IF(DAY(EDATE(D6,11))&lt;DAY(D6),EDATE(D6,11),EDATE(D6,11)-1))))),"")</f>
        <v>12</v>
      </c>
      <c r="E8" s="12"/>
      <c r="F8" s="15" t="s">
        <v>23</v>
      </c>
      <c r="G8" s="15"/>
      <c r="H8" s="15"/>
    </row>
    <row r="9" spans="1:8">
      <c r="A9" s="11" t="s">
        <v>15</v>
      </c>
      <c r="B9" s="11"/>
      <c r="C9" s="11"/>
      <c r="D9" s="57" t="s">
        <v>535</v>
      </c>
      <c r="E9" s="12"/>
      <c r="F9" s="15"/>
      <c r="G9" s="15"/>
      <c r="H9" s="15"/>
    </row>
    <row r="10" spans="1:8">
      <c r="A10" s="11" t="s">
        <v>16</v>
      </c>
      <c r="B10" s="11"/>
      <c r="C10" s="11"/>
      <c r="D10" s="57" t="s">
        <v>535</v>
      </c>
      <c r="E10" s="12"/>
      <c r="F10" s="15"/>
      <c r="G10" s="15"/>
      <c r="H10" s="15"/>
    </row>
    <row r="11" spans="1:8">
      <c r="A11" s="11" t="s">
        <v>17</v>
      </c>
      <c r="B11" s="11"/>
      <c r="C11" s="11"/>
      <c r="D11" s="57" t="s">
        <v>536</v>
      </c>
      <c r="E11" s="12"/>
      <c r="F11" s="36" t="s">
        <v>462</v>
      </c>
      <c r="G11" s="37"/>
      <c r="H11" s="38" t="b">
        <f>IFERROR(AND(inp_f2_21&gt;=f2_20,inp_f2_23&gt;=f2_22,f2_24&gt;=0,f2_24&lt;=1),"")</f>
        <v>1</v>
      </c>
    </row>
    <row r="12" spans="1:8">
      <c r="A12" s="26"/>
      <c r="B12" s="26"/>
      <c r="C12" s="26"/>
      <c r="D12" s="19"/>
      <c r="E12" s="26"/>
      <c r="F12" s="39" t="str">
        <f>IFERROR(IF(H11,"付表二の控除前合計額と割合は整合","要確認：付表二21・23欄の控除前合計額"),"")</f>
        <v>付表二の控除前合計額と割合は整合</v>
      </c>
      <c r="G12" s="40"/>
      <c r="H12" s="40"/>
    </row>
    <row r="13" spans="1:8" ht="22.95" customHeight="1">
      <c r="A13" s="9" t="s">
        <v>24</v>
      </c>
      <c r="B13" s="9"/>
      <c r="C13" s="9"/>
      <c r="D13" s="20"/>
      <c r="E13" s="9"/>
      <c r="F13" s="26"/>
      <c r="G13" s="26"/>
      <c r="H13" s="26"/>
    </row>
    <row r="14" spans="1:8">
      <c r="A14" s="16" t="s">
        <v>25</v>
      </c>
      <c r="B14" s="16" t="s">
        <v>26</v>
      </c>
      <c r="C14" s="16" t="s">
        <v>27</v>
      </c>
      <c r="D14" s="21" t="s">
        <v>28</v>
      </c>
      <c r="E14" s="16" t="s">
        <v>29</v>
      </c>
      <c r="F14" s="26"/>
      <c r="G14" s="26"/>
      <c r="H14" s="26"/>
    </row>
    <row r="15" spans="1:8" ht="31.95" customHeight="1">
      <c r="A15" s="12" t="s">
        <v>30</v>
      </c>
      <c r="B15" s="17" t="s">
        <v>31</v>
      </c>
      <c r="C15" s="17" t="s">
        <v>32</v>
      </c>
      <c r="D15" s="56">
        <v>0</v>
      </c>
      <c r="E15" s="17" t="s">
        <v>33</v>
      </c>
      <c r="F15" s="26"/>
      <c r="G15" s="26"/>
      <c r="H15" s="26"/>
    </row>
    <row r="16" spans="1:8" ht="31.95" customHeight="1">
      <c r="A16" s="12" t="s">
        <v>34</v>
      </c>
      <c r="B16" s="17" t="s">
        <v>35</v>
      </c>
      <c r="C16" s="17" t="s">
        <v>36</v>
      </c>
      <c r="D16" s="56">
        <v>0</v>
      </c>
      <c r="E16" s="17" t="s">
        <v>37</v>
      </c>
      <c r="F16" s="26"/>
      <c r="G16" s="26"/>
      <c r="H16" s="26"/>
    </row>
    <row r="17" spans="1:8" ht="31.95" customHeight="1">
      <c r="A17" s="12" t="s">
        <v>38</v>
      </c>
      <c r="B17" s="17" t="s">
        <v>39</v>
      </c>
      <c r="C17" s="17" t="s">
        <v>40</v>
      </c>
      <c r="D17" s="56">
        <v>0</v>
      </c>
      <c r="E17" s="17" t="s">
        <v>41</v>
      </c>
      <c r="F17" s="26"/>
      <c r="G17" s="26"/>
      <c r="H17" s="26"/>
    </row>
    <row r="18" spans="1:8" ht="31.95" customHeight="1">
      <c r="A18" s="12" t="s">
        <v>42</v>
      </c>
      <c r="B18" s="17" t="s">
        <v>43</v>
      </c>
      <c r="C18" s="17" t="s">
        <v>44</v>
      </c>
      <c r="D18" s="56">
        <v>0</v>
      </c>
      <c r="E18" s="17"/>
      <c r="F18" s="26"/>
      <c r="G18" s="26"/>
      <c r="H18" s="26"/>
    </row>
    <row r="19" spans="1:8" ht="31.95" customHeight="1">
      <c r="A19" s="12" t="s">
        <v>45</v>
      </c>
      <c r="B19" s="17" t="s">
        <v>46</v>
      </c>
      <c r="C19" s="17" t="s">
        <v>47</v>
      </c>
      <c r="D19" s="56">
        <v>0</v>
      </c>
      <c r="E19" s="17"/>
      <c r="F19" s="26"/>
      <c r="G19" s="26"/>
      <c r="H19" s="26"/>
    </row>
    <row r="20" spans="1:8" ht="31.95" customHeight="1">
      <c r="A20" s="12" t="s">
        <v>48</v>
      </c>
      <c r="B20" s="17" t="s">
        <v>49</v>
      </c>
      <c r="C20" s="17" t="s">
        <v>50</v>
      </c>
      <c r="D20" s="56">
        <v>0</v>
      </c>
      <c r="E20" s="17"/>
      <c r="F20" s="26"/>
      <c r="G20" s="26"/>
      <c r="H20" s="26"/>
    </row>
    <row r="21" spans="1:8" ht="31.95" customHeight="1">
      <c r="A21" s="12" t="s">
        <v>51</v>
      </c>
      <c r="B21" s="17" t="s">
        <v>52</v>
      </c>
      <c r="C21" s="17" t="s">
        <v>53</v>
      </c>
      <c r="D21" s="56">
        <v>0</v>
      </c>
      <c r="E21" s="17"/>
      <c r="F21" s="26"/>
      <c r="G21" s="26"/>
      <c r="H21" s="26"/>
    </row>
    <row r="22" spans="1:8" ht="31.95" customHeight="1">
      <c r="A22" s="12" t="s">
        <v>54</v>
      </c>
      <c r="B22" s="17" t="s">
        <v>55</v>
      </c>
      <c r="C22" s="17" t="s">
        <v>56</v>
      </c>
      <c r="D22" s="56">
        <v>0</v>
      </c>
      <c r="E22" s="17"/>
      <c r="F22" s="26"/>
      <c r="G22" s="26"/>
      <c r="H22" s="26"/>
    </row>
    <row r="23" spans="1:8" ht="31.95" customHeight="1">
      <c r="A23" s="12" t="s">
        <v>57</v>
      </c>
      <c r="B23" s="17" t="s">
        <v>58</v>
      </c>
      <c r="C23" s="17" t="s">
        <v>59</v>
      </c>
      <c r="D23" s="56">
        <v>0</v>
      </c>
      <c r="E23" s="17"/>
      <c r="F23" s="26"/>
      <c r="G23" s="26"/>
      <c r="H23" s="26"/>
    </row>
    <row r="24" spans="1:8" ht="31.95" customHeight="1">
      <c r="A24" s="12" t="s">
        <v>60</v>
      </c>
      <c r="B24" s="17" t="s">
        <v>61</v>
      </c>
      <c r="C24" s="17" t="s">
        <v>62</v>
      </c>
      <c r="D24" s="56">
        <v>0</v>
      </c>
      <c r="E24" s="17"/>
      <c r="F24" s="26"/>
      <c r="G24" s="26"/>
      <c r="H24" s="26"/>
    </row>
    <row r="25" spans="1:8" ht="31.95" customHeight="1">
      <c r="A25" s="12" t="s">
        <v>63</v>
      </c>
      <c r="B25" s="17" t="s">
        <v>64</v>
      </c>
      <c r="C25" s="17" t="s">
        <v>65</v>
      </c>
      <c r="D25" s="56">
        <v>0</v>
      </c>
      <c r="E25" s="17"/>
      <c r="F25" s="26"/>
      <c r="G25" s="26"/>
      <c r="H25" s="26"/>
    </row>
    <row r="26" spans="1:8" ht="31.95" customHeight="1">
      <c r="A26" s="12" t="s">
        <v>66</v>
      </c>
      <c r="B26" s="17" t="s">
        <v>67</v>
      </c>
      <c r="C26" s="17" t="s">
        <v>68</v>
      </c>
      <c r="D26" s="56">
        <v>0</v>
      </c>
      <c r="E26" s="17"/>
      <c r="F26" s="26"/>
      <c r="G26" s="26"/>
      <c r="H26" s="26"/>
    </row>
    <row r="27" spans="1:8" ht="31.95" customHeight="1">
      <c r="A27" s="12" t="s">
        <v>69</v>
      </c>
      <c r="B27" s="17" t="s">
        <v>70</v>
      </c>
      <c r="C27" s="17" t="s">
        <v>71</v>
      </c>
      <c r="D27" s="56">
        <v>0</v>
      </c>
      <c r="E27" s="17"/>
      <c r="F27" s="26"/>
      <c r="G27" s="26"/>
      <c r="H27" s="26"/>
    </row>
    <row r="28" spans="1:8" ht="31.95" customHeight="1">
      <c r="A28" s="12" t="s">
        <v>72</v>
      </c>
      <c r="B28" s="17" t="s">
        <v>73</v>
      </c>
      <c r="C28" s="17" t="s">
        <v>74</v>
      </c>
      <c r="D28" s="56">
        <v>0</v>
      </c>
      <c r="E28" s="17"/>
      <c r="F28" s="26"/>
      <c r="G28" s="26"/>
      <c r="H28" s="26"/>
    </row>
    <row r="29" spans="1:8" ht="31.95" customHeight="1">
      <c r="A29" s="12" t="s">
        <v>75</v>
      </c>
      <c r="B29" s="17" t="s">
        <v>76</v>
      </c>
      <c r="C29" s="17" t="s">
        <v>77</v>
      </c>
      <c r="D29" s="56">
        <v>0</v>
      </c>
      <c r="E29" s="17"/>
      <c r="F29" s="26"/>
      <c r="G29" s="26"/>
      <c r="H29" s="26"/>
    </row>
    <row r="30" spans="1:8" ht="31.95" customHeight="1">
      <c r="A30" s="12" t="s">
        <v>78</v>
      </c>
      <c r="B30" s="17" t="s">
        <v>79</v>
      </c>
      <c r="C30" s="17" t="s">
        <v>80</v>
      </c>
      <c r="D30" s="56">
        <v>0</v>
      </c>
      <c r="E30" s="17"/>
      <c r="F30" s="26"/>
      <c r="G30" s="26"/>
      <c r="H30" s="26"/>
    </row>
    <row r="31" spans="1:8" ht="31.95" customHeight="1">
      <c r="A31" s="12" t="s">
        <v>81</v>
      </c>
      <c r="B31" s="17" t="s">
        <v>82</v>
      </c>
      <c r="C31" s="17" t="s">
        <v>83</v>
      </c>
      <c r="D31" s="56">
        <v>0</v>
      </c>
      <c r="E31" s="17"/>
      <c r="F31" s="26"/>
      <c r="G31" s="26"/>
      <c r="H31" s="26"/>
    </row>
    <row r="32" spans="1:8" ht="31.95" customHeight="1">
      <c r="A32" s="12" t="s">
        <v>84</v>
      </c>
      <c r="B32" s="17" t="s">
        <v>85</v>
      </c>
      <c r="C32" s="17" t="s">
        <v>86</v>
      </c>
      <c r="D32" s="56">
        <v>0</v>
      </c>
      <c r="E32" s="17"/>
      <c r="F32" s="26"/>
      <c r="G32" s="26"/>
      <c r="H32" s="26"/>
    </row>
    <row r="33" spans="1:8" ht="31.95" customHeight="1">
      <c r="A33" s="12" t="s">
        <v>87</v>
      </c>
      <c r="B33" s="17" t="s">
        <v>88</v>
      </c>
      <c r="C33" s="17" t="s">
        <v>89</v>
      </c>
      <c r="D33" s="56">
        <v>0</v>
      </c>
      <c r="E33" s="17"/>
      <c r="F33" s="26"/>
      <c r="G33" s="26"/>
      <c r="H33" s="26"/>
    </row>
    <row r="34" spans="1:8" ht="31.95" customHeight="1">
      <c r="A34" s="12" t="s">
        <v>90</v>
      </c>
      <c r="B34" s="17" t="s">
        <v>91</v>
      </c>
      <c r="C34" s="17" t="s">
        <v>92</v>
      </c>
      <c r="D34" s="56">
        <v>0</v>
      </c>
      <c r="E34" s="17"/>
      <c r="F34" s="26"/>
      <c r="G34" s="26"/>
      <c r="H34" s="26"/>
    </row>
    <row r="35" spans="1:8" ht="31.95" customHeight="1">
      <c r="A35" s="12" t="s">
        <v>93</v>
      </c>
      <c r="B35" s="17" t="s">
        <v>94</v>
      </c>
      <c r="C35" s="17" t="s">
        <v>95</v>
      </c>
      <c r="D35" s="56">
        <v>0</v>
      </c>
      <c r="E35" s="17"/>
      <c r="F35" s="26"/>
      <c r="G35" s="26"/>
      <c r="H35" s="26"/>
    </row>
    <row r="36" spans="1:8" ht="31.95" customHeight="1">
      <c r="A36" s="12" t="s">
        <v>96</v>
      </c>
      <c r="B36" s="17" t="s">
        <v>97</v>
      </c>
      <c r="C36" s="17" t="s">
        <v>98</v>
      </c>
      <c r="D36" s="56">
        <v>0</v>
      </c>
      <c r="E36" s="17"/>
      <c r="F36" s="26"/>
      <c r="G36" s="26"/>
      <c r="H36" s="26"/>
    </row>
    <row r="37" spans="1:8" ht="31.95" customHeight="1">
      <c r="A37" s="12" t="s">
        <v>99</v>
      </c>
      <c r="B37" s="17" t="s">
        <v>100</v>
      </c>
      <c r="C37" s="17" t="s">
        <v>101</v>
      </c>
      <c r="D37" s="56">
        <v>0</v>
      </c>
      <c r="E37" s="17"/>
      <c r="F37" s="26"/>
      <c r="G37" s="26"/>
      <c r="H37" s="26"/>
    </row>
    <row r="38" spans="1:8" ht="31.95" customHeight="1">
      <c r="A38" s="12" t="s">
        <v>102</v>
      </c>
      <c r="B38" s="17" t="s">
        <v>103</v>
      </c>
      <c r="C38" s="17" t="s">
        <v>104</v>
      </c>
      <c r="D38" s="56">
        <v>0</v>
      </c>
      <c r="E38" s="17" t="s">
        <v>105</v>
      </c>
      <c r="F38" s="26"/>
      <c r="G38" s="26"/>
      <c r="H38" s="26"/>
    </row>
    <row r="39" spans="1:8" ht="31.95" customHeight="1">
      <c r="A39" s="12" t="s">
        <v>106</v>
      </c>
      <c r="B39" s="17" t="s">
        <v>107</v>
      </c>
      <c r="C39" s="17" t="s">
        <v>108</v>
      </c>
      <c r="D39" s="56">
        <v>0</v>
      </c>
      <c r="E39" s="17"/>
      <c r="F39" s="26"/>
      <c r="G39" s="26"/>
      <c r="H39" s="26"/>
    </row>
    <row r="40" spans="1:8">
      <c r="A40" s="12"/>
      <c r="B40" s="12"/>
      <c r="C40" s="12"/>
      <c r="D40" s="22"/>
      <c r="E40" s="12"/>
      <c r="F40" s="26"/>
      <c r="G40" s="26"/>
      <c r="H40" s="26"/>
    </row>
    <row r="41" spans="1:8" ht="22.95" customHeight="1">
      <c r="A41" s="9" t="s">
        <v>109</v>
      </c>
      <c r="B41" s="9"/>
      <c r="C41" s="9"/>
      <c r="D41" s="20"/>
      <c r="E41" s="9"/>
      <c r="F41" s="26"/>
      <c r="G41" s="26"/>
      <c r="H41" s="26"/>
    </row>
    <row r="42" spans="1:8">
      <c r="A42" s="16" t="s">
        <v>25</v>
      </c>
      <c r="B42" s="16" t="s">
        <v>26</v>
      </c>
      <c r="C42" s="16" t="s">
        <v>27</v>
      </c>
      <c r="D42" s="21" t="s">
        <v>28</v>
      </c>
      <c r="E42" s="16" t="s">
        <v>29</v>
      </c>
      <c r="F42" s="26"/>
      <c r="G42" s="26"/>
      <c r="H42" s="26"/>
    </row>
    <row r="43" spans="1:8" ht="31.95" customHeight="1">
      <c r="A43" s="12" t="s">
        <v>110</v>
      </c>
      <c r="B43" s="17" t="s">
        <v>111</v>
      </c>
      <c r="C43" s="17" t="s">
        <v>112</v>
      </c>
      <c r="D43" s="56">
        <v>0</v>
      </c>
      <c r="E43" s="17"/>
      <c r="F43" s="26"/>
      <c r="G43" s="26"/>
      <c r="H43" s="26"/>
    </row>
    <row r="44" spans="1:8" ht="31.95" customHeight="1">
      <c r="A44" s="12" t="s">
        <v>113</v>
      </c>
      <c r="B44" s="17" t="s">
        <v>114</v>
      </c>
      <c r="C44" s="17" t="s">
        <v>115</v>
      </c>
      <c r="D44" s="56">
        <v>0</v>
      </c>
      <c r="E44" s="17" t="s">
        <v>116</v>
      </c>
      <c r="F44" s="26"/>
      <c r="G44" s="26"/>
      <c r="H44" s="26"/>
    </row>
    <row r="45" spans="1:8" ht="31.95" customHeight="1">
      <c r="A45" s="12" t="s">
        <v>117</v>
      </c>
      <c r="B45" s="17" t="s">
        <v>118</v>
      </c>
      <c r="C45" s="17" t="s">
        <v>119</v>
      </c>
      <c r="D45" s="56">
        <v>0</v>
      </c>
      <c r="E45" s="17"/>
      <c r="F45" s="26"/>
      <c r="G45" s="26"/>
      <c r="H45" s="26"/>
    </row>
    <row r="46" spans="1:8" ht="31.95" customHeight="1">
      <c r="A46" s="12" t="s">
        <v>120</v>
      </c>
      <c r="B46" s="17" t="s">
        <v>121</v>
      </c>
      <c r="C46" s="17" t="s">
        <v>122</v>
      </c>
      <c r="D46" s="56">
        <v>0</v>
      </c>
      <c r="E46" s="17"/>
      <c r="F46" s="26"/>
      <c r="G46" s="26"/>
      <c r="H46" s="26"/>
    </row>
    <row r="47" spans="1:8" ht="31.95" customHeight="1">
      <c r="A47" s="12" t="s">
        <v>123</v>
      </c>
      <c r="B47" s="17" t="s">
        <v>124</v>
      </c>
      <c r="C47" s="17" t="s">
        <v>125</v>
      </c>
      <c r="D47" s="56">
        <v>0</v>
      </c>
      <c r="E47" s="17" t="s">
        <v>126</v>
      </c>
      <c r="F47" s="26"/>
      <c r="G47" s="26"/>
      <c r="H47" s="26"/>
    </row>
    <row r="48" spans="1:8" ht="31.95" customHeight="1">
      <c r="A48" s="12" t="s">
        <v>127</v>
      </c>
      <c r="B48" s="17" t="s">
        <v>128</v>
      </c>
      <c r="C48" s="17" t="s">
        <v>129</v>
      </c>
      <c r="D48" s="56">
        <v>0</v>
      </c>
      <c r="E48" s="17" t="s">
        <v>130</v>
      </c>
      <c r="F48" s="26"/>
      <c r="G48" s="26"/>
      <c r="H48" s="26"/>
    </row>
    <row r="49" spans="1:8" ht="31.95" customHeight="1">
      <c r="A49" s="12" t="s">
        <v>131</v>
      </c>
      <c r="B49" s="17" t="s">
        <v>132</v>
      </c>
      <c r="C49" s="17" t="s">
        <v>133</v>
      </c>
      <c r="D49" s="56">
        <v>0</v>
      </c>
      <c r="E49" s="17"/>
      <c r="F49" s="26"/>
      <c r="G49" s="26"/>
      <c r="H49" s="26"/>
    </row>
    <row r="50" spans="1:8" ht="31.95" customHeight="1">
      <c r="A50" s="12" t="s">
        <v>134</v>
      </c>
      <c r="B50" s="17" t="s">
        <v>135</v>
      </c>
      <c r="C50" s="17" t="s">
        <v>136</v>
      </c>
      <c r="D50" s="56">
        <v>0</v>
      </c>
      <c r="E50" s="17"/>
      <c r="F50" s="26"/>
      <c r="G50" s="26"/>
      <c r="H50" s="26"/>
    </row>
    <row r="51" spans="1:8" ht="31.95" customHeight="1">
      <c r="A51" s="12" t="s">
        <v>137</v>
      </c>
      <c r="B51" s="17" t="s">
        <v>138</v>
      </c>
      <c r="C51" s="17" t="s">
        <v>139</v>
      </c>
      <c r="D51" s="56">
        <v>0</v>
      </c>
      <c r="E51" s="17"/>
      <c r="F51" s="26"/>
      <c r="G51" s="26"/>
      <c r="H51" s="26"/>
    </row>
    <row r="52" spans="1:8" ht="31.95" customHeight="1">
      <c r="A52" s="12" t="s">
        <v>140</v>
      </c>
      <c r="B52" s="17" t="s">
        <v>141</v>
      </c>
      <c r="C52" s="17" t="s">
        <v>142</v>
      </c>
      <c r="D52" s="56">
        <v>0</v>
      </c>
      <c r="E52" s="17"/>
      <c r="F52" s="26"/>
      <c r="G52" s="26"/>
      <c r="H52" s="26"/>
    </row>
    <row r="53" spans="1:8" ht="31.95" customHeight="1">
      <c r="A53" s="12" t="s">
        <v>143</v>
      </c>
      <c r="B53" s="17" t="s">
        <v>144</v>
      </c>
      <c r="C53" s="17" t="s">
        <v>145</v>
      </c>
      <c r="D53" s="56">
        <v>0</v>
      </c>
      <c r="E53" s="17"/>
      <c r="F53" s="26"/>
      <c r="G53" s="26"/>
      <c r="H53" s="26"/>
    </row>
    <row r="54" spans="1:8" ht="31.95" customHeight="1">
      <c r="A54" s="12" t="s">
        <v>146</v>
      </c>
      <c r="B54" s="17" t="s">
        <v>147</v>
      </c>
      <c r="C54" s="17" t="s">
        <v>148</v>
      </c>
      <c r="D54" s="56">
        <v>0</v>
      </c>
      <c r="E54" s="17"/>
      <c r="F54" s="26"/>
      <c r="G54" s="26"/>
      <c r="H54" s="26"/>
    </row>
    <row r="55" spans="1:8" ht="31.95" customHeight="1">
      <c r="A55" s="12" t="s">
        <v>149</v>
      </c>
      <c r="B55" s="17" t="s">
        <v>150</v>
      </c>
      <c r="C55" s="17" t="s">
        <v>151</v>
      </c>
      <c r="D55" s="56">
        <v>0</v>
      </c>
      <c r="E55" s="17"/>
      <c r="F55" s="26"/>
      <c r="G55" s="26"/>
      <c r="H55" s="26"/>
    </row>
    <row r="56" spans="1:8" ht="31.95" customHeight="1">
      <c r="A56" s="12" t="s">
        <v>152</v>
      </c>
      <c r="B56" s="17" t="s">
        <v>153</v>
      </c>
      <c r="C56" s="17" t="s">
        <v>154</v>
      </c>
      <c r="D56" s="56">
        <v>0</v>
      </c>
      <c r="E56" s="17"/>
      <c r="F56" s="26"/>
      <c r="G56" s="26"/>
      <c r="H56" s="26"/>
    </row>
    <row r="57" spans="1:8" ht="31.95" customHeight="1">
      <c r="A57" s="12" t="s">
        <v>155</v>
      </c>
      <c r="B57" s="17" t="s">
        <v>156</v>
      </c>
      <c r="C57" s="17" t="s">
        <v>157</v>
      </c>
      <c r="D57" s="56">
        <v>0</v>
      </c>
      <c r="E57" s="17"/>
      <c r="F57" s="26"/>
      <c r="G57" s="26"/>
      <c r="H57" s="26"/>
    </row>
    <row r="58" spans="1:8" ht="31.95" customHeight="1">
      <c r="A58" s="12" t="s">
        <v>158</v>
      </c>
      <c r="B58" s="17" t="s">
        <v>159</v>
      </c>
      <c r="C58" s="17" t="s">
        <v>160</v>
      </c>
      <c r="D58" s="56">
        <v>0</v>
      </c>
      <c r="E58" s="17"/>
      <c r="F58" s="26"/>
      <c r="G58" s="26"/>
      <c r="H58" s="26"/>
    </row>
    <row r="59" spans="1:8" ht="31.95" customHeight="1">
      <c r="A59" s="12" t="s">
        <v>161</v>
      </c>
      <c r="B59" s="17" t="s">
        <v>162</v>
      </c>
      <c r="C59" s="17" t="s">
        <v>163</v>
      </c>
      <c r="D59" s="56">
        <v>0</v>
      </c>
      <c r="E59" s="17"/>
      <c r="F59" s="26"/>
      <c r="G59" s="26"/>
      <c r="H59" s="26"/>
    </row>
    <row r="60" spans="1:8" ht="31.95" customHeight="1">
      <c r="A60" s="12" t="s">
        <v>164</v>
      </c>
      <c r="B60" s="17" t="s">
        <v>165</v>
      </c>
      <c r="C60" s="17" t="s">
        <v>166</v>
      </c>
      <c r="D60" s="56">
        <v>0</v>
      </c>
      <c r="E60" s="17"/>
      <c r="F60" s="26"/>
      <c r="G60" s="26"/>
      <c r="H60" s="26"/>
    </row>
    <row r="61" spans="1:8" ht="31.95" customHeight="1">
      <c r="A61" s="12" t="s">
        <v>167</v>
      </c>
      <c r="B61" s="17" t="s">
        <v>168</v>
      </c>
      <c r="C61" s="17" t="s">
        <v>169</v>
      </c>
      <c r="D61" s="56">
        <v>0</v>
      </c>
      <c r="E61" s="17"/>
      <c r="F61" s="26"/>
      <c r="G61" s="26"/>
      <c r="H61" s="26"/>
    </row>
    <row r="62" spans="1:8" ht="31.95" customHeight="1">
      <c r="A62" s="12" t="s">
        <v>170</v>
      </c>
      <c r="B62" s="17" t="s">
        <v>171</v>
      </c>
      <c r="C62" s="17" t="s">
        <v>172</v>
      </c>
      <c r="D62" s="56">
        <v>0</v>
      </c>
      <c r="E62" s="17"/>
      <c r="F62" s="26"/>
      <c r="G62" s="26"/>
      <c r="H62" s="26"/>
    </row>
    <row r="63" spans="1:8" ht="31.95" customHeight="1">
      <c r="A63" s="12" t="s">
        <v>173</v>
      </c>
      <c r="B63" s="17" t="s">
        <v>174</v>
      </c>
      <c r="C63" s="17" t="s">
        <v>175</v>
      </c>
      <c r="D63" s="56">
        <v>0</v>
      </c>
      <c r="E63" s="17"/>
      <c r="F63" s="26"/>
      <c r="G63" s="26"/>
      <c r="H63" s="26"/>
    </row>
    <row r="64" spans="1:8" ht="31.95" customHeight="1">
      <c r="A64" s="12" t="s">
        <v>176</v>
      </c>
      <c r="B64" s="17" t="s">
        <v>177</v>
      </c>
      <c r="C64" s="17" t="s">
        <v>178</v>
      </c>
      <c r="D64" s="56">
        <v>0</v>
      </c>
      <c r="E64" s="17"/>
      <c r="F64" s="26"/>
      <c r="G64" s="26"/>
      <c r="H64" s="26"/>
    </row>
    <row r="65" spans="1:8" ht="31.95" customHeight="1">
      <c r="A65" s="12" t="s">
        <v>179</v>
      </c>
      <c r="B65" s="17" t="s">
        <v>180</v>
      </c>
      <c r="C65" s="17" t="s">
        <v>181</v>
      </c>
      <c r="D65" s="56">
        <v>0</v>
      </c>
      <c r="E65" s="17"/>
      <c r="F65" s="26"/>
      <c r="G65" s="26"/>
      <c r="H65" s="26"/>
    </row>
    <row r="66" spans="1:8" ht="31.95" customHeight="1">
      <c r="A66" s="12" t="s">
        <v>182</v>
      </c>
      <c r="B66" s="17" t="s">
        <v>183</v>
      </c>
      <c r="C66" s="17" t="s">
        <v>184</v>
      </c>
      <c r="D66" s="56">
        <v>0</v>
      </c>
      <c r="E66" s="17"/>
      <c r="F66" s="26"/>
      <c r="G66" s="26"/>
      <c r="H66" s="26"/>
    </row>
    <row r="67" spans="1:8">
      <c r="A67" s="12"/>
      <c r="B67" s="12"/>
      <c r="C67" s="12"/>
      <c r="D67" s="22"/>
      <c r="E67" s="12"/>
      <c r="F67" s="26"/>
      <c r="G67" s="26"/>
      <c r="H67" s="26"/>
    </row>
    <row r="68" spans="1:8" ht="22.95" customHeight="1">
      <c r="A68" s="9" t="s">
        <v>185</v>
      </c>
      <c r="B68" s="9"/>
      <c r="C68" s="9"/>
      <c r="D68" s="20"/>
      <c r="E68" s="9"/>
      <c r="F68" s="26"/>
      <c r="G68" s="26"/>
      <c r="H68" s="26"/>
    </row>
    <row r="69" spans="1:8">
      <c r="A69" s="16" t="s">
        <v>25</v>
      </c>
      <c r="B69" s="16" t="s">
        <v>26</v>
      </c>
      <c r="C69" s="16" t="s">
        <v>27</v>
      </c>
      <c r="D69" s="21" t="s">
        <v>28</v>
      </c>
      <c r="E69" s="16" t="s">
        <v>29</v>
      </c>
      <c r="F69" s="26"/>
      <c r="G69" s="26"/>
      <c r="H69" s="26"/>
    </row>
    <row r="70" spans="1:8" ht="31.95" customHeight="1">
      <c r="A70" s="12" t="s">
        <v>186</v>
      </c>
      <c r="B70" s="17" t="s">
        <v>187</v>
      </c>
      <c r="C70" s="17" t="s">
        <v>188</v>
      </c>
      <c r="D70" s="56">
        <v>0</v>
      </c>
      <c r="E70" s="17"/>
      <c r="F70" s="26"/>
      <c r="G70" s="26"/>
      <c r="H70" s="26"/>
    </row>
    <row r="71" spans="1:8" ht="31.95" customHeight="1">
      <c r="A71" s="12" t="s">
        <v>189</v>
      </c>
      <c r="B71" s="17" t="s">
        <v>190</v>
      </c>
      <c r="C71" s="17" t="s">
        <v>191</v>
      </c>
      <c r="D71" s="56">
        <v>0</v>
      </c>
      <c r="E71" s="17"/>
      <c r="F71" s="26"/>
      <c r="G71" s="26"/>
      <c r="H71" s="26"/>
    </row>
    <row r="72" spans="1:8" ht="31.95" customHeight="1">
      <c r="A72" s="12" t="s">
        <v>192</v>
      </c>
      <c r="B72" s="17" t="s">
        <v>193</v>
      </c>
      <c r="C72" s="17" t="s">
        <v>194</v>
      </c>
      <c r="D72" s="56">
        <v>0</v>
      </c>
      <c r="E72" s="17"/>
      <c r="F72" s="26"/>
      <c r="G72" s="26"/>
      <c r="H72" s="26"/>
    </row>
    <row r="73" spans="1:8" ht="31.95" customHeight="1">
      <c r="A73" s="12" t="s">
        <v>195</v>
      </c>
      <c r="B73" s="17" t="s">
        <v>193</v>
      </c>
      <c r="C73" s="17" t="s">
        <v>196</v>
      </c>
      <c r="D73" s="56">
        <v>0</v>
      </c>
      <c r="E73" s="17"/>
      <c r="F73" s="26"/>
      <c r="G73" s="26"/>
      <c r="H73" s="26"/>
    </row>
    <row r="74" spans="1:8" ht="31.95" customHeight="1">
      <c r="A74" s="12" t="s">
        <v>197</v>
      </c>
      <c r="B74" s="17" t="s">
        <v>198</v>
      </c>
      <c r="C74" s="17" t="s">
        <v>199</v>
      </c>
      <c r="D74" s="56">
        <v>0</v>
      </c>
      <c r="E74" s="17"/>
      <c r="F74" s="26"/>
      <c r="G74" s="26"/>
      <c r="H74" s="26"/>
    </row>
    <row r="75" spans="1:8" ht="31.95" customHeight="1">
      <c r="A75" s="12" t="s">
        <v>200</v>
      </c>
      <c r="B75" s="17" t="s">
        <v>201</v>
      </c>
      <c r="C75" s="17" t="s">
        <v>202</v>
      </c>
      <c r="D75" s="56">
        <v>0</v>
      </c>
      <c r="E75" s="17"/>
      <c r="F75" s="26"/>
      <c r="G75" s="26"/>
      <c r="H75" s="26"/>
    </row>
    <row r="76" spans="1:8" ht="31.95" customHeight="1">
      <c r="A76" s="12" t="s">
        <v>203</v>
      </c>
      <c r="B76" s="17" t="s">
        <v>204</v>
      </c>
      <c r="C76" s="17" t="s">
        <v>205</v>
      </c>
      <c r="D76" s="56">
        <v>0</v>
      </c>
      <c r="E76" s="17"/>
      <c r="F76" s="26"/>
      <c r="G76" s="26"/>
      <c r="H76" s="26"/>
    </row>
    <row r="77" spans="1:8" ht="31.95" customHeight="1">
      <c r="A77" s="12" t="s">
        <v>206</v>
      </c>
      <c r="B77" s="17" t="s">
        <v>207</v>
      </c>
      <c r="C77" s="17" t="s">
        <v>208</v>
      </c>
      <c r="D77" s="56">
        <v>0</v>
      </c>
      <c r="E77" s="17"/>
      <c r="F77" s="26"/>
      <c r="G77" s="26"/>
      <c r="H77" s="26"/>
    </row>
    <row r="78" spans="1:8" ht="31.95" customHeight="1">
      <c r="A78" s="12" t="s">
        <v>209</v>
      </c>
      <c r="B78" s="17" t="s">
        <v>210</v>
      </c>
      <c r="C78" s="17" t="s">
        <v>211</v>
      </c>
      <c r="D78" s="56">
        <v>0</v>
      </c>
      <c r="E78" s="17"/>
      <c r="F78" s="26"/>
      <c r="G78" s="26"/>
      <c r="H78" s="26"/>
    </row>
    <row r="79" spans="1:8" ht="31.95" customHeight="1">
      <c r="A79" s="12" t="s">
        <v>212</v>
      </c>
      <c r="B79" s="17" t="s">
        <v>213</v>
      </c>
      <c r="C79" s="17" t="s">
        <v>214</v>
      </c>
      <c r="D79" s="56">
        <v>0</v>
      </c>
      <c r="E79" s="17"/>
      <c r="F79" s="26"/>
      <c r="G79" s="26"/>
      <c r="H79" s="26"/>
    </row>
    <row r="80" spans="1:8" ht="31.95" customHeight="1">
      <c r="A80" s="12" t="s">
        <v>215</v>
      </c>
      <c r="B80" s="17" t="s">
        <v>216</v>
      </c>
      <c r="C80" s="17" t="s">
        <v>217</v>
      </c>
      <c r="D80" s="56">
        <v>0</v>
      </c>
      <c r="E80" s="17" t="s">
        <v>218</v>
      </c>
      <c r="F80" s="26"/>
      <c r="G80" s="26"/>
      <c r="H80" s="26"/>
    </row>
    <row r="81" spans="1:8" ht="31.95" customHeight="1">
      <c r="A81" s="12" t="s">
        <v>219</v>
      </c>
      <c r="B81" s="17" t="s">
        <v>220</v>
      </c>
      <c r="C81" s="17" t="s">
        <v>221</v>
      </c>
      <c r="D81" s="56">
        <v>0</v>
      </c>
      <c r="E81" s="17" t="s">
        <v>222</v>
      </c>
      <c r="F81" s="26"/>
      <c r="G81" s="26"/>
      <c r="H81" s="26"/>
    </row>
  </sheetData>
  <sheetProtection sheet="1" objects="1" scenarios="1"/>
  <mergeCells count="20">
    <mergeCell ref="A13:E13"/>
    <mergeCell ref="A41:E41"/>
    <mergeCell ref="A68:E68"/>
    <mergeCell ref="F11:G11"/>
    <mergeCell ref="F12:H12"/>
    <mergeCell ref="A8:C8"/>
    <mergeCell ref="A9:C9"/>
    <mergeCell ref="A10:C10"/>
    <mergeCell ref="A11:C11"/>
    <mergeCell ref="F4:H4"/>
    <mergeCell ref="F5:G5"/>
    <mergeCell ref="F6:G6"/>
    <mergeCell ref="F7:G7"/>
    <mergeCell ref="F8:H10"/>
    <mergeCell ref="A1:H1"/>
    <mergeCell ref="A2:H2"/>
    <mergeCell ref="A4:E4"/>
    <mergeCell ref="A5:C5"/>
    <mergeCell ref="A6:C6"/>
    <mergeCell ref="A7:C7"/>
  </mergeCells>
  <phoneticPr fontId="3"/>
  <dataValidations count="66">
    <dataValidation type="custom" showInputMessage="1" showErrorMessage="1" errorTitle="開始日の入力エラー" error="1900/1/1～2100/12/31の有効な日付を入力してください。" sqref="D6" xr:uid="{8BBAB976-4256-49DC-A707-58F6B5CD7FAE}">
      <formula1>AND(ISNUMBER(D6),D6&gt;=DATE(1900,1,1),D6&lt;=DATE(2100,12,31))</formula1>
    </dataValidation>
    <dataValidation type="custom" showInputMessage="1" showErrorMessage="1" errorTitle="終了日の入力エラー" error="1900/1/1～2100/12/31の範囲で、開始日以後かつ暦による12か月以内の日付を入力してください。" sqref="D7" xr:uid="{40412F94-C027-43DF-94FA-0A2F4383C926}">
      <formula1>AND(ISNUMBER(D7),ISNUMBER(D6),D7&gt;=DATE(1900,1,1),D7&lt;=DATE(2100,12,31),D7&gt;=D6,D7&lt;=IF(DAY(EDATE(D6,12))&lt;DAY(D6),EDATE(D6,12),EDATE(D6,12)-1))</formula1>
    </dataValidation>
    <dataValidation type="list" showInputMessage="1" showErrorMessage="1" sqref="D9" xr:uid="{A63C0C81-FAEF-4695-9C15-4BE8ACCBB065}">
      <formula1>"未選択,該当,非該当"</formula1>
    </dataValidation>
    <dataValidation type="list" showInputMessage="1" showErrorMessage="1" sqref="D10" xr:uid="{33F505D1-A769-4D55-BDED-BDF821E2F79F}">
      <formula1>"未選択,はい,いいえ"</formula1>
    </dataValidation>
    <dataValidation type="list" showInputMessage="1" showErrorMessage="1" sqref="D11" xr:uid="{BA2B1753-D52B-432A-A327-C3F731053A13}">
      <formula1>"未確認,はい,いいえ"</formula1>
    </dataValidation>
    <dataValidation type="custom" showInputMessage="1" showErrorMessage="1" errorTitle="入力エラー" error="絶対値1,000兆円未満の円単位整数を入力してください（負数可）。" sqref="D15" xr:uid="{6DDE1529-1E6F-4984-8A9C-278C1412E00A}">
      <formula1>AND(ISNUMBER(D15),D15=INT(D15),ABS(D15)&lt;=999999999999999)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6" xr:uid="{E766811D-EFAE-4AFD-9AD8-BAA73857D4EF}">
      <formula1>AND(ISNUMBER(D16),D16=INT(D16),D16&gt;=0,D16&lt;=999999999999999)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7" xr:uid="{77937375-D2A0-4C17-A8CD-641158433AA1}">
      <formula1>AND(ISNUMBER(D17),D17=INT(D17),D17&gt;=0,D17&lt;=999999999999999)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8" xr:uid="{AF251CD8-1212-4CBC-B680-F4E4A6871E88}">
      <formula1>AND(ISNUMBER(D18),D18=INT(D18),D18&gt;=0,D18&lt;=999999999999999)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9" xr:uid="{5325AAAE-1F8C-444E-BBCC-31404A417DCE}">
      <formula1>AND(ISNUMBER(D19),D19=INT(D19),D19&gt;=0,D19&lt;=999999999999999)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0" xr:uid="{13A97AB7-88CE-4997-B7BD-299D5047F718}">
      <formula1>AND(ISNUMBER(D20),D20=INT(D20),D20&gt;=0,D20&lt;=999999999999999)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1" xr:uid="{FCCFCFF4-0439-40E3-AFF4-67C6E86A78B1}">
      <formula1>AND(ISNUMBER(D21),D21=INT(D21),D21&gt;=0,D21&lt;=999999999999999)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2" xr:uid="{BB4785C4-DECC-4451-9AFD-08DAF89DD33D}">
      <formula1>AND(ISNUMBER(D22),D22=INT(D22),D22&gt;=0,D22&lt;=999999999999999)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3" xr:uid="{EA91513F-2BA6-4BB1-B12A-DD0042798A4D}">
      <formula1>AND(ISNUMBER(D23),D23=INT(D23),D23&gt;=0,D23&lt;=999999999999999)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4" xr:uid="{B93CA643-E519-4464-91A3-2E3FD99C3865}">
      <formula1>AND(ISNUMBER(D24),D24=INT(D24),D24&gt;=0,D24&lt;=999999999999999)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5" xr:uid="{C8D3956F-5888-4D30-997F-4FBD61A7C35F}">
      <formula1>AND(ISNUMBER(D25),D25=INT(D25),D25&gt;=0,D25&lt;=999999999999999)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6" xr:uid="{68F4F21F-128E-4043-8E8F-79E9744F0F2F}">
      <formula1>AND(ISNUMBER(D26),D26=INT(D26),D26&gt;=0,D26&lt;=999999999999999)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7" xr:uid="{96DBED52-2C23-4F8A-BC74-4A15D41F5EDF}">
      <formula1>AND(ISNUMBER(D27),D27=INT(D27),D27&gt;=0,D27&lt;=999999999999999)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8" xr:uid="{119F5DD7-6159-470B-A517-67FFA07014DD}">
      <formula1>AND(ISNUMBER(D28),D28=INT(D28),D28&gt;=0,D28&lt;=999999999999999)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9" xr:uid="{3F579222-7AA6-4B58-AC2A-1F5DBFE99E9C}">
      <formula1>AND(ISNUMBER(D29),D29=INT(D29),D29&gt;=0,D29&lt;=999999999999999)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0" xr:uid="{19908077-0521-44BE-8004-2E9B93632968}">
      <formula1>AND(ISNUMBER(D30),D30=INT(D30),D30&gt;=0,D30&lt;=999999999999999)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1" xr:uid="{1ECE1216-CA97-47FD-9A84-9D90200EC01D}">
      <formula1>AND(ISNUMBER(D31),D31=INT(D31),D31&gt;=0,D31&lt;=999999999999999)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2" xr:uid="{DF9079AA-7F7F-4AA3-977A-B3F5C73417BF}">
      <formula1>AND(ISNUMBER(D32),D32=INT(D32),D32&gt;=0,D32&lt;=999999999999999)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3" xr:uid="{BF6DC9DC-6891-435E-A482-0132B3C4DA87}">
      <formula1>AND(ISNUMBER(D33),D33=INT(D33),D33&gt;=0,D33&lt;=999999999999999)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4" xr:uid="{A4C4C9BF-3757-481B-A183-FEF2C1A4DFE5}">
      <formula1>AND(ISNUMBER(D34),D34=INT(D34),D34&gt;=0,D34&lt;=999999999999999)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5" xr:uid="{3C8715FD-5703-48EE-A8EE-391741A4B47E}">
      <formula1>AND(ISNUMBER(D35),D35=INT(D35),D35&gt;=0,D35&lt;=999999999999999)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6" xr:uid="{51B4F609-C18F-4475-8AC9-99C7A707A543}">
      <formula1>AND(ISNUMBER(D36),D36=INT(D36),D36&gt;=0,D36&lt;=999999999999999)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7" xr:uid="{06D67401-ADC8-47F6-919C-110616A91819}">
      <formula1>AND(ISNUMBER(D37),D37=INT(D37),D37&gt;=0,D37&lt;=999999999999999)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8" xr:uid="{89E18C73-39F3-4B39-A171-10210F7C9FBF}">
      <formula1>AND(ISNUMBER(D38),D38=INT(D38),D38&gt;=0,D38&lt;=999999999999999)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9" xr:uid="{82F0C7CD-A89A-49D3-BD18-17C1436B235D}">
      <formula1>AND(ISNUMBER(D39),D39=INT(D39),D39&gt;=0,D39&lt;=999999999999999)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3" xr:uid="{1888AEBC-7DE2-4CB5-AFE8-007AB5C921DD}">
      <formula1>AND(ISNUMBER(D43),D43=INT(D43),D43&gt;=0,D43&lt;=999999999999999)</formula1>
    </dataValidation>
    <dataValidation type="custom" showInputMessage="1" showErrorMessage="1" errorTitle="入力エラー" error="絶対値1,000兆円未満の円単位整数を入力してください（負数可）。" sqref="D44" xr:uid="{4D77CEC6-5BA9-4C87-AAE8-E335D149DD7B}">
      <formula1>AND(ISNUMBER(D44),D44=INT(D44),ABS(D44)&lt;=999999999999999)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5" xr:uid="{7E322B04-AB56-4E1E-84A5-344DF2165BEB}">
      <formula1>AND(ISNUMBER(D45),D45=INT(D45),D45&gt;=0,D45&lt;=999999999999999)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6" xr:uid="{1015BA10-6E33-4E2C-A758-F10001F020B0}">
      <formula1>AND(ISNUMBER(D46),D46=INT(D46),D46&gt;=0,D46&lt;=999999999999999)</formula1>
    </dataValidation>
    <dataValidation type="custom" showInputMessage="1" showErrorMessage="1" errorTitle="入力エラー" error="絶対値1,000兆円未満の円単位整数を入力してください（負数可）。" sqref="D47" xr:uid="{4A802E77-41C5-44BA-B025-D8A64BAB2AA5}">
      <formula1>AND(ISNUMBER(D47),D47=INT(D47),ABS(D47)&lt;=999999999999999)</formula1>
    </dataValidation>
    <dataValidation type="custom" showInputMessage="1" showErrorMessage="1" errorTitle="入力エラー" error="絶対値1,000兆円未満の円単位整数を入力してください（負数可）。" sqref="D48" xr:uid="{28769C3E-2E69-4224-95C7-EB8A0948BFFA}">
      <formula1>AND(ISNUMBER(D48),D48=INT(D48),ABS(D48)&lt;=999999999999999)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9" xr:uid="{ADD5E010-29B2-416D-A474-ED6AE984EF8A}">
      <formula1>AND(ISNUMBER(D49),D49=INT(D49),D49&gt;=0,D49&lt;=999999999999999)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0" xr:uid="{A5A3B512-F08D-4D6C-A539-86B1AD2BE1CF}">
      <formula1>AND(ISNUMBER(D50),D50=INT(D50),D50&gt;=0,D50&lt;=999999999999999)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1" xr:uid="{4A24C3DA-AE53-4F39-BC27-C927AA9C553A}">
      <formula1>AND(ISNUMBER(D51),D51=INT(D51),D51&gt;=0,D51&lt;=999999999999999)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2" xr:uid="{724E14B2-D2E3-4F17-A7C4-998D9CF2148A}">
      <formula1>AND(ISNUMBER(D52),D52=INT(D52),D52&gt;=0,D52&lt;=999999999999999)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3" xr:uid="{103CC7B5-3427-4013-A2B3-4BFCEE116EF2}">
      <formula1>AND(ISNUMBER(D53),D53=INT(D53),D53&gt;=0,D53&lt;=999999999999999)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4" xr:uid="{F6751BD0-AC44-4918-A9AA-C181A58E0B5B}">
      <formula1>AND(ISNUMBER(D54),D54=INT(D54),D54&gt;=0,D54&lt;=999999999999999)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5" xr:uid="{16247745-2DB5-4026-B620-A8134764CD06}">
      <formula1>AND(ISNUMBER(D55),D55=INT(D55),D55&gt;=0,D55&lt;=999999999999999)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6" xr:uid="{31C73BA8-26F8-4704-9661-EA08ACCB7D8C}">
      <formula1>AND(ISNUMBER(D56),D56=INT(D56),D56&gt;=0,D56&lt;=999999999999999)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7" xr:uid="{FA4544FE-2ADD-4482-A243-5332F6175F02}">
      <formula1>AND(ISNUMBER(D57),D57=INT(D57),D57&gt;=0,D57&lt;=999999999999999)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8" xr:uid="{5C8FA22C-968D-42C4-8888-04E01E6B1920}">
      <formula1>AND(ISNUMBER(D58),D58=INT(D58),D58&gt;=0,D58&lt;=999999999999999)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9" xr:uid="{93373372-7349-4F4D-9589-34A6E807E35E}">
      <formula1>AND(ISNUMBER(D59),D59=INT(D59),D59&gt;=0,D59&lt;=999999999999999)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0" xr:uid="{D120C469-E976-4B79-832C-31A94FBC6E42}">
      <formula1>AND(ISNUMBER(D60),D60=INT(D60),D60&gt;=0,D60&lt;=999999999999999)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1" xr:uid="{7619E104-799E-4ACC-B200-175C4E5D618A}">
      <formula1>AND(ISNUMBER(D61),D61=INT(D61),D61&gt;=0,D61&lt;=999999999999999)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2" xr:uid="{77898401-08C7-45DC-A57C-DC7180018A82}">
      <formula1>AND(ISNUMBER(D62),D62=INT(D62),D62&gt;=0,D62&lt;=999999999999999)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3" xr:uid="{CC59B255-4635-405F-9983-9FC8ADDC9545}">
      <formula1>AND(ISNUMBER(D63),D63=INT(D63),D63&gt;=0,D63&lt;=999999999999999)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4" xr:uid="{066F723E-57F7-4496-85EA-CF6F7D935E20}">
      <formula1>AND(ISNUMBER(D64),D64=INT(D64),D64&gt;=0,D64&lt;=999999999999999)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5" xr:uid="{5B197656-9CDB-421A-9B5D-4C4739315B60}">
      <formula1>AND(ISNUMBER(D65),D65=INT(D65),D65&gt;=0,D65&lt;=999999999999999)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6" xr:uid="{F90FFECB-3DE4-4918-AC85-705A87946537}">
      <formula1>AND(ISNUMBER(D66),D66=INT(D66),D66&gt;=0,D66&lt;=999999999999999)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0" xr:uid="{64722D7C-4609-40D6-A4C1-4417DEF7F471}">
      <formula1>AND(ISNUMBER(D70),D70=INT(D70),D70&gt;=0,D70&lt;=999999999999999)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1" xr:uid="{49D8BADC-8DCC-47CC-9846-0A6D432BDA05}">
      <formula1>AND(ISNUMBER(D71),D71=INT(D71),D71&gt;=0,D71&lt;=999999999999999)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2" xr:uid="{496BFD70-251B-4B8D-8C07-50B2DAFCEB40}">
      <formula1>AND(ISNUMBER(D72),D72=INT(D72),D72&gt;=0,D72&lt;=999999999999999)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3" xr:uid="{968FF9CE-A2F1-448F-B35B-0FEF7FCF9434}">
      <formula1>AND(ISNUMBER(D73),D73=INT(D73),D73&gt;=0,D73&lt;=999999999999999)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4" xr:uid="{192C2FC2-2099-46DE-A28E-A9C3535188E6}">
      <formula1>AND(ISNUMBER(D74),D74=INT(D74),D74&gt;=0,D74&lt;=999999999999999)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5" xr:uid="{28030907-8524-40F5-99D9-8FF2B507EDEF}">
      <formula1>AND(ISNUMBER(D75),D75=INT(D75),D75&gt;=0,D75&lt;=999999999999999)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6" xr:uid="{4079A329-6169-4042-9995-BBEFBF5B93FD}">
      <formula1>AND(ISNUMBER(D76),D76=INT(D76),D76&gt;=0,D76&lt;=999999999999999)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7" xr:uid="{0845F2BB-A6C6-44CF-B9F4-A27834AA3791}">
      <formula1>AND(ISNUMBER(D77),D77=INT(D77),D77&gt;=0,D77&lt;=999999999999999)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8" xr:uid="{D44E7430-8C9F-4C1F-8A3E-A61F770B3E47}">
      <formula1>AND(ISNUMBER(D78),D78=INT(D78),D78&gt;=0,D78&lt;=999999999999999)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9" xr:uid="{2F6000B4-46FA-4D10-BFE0-0DFF1E7832A4}">
      <formula1>AND(ISNUMBER(D79),D79=INT(D79),D79&gt;=0,D79&lt;=999999999999999)</formula1>
    </dataValidation>
    <dataValidation type="custom" showInputMessage="1" showErrorMessage="1" errorTitle="入力エラー" error="付表二20欄の控除前合計額以上となる、1,000兆円未満の円単位整数を入力してください。" sqref="D80" xr:uid="{6C8E8815-DF12-4113-B3F3-27D59FE1813A}">
      <formula1>AND(ISNUMBER(D80),D80=INT(D80),D80&gt;=IF(inp_group="はい",MIN(inp_f2_03,MAX(inp_f2_08-inp_f2_04,0)),0),D80&lt;=999999999999999)</formula1>
    </dataValidation>
    <dataValidation type="custom" showInputMessage="1" showErrorMessage="1" errorTitle="入力エラー" error="付表二22欄の控除前合計額以上となる、1,000兆円未満の円単位整数を入力してください。" sqref="D81" xr:uid="{EED8BB07-C288-48D2-AABC-0FAE98E82A0C}">
      <formula1>AND(ISNUMBER(D81),D81=INT(D81),D81&gt;=IF(inp_group="はい",MAX(inp_f2_04-inp_f2_08,0),0),D81&lt;=999999999999999)</formula1>
    </dataValidation>
  </dataValidations>
  <pageMargins left="0.7" right="0.7" top="0.75" bottom="0.75" header="0.3" footer="0.3"/>
  <pageSetup paperSize="9" fitToHeight="99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E0E5-A679-4918-B9BC-2B22A5A0D8A0}">
  <sheetPr>
    <tabColor rgb="FF2F75B5"/>
    <pageSetUpPr fitToPage="1"/>
  </sheetPr>
  <dimension ref="A1:G32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  <col min="6" max="6" width="31.69921875" customWidth="1"/>
    <col min="7" max="7" width="19.69921875" customWidth="1"/>
  </cols>
  <sheetData>
    <row r="1" spans="1:7" ht="30" customHeight="1">
      <c r="A1" s="5" t="s">
        <v>289</v>
      </c>
      <c r="B1" s="6"/>
      <c r="C1" s="6"/>
      <c r="D1" s="6"/>
      <c r="E1" s="6"/>
    </row>
    <row r="2" spans="1:7">
      <c r="A2" s="7" t="s">
        <v>290</v>
      </c>
      <c r="B2" s="6"/>
      <c r="C2" s="6"/>
      <c r="D2" s="6"/>
      <c r="E2" s="6"/>
    </row>
    <row r="3" spans="1:7">
      <c r="A3" s="8"/>
      <c r="B3" s="8"/>
      <c r="C3" s="8"/>
      <c r="D3" s="8"/>
      <c r="E3" s="8"/>
    </row>
    <row r="4" spans="1:7">
      <c r="A4" s="27" t="s">
        <v>291</v>
      </c>
      <c r="B4" s="27" t="s">
        <v>292</v>
      </c>
      <c r="C4" s="27" t="s">
        <v>293</v>
      </c>
      <c r="D4" s="27" t="s">
        <v>294</v>
      </c>
      <c r="E4" s="27" t="s">
        <v>295</v>
      </c>
      <c r="F4" s="31" t="s">
        <v>437</v>
      </c>
      <c r="G4" s="31" t="s">
        <v>438</v>
      </c>
    </row>
    <row r="5" spans="1:7" ht="37.950000000000003" customHeight="1">
      <c r="A5" s="28">
        <v>1</v>
      </c>
      <c r="B5" s="29" t="s">
        <v>296</v>
      </c>
      <c r="C5" s="29" t="s">
        <v>297</v>
      </c>
      <c r="D5" s="30">
        <f>IFERROR(IF(cfg_exact_domain_ok,MIN(m_21,IF(inp_months="",0,30000000*inp_months/12)),0),0)</f>
        <v>0</v>
      </c>
      <c r="E5" s="29" t="s">
        <v>298</v>
      </c>
      <c r="F5" s="4" t="s">
        <v>439</v>
      </c>
      <c r="G5" s="32">
        <f>IFERROR(MAX(m_19-m_20,0),0)</f>
        <v>0</v>
      </c>
    </row>
    <row r="6" spans="1:7" ht="37.950000000000003" customHeight="1">
      <c r="A6" s="28">
        <v>2</v>
      </c>
      <c r="B6" s="29" t="s">
        <v>299</v>
      </c>
      <c r="C6" s="29" t="s">
        <v>300</v>
      </c>
      <c r="D6" s="30">
        <f>IFERROR(IF(cfg_exact_domain_ok,$G$10,0),0)</f>
        <v>0</v>
      </c>
      <c r="E6" s="29" t="s">
        <v>301</v>
      </c>
      <c r="F6" s="4" t="s">
        <v>440</v>
      </c>
      <c r="G6" s="32">
        <f>IFERROR(G5-m_21,0)</f>
        <v>0</v>
      </c>
    </row>
    <row r="7" spans="1:7" ht="37.950000000000003" customHeight="1">
      <c r="A7" s="28">
        <v>3</v>
      </c>
      <c r="B7" s="29" t="s">
        <v>302</v>
      </c>
      <c r="C7" s="29" t="s">
        <v>303</v>
      </c>
      <c r="D7" s="30">
        <f>IFERROR(IF(cfg_exact_domain_ok,m_21-m_01-m_02,0),0)</f>
        <v>0</v>
      </c>
      <c r="E7" s="29" t="s">
        <v>298</v>
      </c>
      <c r="F7" s="4" t="s">
        <v>441</v>
      </c>
      <c r="G7" s="32">
        <f>IFERROR(IF(inp_months="",0,100000000*inp_months/12),0)</f>
        <v>100000000</v>
      </c>
    </row>
    <row r="8" spans="1:7" ht="37.950000000000003" customHeight="1">
      <c r="A8" s="28">
        <v>4</v>
      </c>
      <c r="B8" s="29" t="s">
        <v>304</v>
      </c>
      <c r="C8" s="29" t="s">
        <v>305</v>
      </c>
      <c r="D8" s="30">
        <f>IFERROR(IF(cfg_exact_domain_ok,SUM(m_01:m_03),0),0)</f>
        <v>0</v>
      </c>
      <c r="E8" s="29" t="s">
        <v>306</v>
      </c>
      <c r="F8" s="4" t="s">
        <v>442</v>
      </c>
      <c r="G8" s="32">
        <f>IFERROR(MAX(0,MIN(m_21-m_01,G7-m_01)),0)</f>
        <v>0</v>
      </c>
    </row>
    <row r="9" spans="1:7" ht="37.950000000000003" customHeight="1">
      <c r="A9" s="28">
        <v>5</v>
      </c>
      <c r="B9" s="29" t="s">
        <v>307</v>
      </c>
      <c r="C9" s="29" t="s">
        <v>308</v>
      </c>
      <c r="D9" s="30">
        <f>IFERROR(IF(cfg_exact_domain_ok,QUOTIENT(m_01,10),0),0)</f>
        <v>0</v>
      </c>
      <c r="E9" s="29" t="s">
        <v>309</v>
      </c>
      <c r="F9" s="4" t="s">
        <v>443</v>
      </c>
      <c r="G9" s="32">
        <f>IFERROR(G8-ROUNDDOWN(G8,-3),0)</f>
        <v>0</v>
      </c>
    </row>
    <row r="10" spans="1:7" ht="37.950000000000003" customHeight="1">
      <c r="A10" s="28">
        <v>6</v>
      </c>
      <c r="B10" s="29" t="s">
        <v>310</v>
      </c>
      <c r="C10" s="29" t="s">
        <v>311</v>
      </c>
      <c r="D10" s="30">
        <f>IFERROR(IF(cfg_exact_domain_ok,QUOTIENT(m_02*3,20),0),0)</f>
        <v>0</v>
      </c>
      <c r="E10" s="29" t="s">
        <v>309</v>
      </c>
      <c r="F10" s="4" t="s">
        <v>444</v>
      </c>
      <c r="G10" s="32">
        <f>IFERROR(IF(G9&gt;G6,ROUNDUP(G8,-3),ROUNDDOWN(G8,-3)),0)</f>
        <v>0</v>
      </c>
    </row>
    <row r="11" spans="1:7" ht="37.950000000000003" customHeight="1">
      <c r="A11" s="28">
        <v>7</v>
      </c>
      <c r="B11" s="29" t="s">
        <v>312</v>
      </c>
      <c r="C11" s="29" t="s">
        <v>313</v>
      </c>
      <c r="D11" s="30">
        <f>IFERROR(IF(cfg_exact_domain_ok,QUOTIENT(m_03,5),0),0)</f>
        <v>0</v>
      </c>
      <c r="E11" s="29" t="s">
        <v>309</v>
      </c>
    </row>
    <row r="12" spans="1:7" ht="37.950000000000003" customHeight="1">
      <c r="A12" s="28">
        <v>8</v>
      </c>
      <c r="B12" s="29" t="s">
        <v>314</v>
      </c>
      <c r="C12" s="29" t="s">
        <v>315</v>
      </c>
      <c r="D12" s="34">
        <f>IFERROR(IF(cfg_exact_domain_ok,SUM(m_05:m_07),0),0)</f>
        <v>0</v>
      </c>
      <c r="E12" s="29" t="s">
        <v>316</v>
      </c>
    </row>
    <row r="13" spans="1:7" ht="37.950000000000003" customHeight="1">
      <c r="A13" s="28">
        <v>9</v>
      </c>
      <c r="B13" s="29" t="s">
        <v>317</v>
      </c>
      <c r="C13" s="29" t="s">
        <v>318</v>
      </c>
      <c r="D13" s="30">
        <f>IFERROR(IF(cfg_exact_domain_ok,inp_m9_base+inp_m9_extra,0),0)</f>
        <v>0</v>
      </c>
      <c r="E13" s="29" t="s">
        <v>319</v>
      </c>
    </row>
    <row r="14" spans="1:7" ht="37.950000000000003" customHeight="1">
      <c r="A14" s="28">
        <v>10</v>
      </c>
      <c r="B14" s="29" t="s">
        <v>44</v>
      </c>
      <c r="C14" s="29" t="s">
        <v>320</v>
      </c>
      <c r="D14" s="30">
        <f>IFERROR(IF(cfg_exact_domain_ok,inp_prev_div,0),0)</f>
        <v>0</v>
      </c>
      <c r="E14" s="29" t="s">
        <v>309</v>
      </c>
    </row>
    <row r="15" spans="1:7" ht="37.950000000000003" customHeight="1">
      <c r="A15" s="28">
        <v>11</v>
      </c>
      <c r="B15" s="29" t="s">
        <v>47</v>
      </c>
      <c r="C15" s="29" t="s">
        <v>46</v>
      </c>
      <c r="D15" s="30">
        <f>IFERROR(IF(cfg_exact_domain_ok,inp_curr_div,0),0)</f>
        <v>0</v>
      </c>
      <c r="E15" s="29" t="s">
        <v>309</v>
      </c>
    </row>
    <row r="16" spans="1:7" ht="37.950000000000003" customHeight="1">
      <c r="A16" s="28">
        <v>12</v>
      </c>
      <c r="B16" s="29" t="s">
        <v>321</v>
      </c>
      <c r="C16" s="29" t="s">
        <v>322</v>
      </c>
      <c r="D16" s="30">
        <f>IFERROR(IF(cfg_exact_domain_ok,MAX(MAX((inp_b1_2-inp_b1_3+inp_b1_4+inp_b1_6+inp_b1_9out-inp_b1_11-inp_b1_18)-inp_b6_5_2_5_3,0)+MAX(inp_b1_31+inp_b1_32-inp_b1_36-inp_b1_65,0)-MAX(inp_b6_5_2_5_3-(inp_b1_2-inp_b1_3+inp_b1_4+inp_b1_6+inp_b1_9out),0),0),0),0)</f>
        <v>0</v>
      </c>
      <c r="E16" s="29" t="s">
        <v>323</v>
      </c>
    </row>
    <row r="17" spans="1:5" ht="37.950000000000003" customHeight="1">
      <c r="A17" s="28">
        <v>13</v>
      </c>
      <c r="B17" s="29" t="s">
        <v>324</v>
      </c>
      <c r="C17" s="29" t="s">
        <v>325</v>
      </c>
      <c r="D17" s="30">
        <f>IFERROR(IF(cfg_exact_domain_ok,m_28,0),0)</f>
        <v>0</v>
      </c>
      <c r="E17" s="29" t="s">
        <v>309</v>
      </c>
    </row>
    <row r="18" spans="1:5" ht="37.950000000000003" customHeight="1">
      <c r="A18" s="28">
        <v>14</v>
      </c>
      <c r="B18" s="29" t="s">
        <v>326</v>
      </c>
      <c r="C18" s="29" t="s">
        <v>100</v>
      </c>
      <c r="D18" s="30">
        <f>IFERROR(IF(cfg_exact_domain_ok,inp_m14_foreign,0),0)</f>
        <v>0</v>
      </c>
      <c r="E18" s="29" t="s">
        <v>309</v>
      </c>
    </row>
    <row r="19" spans="1:5" ht="37.950000000000003" customHeight="1">
      <c r="A19" s="28">
        <v>15</v>
      </c>
      <c r="B19" s="29" t="s">
        <v>327</v>
      </c>
      <c r="C19" s="29" t="s">
        <v>328</v>
      </c>
      <c r="D19" s="30">
        <f>IFERROR(IF(cfg_exact_domain_ok,MAX(m_12+m_13-m_14,0),0),0)</f>
        <v>0</v>
      </c>
      <c r="E19" s="29" t="s">
        <v>309</v>
      </c>
    </row>
    <row r="20" spans="1:5" ht="37.950000000000003" customHeight="1">
      <c r="A20" s="28">
        <v>16</v>
      </c>
      <c r="B20" s="29" t="s">
        <v>329</v>
      </c>
      <c r="C20" s="29" t="s">
        <v>330</v>
      </c>
      <c r="D20" s="30">
        <f>IFERROR(IF(cfg_exact_domain_ok,IF(inp_group="はい",f2_05,0),0),0)</f>
        <v>0</v>
      </c>
      <c r="E20" s="29" t="s">
        <v>309</v>
      </c>
    </row>
    <row r="21" spans="1:5" ht="37.950000000000003" customHeight="1">
      <c r="A21" s="28">
        <v>17</v>
      </c>
      <c r="B21" s="29" t="s">
        <v>331</v>
      </c>
      <c r="C21" s="29" t="s">
        <v>332</v>
      </c>
      <c r="D21" s="30">
        <f>IFERROR(IF(cfg_exact_domain_ok,IF(inp_group="はい",f2_10,0),0),0)</f>
        <v>0</v>
      </c>
      <c r="E21" s="29" t="s">
        <v>309</v>
      </c>
    </row>
    <row r="22" spans="1:5" ht="37.950000000000003" customHeight="1">
      <c r="A22" s="28">
        <v>18</v>
      </c>
      <c r="B22" s="29" t="s">
        <v>333</v>
      </c>
      <c r="C22" s="29" t="s">
        <v>334</v>
      </c>
      <c r="D22" s="30">
        <f>IFERROR(IF(cfg_exact_domain_ok,f1_19,0),0)</f>
        <v>0</v>
      </c>
      <c r="E22" s="29" t="s">
        <v>309</v>
      </c>
    </row>
    <row r="23" spans="1:5" ht="37.950000000000003" customHeight="1">
      <c r="A23" s="28">
        <v>19</v>
      </c>
      <c r="B23" s="29" t="s">
        <v>335</v>
      </c>
      <c r="C23" s="29" t="s">
        <v>336</v>
      </c>
      <c r="D23" s="30">
        <f>IFERROR(IF(cfg_exact_domain_ok,m_09-inp_m9_inner+m_10-m_11-m_15+m_16-m_17-m_18,0),0)</f>
        <v>0</v>
      </c>
      <c r="E23" s="29" t="s">
        <v>309</v>
      </c>
    </row>
    <row r="24" spans="1:5" ht="37.950000000000003" customHeight="1">
      <c r="A24" s="28">
        <v>20</v>
      </c>
      <c r="B24" s="29" t="s">
        <v>337</v>
      </c>
      <c r="C24" s="29" t="s">
        <v>338</v>
      </c>
      <c r="D24" s="30">
        <f>IFERROR(IF(cfg_exact_domain_ok,f1_33,0),0)</f>
        <v>20000000</v>
      </c>
      <c r="E24" s="29" t="s">
        <v>309</v>
      </c>
    </row>
    <row r="25" spans="1:5" ht="37.950000000000003" customHeight="1">
      <c r="A25" s="28">
        <v>21</v>
      </c>
      <c r="B25" s="29" t="s">
        <v>339</v>
      </c>
      <c r="C25" s="29" t="s">
        <v>340</v>
      </c>
      <c r="D25" s="34">
        <f>IFERROR(IF(cfg_exact_domain_ok,ROUNDDOWN(MAX(m_19-m_20,0),-3),0),0)</f>
        <v>0</v>
      </c>
      <c r="E25" s="29" t="s">
        <v>341</v>
      </c>
    </row>
    <row r="26" spans="1:5" ht="37.950000000000003" customHeight="1">
      <c r="A26" s="28">
        <v>22</v>
      </c>
      <c r="B26" s="29" t="s">
        <v>342</v>
      </c>
      <c r="C26" s="29" t="s">
        <v>343</v>
      </c>
      <c r="D26" s="30">
        <f>IFERROR(IF(cfg_exact_domain_ok,inp_b1_2+(inp_b1_4-inp_m22_b1_4_adjust)+inp_b1_6+inp_b1_9out-inp_b1_11-inp_b1_17-inp_m22_credits,0),0)</f>
        <v>0</v>
      </c>
      <c r="E26" s="29" t="s">
        <v>309</v>
      </c>
    </row>
    <row r="27" spans="1:5" ht="37.950000000000003" customHeight="1">
      <c r="A27" s="28">
        <v>23</v>
      </c>
      <c r="B27" s="29" t="s">
        <v>344</v>
      </c>
      <c r="C27" s="29" t="s">
        <v>343</v>
      </c>
      <c r="D27" s="30">
        <f>IFERROR(IF(cfg_exact_domain_ok,inp_b1_2+(inp_b1_4-inp_m23_b1_4_adjust)+inp_b1_6+inp_b1_9out-inp_b1_11-inp_b1_17-inp_m23_credits,0),0)</f>
        <v>0</v>
      </c>
      <c r="E27" s="29" t="s">
        <v>309</v>
      </c>
    </row>
    <row r="28" spans="1:5" ht="37.950000000000003" customHeight="1">
      <c r="A28" s="28">
        <v>24</v>
      </c>
      <c r="B28" s="29" t="s">
        <v>324</v>
      </c>
      <c r="C28" s="29" t="s">
        <v>345</v>
      </c>
      <c r="D28" s="30">
        <f>IFERROR(IF(cfg_exact_domain_ok,exact_r5_m_24_resident_q,0),0)</f>
        <v>0</v>
      </c>
      <c r="E28" s="29" t="s">
        <v>309</v>
      </c>
    </row>
    <row r="29" spans="1:5" ht="37.950000000000003" customHeight="1">
      <c r="A29" s="28">
        <v>25</v>
      </c>
      <c r="B29" s="29" t="s">
        <v>346</v>
      </c>
      <c r="C29" s="29" t="s">
        <v>347</v>
      </c>
      <c r="D29" s="30">
        <f>IFERROR(IF(cfg_exact_domain_ok,QUOTIENT(inp_specific_donation_total*2,5),0),0)</f>
        <v>0</v>
      </c>
      <c r="E29" s="29" t="s">
        <v>309</v>
      </c>
    </row>
    <row r="30" spans="1:5" ht="37.950000000000003" customHeight="1">
      <c r="A30" s="28">
        <v>26</v>
      </c>
      <c r="B30" s="29" t="s">
        <v>348</v>
      </c>
      <c r="C30" s="29" t="s">
        <v>349</v>
      </c>
      <c r="D30" s="30">
        <f>IFERROR(IF(cfg_exact_domain_ok,MAX(0,exact_r5_m_26_municipal_floor+exact_r5_m_26_delta_floor+QUOTIENT(exact_r5_m_26_municipal_rem+exact_r5_m_26_delta_rem,625)),0),0)</f>
        <v>0</v>
      </c>
      <c r="E30" s="29" t="s">
        <v>309</v>
      </c>
    </row>
    <row r="31" spans="1:5" ht="37.950000000000003" customHeight="1">
      <c r="A31" s="28">
        <v>27</v>
      </c>
      <c r="B31" s="29" t="s">
        <v>350</v>
      </c>
      <c r="C31" s="29" t="s">
        <v>351</v>
      </c>
      <c r="D31" s="30">
        <f>IFERROR(IF(cfg_exact_domain_ok,MIN(m_25,m_26),0),0)</f>
        <v>0</v>
      </c>
      <c r="E31" s="29" t="s">
        <v>309</v>
      </c>
    </row>
    <row r="32" spans="1:5" ht="37.950000000000003" customHeight="1">
      <c r="A32" s="28">
        <v>28</v>
      </c>
      <c r="B32" s="29" t="s">
        <v>324</v>
      </c>
      <c r="C32" s="29" t="s">
        <v>352</v>
      </c>
      <c r="D32" s="30">
        <f>IFERROR(IF(cfg_exact_domain_ok,m_24-m_27,0),0)</f>
        <v>0</v>
      </c>
      <c r="E32" s="29" t="s">
        <v>353</v>
      </c>
    </row>
  </sheetData>
  <sheetProtection sheet="1" objects="1" scenarios="1"/>
  <mergeCells count="2">
    <mergeCell ref="A1:E1"/>
    <mergeCell ref="A2:E2"/>
  </mergeCells>
  <phoneticPr fontId="3"/>
  <pageMargins left="0.7" right="0.7" top="0.75" bottom="0.75" header="0.3" footer="0.3"/>
  <pageSetup paperSize="9" fitToHeight="99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3952-B548-42FA-BAD1-A2CA0D3DBFBC}">
  <sheetPr>
    <tabColor rgb="FF2F75B5"/>
    <pageSetUpPr fitToPage="1"/>
  </sheetPr>
  <dimension ref="A1:E37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</cols>
  <sheetData>
    <row r="1" spans="1:5" ht="30" customHeight="1">
      <c r="A1" s="5" t="s">
        <v>354</v>
      </c>
      <c r="B1" s="6"/>
      <c r="C1" s="6"/>
      <c r="D1" s="6"/>
      <c r="E1" s="6"/>
    </row>
    <row r="2" spans="1:5">
      <c r="A2" s="7" t="s">
        <v>290</v>
      </c>
      <c r="B2" s="6"/>
      <c r="C2" s="6"/>
      <c r="D2" s="6"/>
      <c r="E2" s="6"/>
    </row>
    <row r="3" spans="1:5">
      <c r="A3" s="8"/>
      <c r="B3" s="8"/>
      <c r="C3" s="8"/>
      <c r="D3" s="8"/>
      <c r="E3" s="8"/>
    </row>
    <row r="4" spans="1:5">
      <c r="A4" s="27" t="s">
        <v>291</v>
      </c>
      <c r="B4" s="27" t="s">
        <v>292</v>
      </c>
      <c r="C4" s="27" t="s">
        <v>293</v>
      </c>
      <c r="D4" s="27" t="s">
        <v>294</v>
      </c>
      <c r="E4" s="27" t="s">
        <v>295</v>
      </c>
    </row>
    <row r="5" spans="1:5" ht="37.950000000000003" customHeight="1">
      <c r="A5" s="28">
        <v>1</v>
      </c>
      <c r="B5" s="29" t="s">
        <v>355</v>
      </c>
      <c r="C5" s="29" t="s">
        <v>356</v>
      </c>
      <c r="D5" s="30">
        <f>IFERROR(IF(cfg_exact_domain_ok,inp_f1_capital,0),0)</f>
        <v>0</v>
      </c>
      <c r="E5" s="29" t="s">
        <v>309</v>
      </c>
    </row>
    <row r="6" spans="1:5" ht="37.950000000000003" customHeight="1">
      <c r="A6" s="28">
        <v>2</v>
      </c>
      <c r="B6" s="29" t="s">
        <v>357</v>
      </c>
      <c r="C6" s="29" t="s">
        <v>358</v>
      </c>
      <c r="D6" s="30">
        <f>IFERROR(IF(cfg_exact_domain_ok,QUOTIENT(f1_01,4),0),0)</f>
        <v>0</v>
      </c>
      <c r="E6" s="29" t="s">
        <v>359</v>
      </c>
    </row>
    <row r="7" spans="1:5" ht="37.950000000000003" customHeight="1">
      <c r="A7" s="28">
        <v>3</v>
      </c>
      <c r="B7" s="29" t="s">
        <v>360</v>
      </c>
      <c r="C7" s="29" t="s">
        <v>361</v>
      </c>
      <c r="D7" s="30">
        <f>IFERROR(IF(cfg_exact_domain_ok,inp_f1_opening_profit-inp_prev_div,0),0)</f>
        <v>0</v>
      </c>
      <c r="E7" s="29" t="s">
        <v>309</v>
      </c>
    </row>
    <row r="8" spans="1:5" ht="37.950000000000003" customHeight="1">
      <c r="A8" s="28">
        <v>4</v>
      </c>
      <c r="B8" s="29" t="s">
        <v>119</v>
      </c>
      <c r="C8" s="29" t="s">
        <v>356</v>
      </c>
      <c r="D8" s="30">
        <f>IFERROR(IF(cfg_exact_domain_ok,inp_f1_merger_inc,0),0)</f>
        <v>0</v>
      </c>
      <c r="E8" s="29" t="s">
        <v>309</v>
      </c>
    </row>
    <row r="9" spans="1:5" ht="37.950000000000003" customHeight="1">
      <c r="A9" s="28">
        <v>5</v>
      </c>
      <c r="B9" s="29" t="s">
        <v>122</v>
      </c>
      <c r="C9" s="29" t="s">
        <v>356</v>
      </c>
      <c r="D9" s="30">
        <f>IFERROR(IF(cfg_exact_domain_ok,inp_f1_split_dec,0),0)</f>
        <v>0</v>
      </c>
      <c r="E9" s="29" t="s">
        <v>309</v>
      </c>
    </row>
    <row r="10" spans="1:5" ht="37.950000000000003" customHeight="1">
      <c r="A10" s="28">
        <v>6</v>
      </c>
      <c r="B10" s="29" t="s">
        <v>362</v>
      </c>
      <c r="C10" s="29" t="s">
        <v>363</v>
      </c>
      <c r="D10" s="30">
        <f>IFERROR(IF(cfg_exact_domain_ok,f1_03+f1_04-f1_05,0),0)</f>
        <v>0</v>
      </c>
      <c r="E10" s="29" t="s">
        <v>309</v>
      </c>
    </row>
    <row r="11" spans="1:5" ht="37.950000000000003" customHeight="1">
      <c r="A11" s="28">
        <v>7</v>
      </c>
      <c r="B11" s="29" t="s">
        <v>364</v>
      </c>
      <c r="C11" s="29" t="s">
        <v>365</v>
      </c>
      <c r="D11" s="30">
        <f>IFERROR(IF(cfg_exact_domain_ok,MAX(f1_02-f1_06,0),0),0)</f>
        <v>0</v>
      </c>
      <c r="E11" s="29" t="s">
        <v>366</v>
      </c>
    </row>
    <row r="12" spans="1:5" ht="37.950000000000003" customHeight="1">
      <c r="A12" s="28">
        <v>8</v>
      </c>
      <c r="B12" s="29" t="s">
        <v>367</v>
      </c>
      <c r="C12" s="29" t="s">
        <v>368</v>
      </c>
      <c r="D12" s="30">
        <f>IFERROR(IF(cfg_exact_domain_ok,IF(inp_months="",0,ROUNDDOWN(20000000*inp_months/12,0)),0),0)</f>
        <v>20000000</v>
      </c>
      <c r="E12" s="29" t="s">
        <v>359</v>
      </c>
    </row>
    <row r="13" spans="1:5" ht="37.950000000000003" customHeight="1">
      <c r="A13" s="28">
        <v>9</v>
      </c>
      <c r="B13" s="29" t="s">
        <v>369</v>
      </c>
      <c r="C13" s="29" t="s">
        <v>124</v>
      </c>
      <c r="D13" s="30">
        <f>IFERROR(IF(cfg_exact_domain_ok,inp_f1_09,0),0)</f>
        <v>0</v>
      </c>
      <c r="E13" s="29" t="s">
        <v>309</v>
      </c>
    </row>
    <row r="14" spans="1:5" ht="37.950000000000003" customHeight="1">
      <c r="A14" s="28">
        <v>10</v>
      </c>
      <c r="B14" s="29" t="s">
        <v>370</v>
      </c>
      <c r="C14" s="29" t="s">
        <v>128</v>
      </c>
      <c r="D14" s="30">
        <f>IFERROR(IF(cfg_exact_domain_ok,inp_f1_10,0),0)</f>
        <v>0</v>
      </c>
      <c r="E14" s="29" t="s">
        <v>309</v>
      </c>
    </row>
    <row r="15" spans="1:5" ht="37.950000000000003" customHeight="1">
      <c r="A15" s="28">
        <v>11</v>
      </c>
      <c r="B15" s="29" t="s">
        <v>371</v>
      </c>
      <c r="C15" s="29" t="s">
        <v>132</v>
      </c>
      <c r="D15" s="30">
        <f>IFERROR(IF(cfg_exact_domain_ok,inp_f1_11,0),0)</f>
        <v>0</v>
      </c>
      <c r="E15" s="29" t="s">
        <v>309</v>
      </c>
    </row>
    <row r="16" spans="1:5" ht="37.950000000000003" customHeight="1">
      <c r="A16" s="28">
        <v>12</v>
      </c>
      <c r="B16" s="29" t="s">
        <v>372</v>
      </c>
      <c r="C16" s="29" t="s">
        <v>135</v>
      </c>
      <c r="D16" s="30">
        <f>IFERROR(IF(cfg_exact_domain_ok,inp_f1_12,0),0)</f>
        <v>0</v>
      </c>
      <c r="E16" s="29" t="s">
        <v>309</v>
      </c>
    </row>
    <row r="17" spans="1:5" ht="37.950000000000003" customHeight="1">
      <c r="A17" s="28">
        <v>13</v>
      </c>
      <c r="B17" s="29" t="s">
        <v>373</v>
      </c>
      <c r="C17" s="29" t="s">
        <v>138</v>
      </c>
      <c r="D17" s="30">
        <f>IFERROR(IF(cfg_exact_domain_ok,inp_f1_13,0),0)</f>
        <v>0</v>
      </c>
      <c r="E17" s="29" t="s">
        <v>309</v>
      </c>
    </row>
    <row r="18" spans="1:5" ht="37.950000000000003" customHeight="1">
      <c r="A18" s="28">
        <v>14</v>
      </c>
      <c r="B18" s="29" t="s">
        <v>374</v>
      </c>
      <c r="C18" s="29" t="s">
        <v>141</v>
      </c>
      <c r="D18" s="30">
        <f>IFERROR(IF(cfg_exact_domain_ok,inp_f1_14,0),0)</f>
        <v>0</v>
      </c>
      <c r="E18" s="29" t="s">
        <v>309</v>
      </c>
    </row>
    <row r="19" spans="1:5" ht="37.950000000000003" customHeight="1">
      <c r="A19" s="28">
        <v>15</v>
      </c>
      <c r="B19" s="29" t="s">
        <v>375</v>
      </c>
      <c r="C19" s="29" t="s">
        <v>144</v>
      </c>
      <c r="D19" s="30">
        <f>IFERROR(IF(cfg_exact_domain_ok,inp_f1_15,0),0)</f>
        <v>0</v>
      </c>
      <c r="E19" s="29" t="s">
        <v>309</v>
      </c>
    </row>
    <row r="20" spans="1:5" ht="37.950000000000003" customHeight="1">
      <c r="A20" s="28">
        <v>16</v>
      </c>
      <c r="B20" s="29" t="s">
        <v>376</v>
      </c>
      <c r="C20" s="29" t="s">
        <v>147</v>
      </c>
      <c r="D20" s="30">
        <f>IFERROR(IF(cfg_exact_domain_ok,inp_f1_16,0),0)</f>
        <v>0</v>
      </c>
      <c r="E20" s="29" t="s">
        <v>309</v>
      </c>
    </row>
    <row r="21" spans="1:5" ht="37.950000000000003" customHeight="1">
      <c r="A21" s="28">
        <v>17</v>
      </c>
      <c r="B21" s="29" t="s">
        <v>377</v>
      </c>
      <c r="C21" s="29" t="s">
        <v>378</v>
      </c>
      <c r="D21" s="30">
        <f>IFERROR(IF(cfg_exact_domain_ok,IF(inp_group="はい",f2_13,0),0),0)</f>
        <v>0</v>
      </c>
      <c r="E21" s="29" t="s">
        <v>309</v>
      </c>
    </row>
    <row r="22" spans="1:5" ht="37.950000000000003" customHeight="1">
      <c r="A22" s="28">
        <v>18</v>
      </c>
      <c r="B22" s="29" t="s">
        <v>379</v>
      </c>
      <c r="C22" s="29" t="s">
        <v>380</v>
      </c>
      <c r="D22" s="30">
        <f>IFERROR(IF(cfg_exact_domain_ok,IF(inp_group="はい",f2_17,0),0),0)</f>
        <v>0</v>
      </c>
      <c r="E22" s="29" t="s">
        <v>309</v>
      </c>
    </row>
    <row r="23" spans="1:5" ht="37.950000000000003" customHeight="1">
      <c r="A23" s="28">
        <v>19</v>
      </c>
      <c r="B23" s="29" t="s">
        <v>333</v>
      </c>
      <c r="C23" s="29" t="s">
        <v>150</v>
      </c>
      <c r="D23" s="30">
        <f>IFERROR(IF(cfg_exact_domain_ok,inp_f1_19,0),0)</f>
        <v>0</v>
      </c>
      <c r="E23" s="29" t="s">
        <v>309</v>
      </c>
    </row>
    <row r="24" spans="1:5" ht="37.950000000000003" customHeight="1">
      <c r="A24" s="28">
        <v>20</v>
      </c>
      <c r="B24" s="29" t="s">
        <v>381</v>
      </c>
      <c r="C24" s="29" t="s">
        <v>153</v>
      </c>
      <c r="D24" s="30">
        <f>IFERROR(IF(cfg_exact_domain_ok,inp_f1_20,0),0)</f>
        <v>0</v>
      </c>
      <c r="E24" s="29" t="s">
        <v>309</v>
      </c>
    </row>
    <row r="25" spans="1:5" ht="37.950000000000003" customHeight="1">
      <c r="A25" s="28">
        <v>21</v>
      </c>
      <c r="B25" s="29" t="s">
        <v>382</v>
      </c>
      <c r="C25" s="29" t="s">
        <v>156</v>
      </c>
      <c r="D25" s="30">
        <f>IFERROR(IF(cfg_exact_domain_ok,inp_f1_21,0),0)</f>
        <v>0</v>
      </c>
      <c r="E25" s="29" t="s">
        <v>309</v>
      </c>
    </row>
    <row r="26" spans="1:5" ht="37.950000000000003" customHeight="1">
      <c r="A26" s="28">
        <v>22</v>
      </c>
      <c r="B26" s="29" t="s">
        <v>383</v>
      </c>
      <c r="C26" s="29" t="s">
        <v>159</v>
      </c>
      <c r="D26" s="30">
        <f>IFERROR(IF(cfg_exact_domain_ok,inp_f1_22,0),0)</f>
        <v>0</v>
      </c>
      <c r="E26" s="29" t="s">
        <v>309</v>
      </c>
    </row>
    <row r="27" spans="1:5" ht="37.950000000000003" customHeight="1">
      <c r="A27" s="28">
        <v>23</v>
      </c>
      <c r="B27" s="29" t="s">
        <v>384</v>
      </c>
      <c r="C27" s="29" t="s">
        <v>162</v>
      </c>
      <c r="D27" s="30">
        <f>IFERROR(IF(cfg_exact_domain_ok,inp_f1_23,0),0)</f>
        <v>0</v>
      </c>
      <c r="E27" s="29" t="s">
        <v>309</v>
      </c>
    </row>
    <row r="28" spans="1:5" ht="37.950000000000003" customHeight="1">
      <c r="A28" s="28">
        <v>24</v>
      </c>
      <c r="B28" s="29" t="s">
        <v>385</v>
      </c>
      <c r="C28" s="29" t="s">
        <v>165</v>
      </c>
      <c r="D28" s="30">
        <f>IFERROR(IF(cfg_exact_domain_ok,inp_f1_24,0),0)</f>
        <v>0</v>
      </c>
      <c r="E28" s="29" t="s">
        <v>309</v>
      </c>
    </row>
    <row r="29" spans="1:5" ht="37.950000000000003" customHeight="1">
      <c r="A29" s="28">
        <v>25</v>
      </c>
      <c r="B29" s="29" t="s">
        <v>386</v>
      </c>
      <c r="C29" s="29" t="s">
        <v>168</v>
      </c>
      <c r="D29" s="30">
        <f>IFERROR(IF(cfg_exact_domain_ok,inp_f1_25,0),0)</f>
        <v>0</v>
      </c>
      <c r="E29" s="29" t="s">
        <v>309</v>
      </c>
    </row>
    <row r="30" spans="1:5" ht="37.950000000000003" customHeight="1">
      <c r="A30" s="28">
        <v>26</v>
      </c>
      <c r="B30" s="29" t="s">
        <v>387</v>
      </c>
      <c r="C30" s="29" t="s">
        <v>171</v>
      </c>
      <c r="D30" s="30">
        <f>IFERROR(IF(cfg_exact_domain_ok,inp_f1_26,0),0)</f>
        <v>0</v>
      </c>
      <c r="E30" s="29" t="s">
        <v>309</v>
      </c>
    </row>
    <row r="31" spans="1:5" ht="37.950000000000003" customHeight="1">
      <c r="A31" s="28">
        <v>27</v>
      </c>
      <c r="B31" s="29" t="s">
        <v>388</v>
      </c>
      <c r="C31" s="29" t="s">
        <v>174</v>
      </c>
      <c r="D31" s="30">
        <f>IFERROR(IF(cfg_exact_domain_ok,inp_f1_27,0),0)</f>
        <v>0</v>
      </c>
      <c r="E31" s="29" t="s">
        <v>309</v>
      </c>
    </row>
    <row r="32" spans="1:5" ht="37.950000000000003" customHeight="1">
      <c r="A32" s="28">
        <v>28</v>
      </c>
      <c r="B32" s="29" t="s">
        <v>389</v>
      </c>
      <c r="C32" s="29" t="s">
        <v>177</v>
      </c>
      <c r="D32" s="30">
        <f>IFERROR(IF(cfg_exact_domain_ok,inp_f1_28,0),0)</f>
        <v>0</v>
      </c>
      <c r="E32" s="29" t="s">
        <v>309</v>
      </c>
    </row>
    <row r="33" spans="1:5" ht="37.950000000000003" customHeight="1">
      <c r="A33" s="28">
        <v>29</v>
      </c>
      <c r="B33" s="29" t="s">
        <v>390</v>
      </c>
      <c r="C33" s="29" t="s">
        <v>180</v>
      </c>
      <c r="D33" s="30">
        <f>IFERROR(IF(cfg_exact_domain_ok,inp_f1_29,0),0)</f>
        <v>0</v>
      </c>
      <c r="E33" s="29" t="s">
        <v>309</v>
      </c>
    </row>
    <row r="34" spans="1:5" ht="37.950000000000003" customHeight="1">
      <c r="A34" s="28">
        <v>30</v>
      </c>
      <c r="B34" s="29" t="s">
        <v>391</v>
      </c>
      <c r="C34" s="29" t="s">
        <v>183</v>
      </c>
      <c r="D34" s="30">
        <f>IFERROR(IF(cfg_exact_domain_ok,inp_f1_30,0),0)</f>
        <v>0</v>
      </c>
      <c r="E34" s="29" t="s">
        <v>309</v>
      </c>
    </row>
    <row r="35" spans="1:5" ht="37.950000000000003" customHeight="1">
      <c r="A35" s="28">
        <v>31</v>
      </c>
      <c r="B35" s="29" t="s">
        <v>392</v>
      </c>
      <c r="C35" s="29" t="s">
        <v>393</v>
      </c>
      <c r="D35" s="30">
        <f>IFERROR(IF(cfg_exact_domain_ok,f1_09-f1_10+f1_11+f1_12+f1_13+f1_14+f1_15-f1_16+f1_17-f1_18-f1_19+f1_20+f1_21-f1_22+f1_23-f1_24+f1_25+f1_26-f1_27+f1_28+f1_29-f1_30,0),0)</f>
        <v>0</v>
      </c>
      <c r="E35" s="29" t="s">
        <v>309</v>
      </c>
    </row>
    <row r="36" spans="1:5" ht="37.950000000000003" customHeight="1">
      <c r="A36" s="28">
        <v>32</v>
      </c>
      <c r="B36" s="29" t="s">
        <v>394</v>
      </c>
      <c r="C36" s="29" t="s">
        <v>395</v>
      </c>
      <c r="D36" s="30">
        <f>IFERROR(IF(cfg_exact_domain_ok,exact_r5_f1_32_income_q,0),0)</f>
        <v>0</v>
      </c>
      <c r="E36" s="29" t="s">
        <v>359</v>
      </c>
    </row>
    <row r="37" spans="1:5" ht="37.950000000000003" customHeight="1">
      <c r="A37" s="28">
        <v>33</v>
      </c>
      <c r="B37" s="29" t="s">
        <v>337</v>
      </c>
      <c r="C37" s="29" t="s">
        <v>396</v>
      </c>
      <c r="D37" s="34">
        <f>IFERROR(IF(cfg_exact_domain_ok,MAX(f1_07,f1_08,f1_32),0),0)</f>
        <v>20000000</v>
      </c>
      <c r="E37" s="29" t="s">
        <v>397</v>
      </c>
    </row>
  </sheetData>
  <sheetProtection sheet="1" objects="1" scenarios="1"/>
  <mergeCells count="2">
    <mergeCell ref="A1:E1"/>
    <mergeCell ref="A2:E2"/>
  </mergeCells>
  <phoneticPr fontId="3"/>
  <pageMargins left="0.7" right="0.7" top="0.75" bottom="0.75" header="0.3" footer="0.3"/>
  <pageSetup paperSize="9" fitToHeight="9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D021-9AE9-4D02-894D-2859A5332E18}">
  <sheetPr>
    <tabColor rgb="FF2F75B5"/>
    <pageSetUpPr fitToPage="1"/>
  </sheetPr>
  <dimension ref="A1:E30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</cols>
  <sheetData>
    <row r="1" spans="1:5" ht="30" customHeight="1">
      <c r="A1" s="5" t="s">
        <v>398</v>
      </c>
      <c r="B1" s="6"/>
      <c r="C1" s="6"/>
      <c r="D1" s="6"/>
      <c r="E1" s="6"/>
    </row>
    <row r="2" spans="1:5">
      <c r="A2" s="7" t="s">
        <v>290</v>
      </c>
      <c r="B2" s="6"/>
      <c r="C2" s="6"/>
      <c r="D2" s="6"/>
      <c r="E2" s="6"/>
    </row>
    <row r="3" spans="1:5">
      <c r="A3" s="8"/>
      <c r="B3" s="8"/>
      <c r="C3" s="8"/>
      <c r="D3" s="8"/>
      <c r="E3" s="8"/>
    </row>
    <row r="4" spans="1:5">
      <c r="A4" s="27" t="s">
        <v>291</v>
      </c>
      <c r="B4" s="27" t="s">
        <v>292</v>
      </c>
      <c r="C4" s="27" t="s">
        <v>293</v>
      </c>
      <c r="D4" s="27" t="s">
        <v>294</v>
      </c>
      <c r="E4" s="27" t="s">
        <v>295</v>
      </c>
    </row>
    <row r="5" spans="1:5" ht="37.950000000000003" customHeight="1">
      <c r="A5" s="28">
        <v>1</v>
      </c>
      <c r="B5" s="29" t="s">
        <v>399</v>
      </c>
      <c r="C5" s="29" t="s">
        <v>187</v>
      </c>
      <c r="D5" s="30">
        <f>IFERROR(IF(cfg_exact_domain_ok,IF(inp_group="はい",inp_f2_01,0),0),0)</f>
        <v>0</v>
      </c>
      <c r="E5" s="29" t="s">
        <v>309</v>
      </c>
    </row>
    <row r="6" spans="1:5" ht="37.950000000000003" customHeight="1">
      <c r="A6" s="28">
        <v>2</v>
      </c>
      <c r="B6" s="29" t="s">
        <v>400</v>
      </c>
      <c r="C6" s="29" t="s">
        <v>190</v>
      </c>
      <c r="D6" s="30">
        <f>IFERROR(IF(cfg_exact_domain_ok,IF(inp_group="はい",inp_f2_02,0),0),0)</f>
        <v>0</v>
      </c>
      <c r="E6" s="29" t="s">
        <v>309</v>
      </c>
    </row>
    <row r="7" spans="1:5" ht="37.950000000000003" customHeight="1">
      <c r="A7" s="28">
        <v>3</v>
      </c>
      <c r="B7" s="29" t="s">
        <v>401</v>
      </c>
      <c r="C7" s="29" t="s">
        <v>193</v>
      </c>
      <c r="D7" s="30">
        <f>IFERROR(IF(cfg_exact_domain_ok,IF(inp_group="はい",inp_f2_03,0),0),0)</f>
        <v>0</v>
      </c>
      <c r="E7" s="29" t="s">
        <v>309</v>
      </c>
    </row>
    <row r="8" spans="1:5" ht="37.950000000000003" customHeight="1">
      <c r="A8" s="28">
        <v>4</v>
      </c>
      <c r="B8" s="29" t="s">
        <v>402</v>
      </c>
      <c r="C8" s="29" t="s">
        <v>193</v>
      </c>
      <c r="D8" s="30">
        <f>IFERROR(IF(cfg_exact_domain_ok,IF(inp_group="はい",inp_f2_04,0),0),0)</f>
        <v>0</v>
      </c>
      <c r="E8" s="29" t="s">
        <v>309</v>
      </c>
    </row>
    <row r="9" spans="1:5" ht="37.950000000000003" customHeight="1">
      <c r="A9" s="28">
        <v>5</v>
      </c>
      <c r="B9" s="29" t="s">
        <v>329</v>
      </c>
      <c r="C9" s="29" t="s">
        <v>403</v>
      </c>
      <c r="D9" s="30">
        <f>IFERROR(IF(cfg_exact_domain_ok,SUM(f2_01:f2_04),0),0)</f>
        <v>0</v>
      </c>
      <c r="E9" s="29" t="s">
        <v>404</v>
      </c>
    </row>
    <row r="10" spans="1:5" ht="37.950000000000003" customHeight="1">
      <c r="A10" s="28">
        <v>6</v>
      </c>
      <c r="B10" s="29" t="s">
        <v>405</v>
      </c>
      <c r="C10" s="29" t="s">
        <v>198</v>
      </c>
      <c r="D10" s="30">
        <f>IFERROR(IF(cfg_exact_domain_ok,IF(inp_group="はい",inp_f2_06,0),0),0)</f>
        <v>0</v>
      </c>
      <c r="E10" s="29" t="s">
        <v>309</v>
      </c>
    </row>
    <row r="11" spans="1:5" ht="37.950000000000003" customHeight="1">
      <c r="A11" s="28">
        <v>7</v>
      </c>
      <c r="B11" s="29" t="s">
        <v>406</v>
      </c>
      <c r="C11" s="29" t="s">
        <v>201</v>
      </c>
      <c r="D11" s="30">
        <f>IFERROR(IF(cfg_exact_domain_ok,IF(inp_group="はい",inp_f2_07,0),0),0)</f>
        <v>0</v>
      </c>
      <c r="E11" s="29" t="s">
        <v>309</v>
      </c>
    </row>
    <row r="12" spans="1:5" ht="37.950000000000003" customHeight="1">
      <c r="A12" s="28">
        <v>8</v>
      </c>
      <c r="B12" s="29" t="s">
        <v>407</v>
      </c>
      <c r="C12" s="29" t="s">
        <v>204</v>
      </c>
      <c r="D12" s="30">
        <f>IFERROR(IF(cfg_exact_domain_ok,IF(inp_group="はい",inp_f2_08,0),0),0)</f>
        <v>0</v>
      </c>
      <c r="E12" s="29" t="s">
        <v>309</v>
      </c>
    </row>
    <row r="13" spans="1:5" ht="37.950000000000003" customHeight="1">
      <c r="A13" s="28">
        <v>9</v>
      </c>
      <c r="B13" s="29" t="s">
        <v>408</v>
      </c>
      <c r="C13" s="29" t="s">
        <v>409</v>
      </c>
      <c r="D13" s="30">
        <f>IFERROR(IF(cfg_exact_domain_ok,IF(inp_group="はい",f2_26,0),0),0)</f>
        <v>0</v>
      </c>
      <c r="E13" s="29" t="s">
        <v>309</v>
      </c>
    </row>
    <row r="14" spans="1:5" ht="37.950000000000003" customHeight="1">
      <c r="A14" s="28">
        <v>10</v>
      </c>
      <c r="B14" s="29" t="s">
        <v>331</v>
      </c>
      <c r="C14" s="29" t="s">
        <v>410</v>
      </c>
      <c r="D14" s="30">
        <f>IFERROR(IF(cfg_exact_domain_ok,SUM(f2_06:f2_09),0),0)</f>
        <v>0</v>
      </c>
      <c r="E14" s="29" t="s">
        <v>411</v>
      </c>
    </row>
    <row r="15" spans="1:5" ht="37.950000000000003" customHeight="1">
      <c r="A15" s="28">
        <v>11</v>
      </c>
      <c r="B15" s="29" t="s">
        <v>406</v>
      </c>
      <c r="C15" s="29" t="s">
        <v>201</v>
      </c>
      <c r="D15" s="30">
        <f>IFERROR(IF(cfg_exact_domain_ok,IF(inp_group="はい",inp_f2_07,0),0),0)</f>
        <v>0</v>
      </c>
      <c r="E15" s="29" t="s">
        <v>412</v>
      </c>
    </row>
    <row r="16" spans="1:5" ht="37.950000000000003" customHeight="1">
      <c r="A16" s="28">
        <v>12</v>
      </c>
      <c r="B16" s="29" t="s">
        <v>413</v>
      </c>
      <c r="C16" s="29" t="s">
        <v>207</v>
      </c>
      <c r="D16" s="30">
        <f>IFERROR(IF(cfg_exact_domain_ok,IF(inp_group="はい",inp_f2_12,0),0),0)</f>
        <v>0</v>
      </c>
      <c r="E16" s="29" t="s">
        <v>309</v>
      </c>
    </row>
    <row r="17" spans="1:5" ht="37.950000000000003" customHeight="1">
      <c r="A17" s="28">
        <v>13</v>
      </c>
      <c r="B17" s="29" t="s">
        <v>377</v>
      </c>
      <c r="C17" s="29" t="s">
        <v>414</v>
      </c>
      <c r="D17" s="30">
        <f>IFERROR(IF(cfg_exact_domain_ok,SUM(f2_11:f2_12),0),0)</f>
        <v>0</v>
      </c>
      <c r="E17" s="29" t="s">
        <v>415</v>
      </c>
    </row>
    <row r="18" spans="1:5" ht="37.950000000000003" customHeight="1">
      <c r="A18" s="28">
        <v>14</v>
      </c>
      <c r="B18" s="29" t="s">
        <v>400</v>
      </c>
      <c r="C18" s="29" t="s">
        <v>190</v>
      </c>
      <c r="D18" s="30">
        <f>IFERROR(IF(cfg_exact_domain_ok,IF(inp_group="はい",inp_f2_02,0),0),0)</f>
        <v>0</v>
      </c>
      <c r="E18" s="29" t="s">
        <v>416</v>
      </c>
    </row>
    <row r="19" spans="1:5" ht="37.950000000000003" customHeight="1">
      <c r="A19" s="28">
        <v>15</v>
      </c>
      <c r="B19" s="29" t="s">
        <v>417</v>
      </c>
      <c r="C19" s="29" t="s">
        <v>210</v>
      </c>
      <c r="D19" s="30">
        <f>IFERROR(IF(cfg_exact_domain_ok,IF(inp_group="はい",inp_f2_15,0),0),0)</f>
        <v>0</v>
      </c>
      <c r="E19" s="29" t="s">
        <v>309</v>
      </c>
    </row>
    <row r="20" spans="1:5" ht="37.950000000000003" customHeight="1">
      <c r="A20" s="28">
        <v>16</v>
      </c>
      <c r="B20" s="29" t="s">
        <v>418</v>
      </c>
      <c r="C20" s="29" t="s">
        <v>213</v>
      </c>
      <c r="D20" s="30">
        <f>IFERROR(IF(cfg_exact_domain_ok,IF(inp_group="はい",inp_f2_16,0),0),0)</f>
        <v>0</v>
      </c>
      <c r="E20" s="29" t="s">
        <v>309</v>
      </c>
    </row>
    <row r="21" spans="1:5" ht="37.950000000000003" customHeight="1">
      <c r="A21" s="28">
        <v>17</v>
      </c>
      <c r="B21" s="29" t="s">
        <v>379</v>
      </c>
      <c r="C21" s="29" t="s">
        <v>419</v>
      </c>
      <c r="D21" s="30">
        <f>IFERROR(IF(cfg_exact_domain_ok,SUM(f2_14:f2_16),0),0)</f>
        <v>0</v>
      </c>
      <c r="E21" s="29" t="s">
        <v>415</v>
      </c>
    </row>
    <row r="22" spans="1:5" ht="37.950000000000003" customHeight="1">
      <c r="A22" s="28">
        <v>18</v>
      </c>
      <c r="B22" s="29" t="s">
        <v>420</v>
      </c>
      <c r="C22" s="29" t="s">
        <v>421</v>
      </c>
      <c r="D22" s="30">
        <f>IFERROR(IF(cfg_exact_domain_ok,f2_08,0),0)</f>
        <v>0</v>
      </c>
      <c r="E22" s="29" t="s">
        <v>309</v>
      </c>
    </row>
    <row r="23" spans="1:5" ht="37.950000000000003" customHeight="1">
      <c r="A23" s="28">
        <v>19</v>
      </c>
      <c r="B23" s="29" t="s">
        <v>422</v>
      </c>
      <c r="C23" s="29" t="s">
        <v>423</v>
      </c>
      <c r="D23" s="30">
        <f>IFERROR(IF(cfg_exact_domain_ok,MAX(f2_18-f2_04,0),0),0)</f>
        <v>0</v>
      </c>
      <c r="E23" s="29" t="s">
        <v>309</v>
      </c>
    </row>
    <row r="24" spans="1:5" ht="37.950000000000003" customHeight="1">
      <c r="A24" s="28">
        <v>20</v>
      </c>
      <c r="B24" s="29" t="s">
        <v>424</v>
      </c>
      <c r="C24" s="29" t="s">
        <v>425</v>
      </c>
      <c r="D24" s="30">
        <f>IFERROR(IF(cfg_exact_domain_ok,MIN(f2_03,f2_19),0),0)</f>
        <v>0</v>
      </c>
      <c r="E24" s="29" t="s">
        <v>309</v>
      </c>
    </row>
    <row r="25" spans="1:5" ht="37.950000000000003" customHeight="1">
      <c r="A25" s="28">
        <v>21</v>
      </c>
      <c r="B25" s="29" t="s">
        <v>426</v>
      </c>
      <c r="C25" s="29" t="s">
        <v>216</v>
      </c>
      <c r="D25" s="30">
        <f>IFERROR(IF(cfg_exact_domain_ok,IF(inp_group="はい",inp_f2_21,0)-f2_20,0),0)</f>
        <v>0</v>
      </c>
      <c r="E25" s="29" t="s">
        <v>218</v>
      </c>
    </row>
    <row r="26" spans="1:5" ht="37.950000000000003" customHeight="1">
      <c r="A26" s="28">
        <v>22</v>
      </c>
      <c r="B26" s="29" t="s">
        <v>427</v>
      </c>
      <c r="C26" s="29" t="s">
        <v>428</v>
      </c>
      <c r="D26" s="30">
        <f>IFERROR(IF(cfg_exact_domain_ok,MAX(f2_04-f2_18,0),0),0)</f>
        <v>0</v>
      </c>
      <c r="E26" s="29" t="s">
        <v>309</v>
      </c>
    </row>
    <row r="27" spans="1:5" ht="37.950000000000003" customHeight="1">
      <c r="A27" s="28">
        <v>23</v>
      </c>
      <c r="B27" s="29" t="s">
        <v>429</v>
      </c>
      <c r="C27" s="29" t="s">
        <v>220</v>
      </c>
      <c r="D27" s="30">
        <f>IFERROR(IF(cfg_exact_domain_ok,IF(inp_group="はい",inp_f2_23,0)-f2_22,0),0)</f>
        <v>0</v>
      </c>
      <c r="E27" s="29" t="s">
        <v>222</v>
      </c>
    </row>
    <row r="28" spans="1:5" ht="37.950000000000003" customHeight="1">
      <c r="A28" s="28">
        <v>24</v>
      </c>
      <c r="B28" s="29" t="s">
        <v>430</v>
      </c>
      <c r="C28" s="29" t="s">
        <v>431</v>
      </c>
      <c r="D28" s="33">
        <f>IFERROR(IF(cfg_exact_domain_ok,IF(f2_22+f2_23=0,0,f2_22/(f2_22+f2_23)),0),0)</f>
        <v>0</v>
      </c>
      <c r="E28" s="29" t="s">
        <v>432</v>
      </c>
    </row>
    <row r="29" spans="1:5" ht="37.950000000000003" customHeight="1">
      <c r="A29" s="28">
        <v>25</v>
      </c>
      <c r="B29" s="29" t="s">
        <v>433</v>
      </c>
      <c r="C29" s="29" t="s">
        <v>434</v>
      </c>
      <c r="D29" s="30">
        <f>IFERROR(IF(cfg_exact_domain_ok,MAX(f2_03-f2_19,0),0),0)</f>
        <v>0</v>
      </c>
      <c r="E29" s="29" t="s">
        <v>309</v>
      </c>
    </row>
    <row r="30" spans="1:5" ht="37.950000000000003" customHeight="1">
      <c r="A30" s="28">
        <v>26</v>
      </c>
      <c r="B30" s="29" t="s">
        <v>408</v>
      </c>
      <c r="C30" s="29" t="s">
        <v>435</v>
      </c>
      <c r="D30" s="30">
        <f>IFERROR(IF(cfg_exact_domain_ok,IF(f2_22+f2_23=0,f2_25,exact_r5_f2_26_ratio_q+f2_25),0),0)</f>
        <v>0</v>
      </c>
      <c r="E30" s="29" t="s">
        <v>436</v>
      </c>
    </row>
  </sheetData>
  <sheetProtection sheet="1" objects="1" scenarios="1"/>
  <mergeCells count="2">
    <mergeCell ref="A1:E1"/>
    <mergeCell ref="A2:E2"/>
  </mergeCells>
  <phoneticPr fontId="3"/>
  <pageMargins left="0.7" right="0.7" top="0.75" bottom="0.75" header="0.3" footer="0.3"/>
  <pageSetup paperSize="9" fitToHeight="99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FA36-F434-4A9F-9F0A-48582E63A027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1" width="8.296875" customWidth="1"/>
    <col min="12" max="12" width="7.796875" customWidth="1"/>
  </cols>
  <sheetData>
    <row r="1" ht="280.64999999999998" customHeight="1"/>
    <row r="2" ht="280.64999999999998" customHeight="1"/>
    <row r="3" ht="280.64999999999998" customHeight="1"/>
  </sheetData>
  <sheetProtection sheet="1" objects="1" scenarios="1"/>
  <phoneticPr fontId="3"/>
  <printOptions horizontalCentered="1" verticalCentered="1"/>
  <pageMargins left="0" right="0" top="0" bottom="0" header="0" footer="0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CBFC-7722-4AB7-88D4-858A33F252EC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1" width="8.296875" customWidth="1"/>
    <col min="12" max="12" width="7.796875" customWidth="1"/>
  </cols>
  <sheetData>
    <row r="1" ht="280.64999999999998" customHeight="1"/>
    <row r="2" ht="280.64999999999998" customHeight="1"/>
    <row r="3" ht="280.64999999999998" customHeight="1"/>
  </sheetData>
  <sheetProtection sheet="1" objects="1" scenarios="1"/>
  <phoneticPr fontId="3"/>
  <printOptions horizontalCentered="1" verticalCentered="1"/>
  <pageMargins left="0" right="0" top="0" bottom="0" header="0" footer="0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70EE-EB66-4585-9117-A64F81F8B4FC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1" width="8.296875" customWidth="1"/>
    <col min="12" max="12" width="7.796875" customWidth="1"/>
  </cols>
  <sheetData>
    <row r="1" ht="280.64999999999998" customHeight="1"/>
    <row r="2" ht="280.64999999999998" customHeight="1"/>
    <row r="3" ht="280.64999999999998" customHeight="1"/>
  </sheetData>
  <sheetProtection sheet="1" objects="1" scenarios="1"/>
  <phoneticPr fontId="3"/>
  <printOptions horizontalCentered="1" verticalCentered="1"/>
  <pageMargins left="0" right="0" top="0" bottom="0" header="0" footer="0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E49E-968D-4656-A1DC-969AE9375E56}">
  <sheetPr>
    <tabColor rgb="FFC00000"/>
    <pageSetUpPr fitToPage="1"/>
  </sheetPr>
  <dimension ref="A1:D36"/>
  <sheetViews>
    <sheetView showGridLines="0" zoomScale="90" zoomScaleNormal="90" workbookViewId="0">
      <pane ySplit="3" topLeftCell="A4" activePane="bottomLeft" state="frozenSplit"/>
      <selection pane="bottomLeft" sqref="A1:D1"/>
    </sheetView>
  </sheetViews>
  <sheetFormatPr defaultRowHeight="18"/>
  <cols>
    <col min="1" max="1" width="36.69921875" customWidth="1"/>
    <col min="2" max="3" width="32.69921875" customWidth="1"/>
    <col min="4" max="4" width="12.69921875" customWidth="1"/>
  </cols>
  <sheetData>
    <row r="1" spans="1:4">
      <c r="A1" s="49" t="s">
        <v>537</v>
      </c>
      <c r="B1" s="35"/>
      <c r="C1" s="35"/>
      <c r="D1" s="35"/>
    </row>
    <row r="2" spans="1:4">
      <c r="A2" s="50"/>
      <c r="B2" s="50"/>
      <c r="C2" s="50"/>
      <c r="D2" s="50"/>
    </row>
    <row r="3" spans="1:4">
      <c r="A3" s="51" t="s">
        <v>538</v>
      </c>
      <c r="B3" s="51" t="s">
        <v>539</v>
      </c>
      <c r="C3" s="51" t="s">
        <v>540</v>
      </c>
      <c r="D3" s="51" t="s">
        <v>541</v>
      </c>
    </row>
    <row r="4" spans="1:4">
      <c r="A4" s="17" t="s">
        <v>542</v>
      </c>
      <c r="B4" s="17" t="s">
        <v>543</v>
      </c>
      <c r="C4" s="17" t="s">
        <v>544</v>
      </c>
      <c r="D4" s="52" t="s">
        <v>545</v>
      </c>
    </row>
    <row r="5" spans="1:4">
      <c r="A5" s="17" t="s">
        <v>546</v>
      </c>
      <c r="B5" s="17" t="s">
        <v>547</v>
      </c>
      <c r="C5" s="17" t="s">
        <v>547</v>
      </c>
      <c r="D5" s="52" t="s">
        <v>545</v>
      </c>
    </row>
    <row r="6" spans="1:4">
      <c r="A6" s="17" t="s">
        <v>548</v>
      </c>
      <c r="B6" s="17" t="s">
        <v>549</v>
      </c>
      <c r="C6" s="17" t="s">
        <v>549</v>
      </c>
      <c r="D6" s="52" t="s">
        <v>545</v>
      </c>
    </row>
    <row r="7" spans="1:4">
      <c r="A7" s="17" t="s">
        <v>550</v>
      </c>
      <c r="B7" s="17" t="s">
        <v>551</v>
      </c>
      <c r="C7" s="17" t="s">
        <v>551</v>
      </c>
      <c r="D7" s="52" t="s">
        <v>545</v>
      </c>
    </row>
    <row r="8" spans="1:4">
      <c r="A8" s="17" t="s">
        <v>552</v>
      </c>
      <c r="B8" s="17" t="s">
        <v>551</v>
      </c>
      <c r="C8" s="17" t="s">
        <v>551</v>
      </c>
      <c r="D8" s="52" t="s">
        <v>545</v>
      </c>
    </row>
    <row r="9" spans="1:4">
      <c r="A9" s="17" t="s">
        <v>553</v>
      </c>
      <c r="B9" s="17" t="s">
        <v>551</v>
      </c>
      <c r="C9" s="17" t="s">
        <v>551</v>
      </c>
      <c r="D9" s="52" t="s">
        <v>545</v>
      </c>
    </row>
    <row r="10" spans="1:4">
      <c r="A10" s="17" t="s">
        <v>554</v>
      </c>
      <c r="B10" s="17" t="s">
        <v>555</v>
      </c>
      <c r="C10" s="17" t="s">
        <v>555</v>
      </c>
      <c r="D10" s="52" t="s">
        <v>545</v>
      </c>
    </row>
    <row r="11" spans="1:4">
      <c r="A11" s="17" t="s">
        <v>556</v>
      </c>
      <c r="B11" s="17" t="s">
        <v>557</v>
      </c>
      <c r="C11" s="17" t="s">
        <v>558</v>
      </c>
      <c r="D11" s="52" t="s">
        <v>545</v>
      </c>
    </row>
    <row r="12" spans="1:4">
      <c r="A12" s="17" t="s">
        <v>559</v>
      </c>
      <c r="B12" s="17" t="s">
        <v>557</v>
      </c>
      <c r="C12" s="17" t="s">
        <v>558</v>
      </c>
      <c r="D12" s="52" t="s">
        <v>545</v>
      </c>
    </row>
    <row r="13" spans="1:4">
      <c r="A13" s="17" t="s">
        <v>560</v>
      </c>
      <c r="B13" s="17" t="s">
        <v>557</v>
      </c>
      <c r="C13" s="17" t="s">
        <v>558</v>
      </c>
      <c r="D13" s="52" t="s">
        <v>545</v>
      </c>
    </row>
    <row r="14" spans="1:4" ht="36">
      <c r="A14" s="17" t="s">
        <v>561</v>
      </c>
      <c r="B14" s="17" t="s">
        <v>562</v>
      </c>
      <c r="C14" s="17" t="s">
        <v>563</v>
      </c>
      <c r="D14" s="52" t="s">
        <v>545</v>
      </c>
    </row>
    <row r="15" spans="1:4">
      <c r="A15" s="17" t="s">
        <v>564</v>
      </c>
      <c r="B15" s="17" t="s">
        <v>565</v>
      </c>
      <c r="C15" s="17" t="s">
        <v>565</v>
      </c>
      <c r="D15" s="52" t="s">
        <v>545</v>
      </c>
    </row>
    <row r="16" spans="1:4">
      <c r="A16" s="17" t="s">
        <v>566</v>
      </c>
      <c r="B16" s="17" t="s">
        <v>567</v>
      </c>
      <c r="C16" s="17" t="s">
        <v>568</v>
      </c>
      <c r="D16" s="52" t="s">
        <v>545</v>
      </c>
    </row>
    <row r="17" spans="1:4">
      <c r="A17" s="17" t="s">
        <v>569</v>
      </c>
      <c r="B17" s="17">
        <v>94847765582067</v>
      </c>
      <c r="C17" s="17">
        <v>94847765582067</v>
      </c>
      <c r="D17" s="52" t="s">
        <v>545</v>
      </c>
    </row>
    <row r="18" spans="1:4">
      <c r="A18" s="17" t="s">
        <v>570</v>
      </c>
      <c r="B18" s="17" t="s">
        <v>571</v>
      </c>
      <c r="C18" s="17" t="s">
        <v>572</v>
      </c>
      <c r="D18" s="52" t="s">
        <v>545</v>
      </c>
    </row>
    <row r="19" spans="1:4">
      <c r="A19" s="17" t="s">
        <v>573</v>
      </c>
      <c r="B19" s="17" t="s">
        <v>574</v>
      </c>
      <c r="C19" s="17" t="s">
        <v>575</v>
      </c>
      <c r="D19" s="52" t="s">
        <v>545</v>
      </c>
    </row>
    <row r="20" spans="1:4">
      <c r="A20" s="17" t="s">
        <v>576</v>
      </c>
      <c r="B20" s="17" t="s">
        <v>577</v>
      </c>
      <c r="C20" s="17" t="s">
        <v>577</v>
      </c>
      <c r="D20" s="52" t="s">
        <v>545</v>
      </c>
    </row>
    <row r="21" spans="1:4">
      <c r="A21" s="17" t="s">
        <v>578</v>
      </c>
      <c r="B21" s="17">
        <v>135625407013</v>
      </c>
      <c r="C21" s="17">
        <v>135625407013</v>
      </c>
      <c r="D21" s="52" t="s">
        <v>545</v>
      </c>
    </row>
    <row r="22" spans="1:4">
      <c r="A22" s="17" t="s">
        <v>579</v>
      </c>
      <c r="B22" s="17" t="b">
        <v>1</v>
      </c>
      <c r="C22" s="17" t="b">
        <v>1</v>
      </c>
      <c r="D22" s="52" t="s">
        <v>545</v>
      </c>
    </row>
    <row r="23" spans="1:4">
      <c r="A23" s="17"/>
      <c r="B23" s="17"/>
      <c r="C23" s="17"/>
      <c r="D23" s="17"/>
    </row>
    <row r="24" spans="1:4" ht="22.95" customHeight="1">
      <c r="A24" s="53" t="s">
        <v>580</v>
      </c>
      <c r="B24" s="53"/>
      <c r="C24" s="53"/>
      <c r="D24" s="53"/>
    </row>
    <row r="25" spans="1:4">
      <c r="A25" s="17" t="s">
        <v>581</v>
      </c>
      <c r="B25" s="17">
        <v>0</v>
      </c>
      <c r="C25" s="17">
        <v>0</v>
      </c>
      <c r="D25" s="54" t="s">
        <v>545</v>
      </c>
    </row>
    <row r="26" spans="1:4">
      <c r="A26" s="17" t="s">
        <v>582</v>
      </c>
      <c r="B26" s="17">
        <v>28</v>
      </c>
      <c r="C26" s="17">
        <v>28</v>
      </c>
      <c r="D26" s="54" t="s">
        <v>545</v>
      </c>
    </row>
    <row r="27" spans="1:4">
      <c r="A27" s="17" t="s">
        <v>583</v>
      </c>
      <c r="B27" s="17">
        <v>33</v>
      </c>
      <c r="C27" s="17">
        <v>33</v>
      </c>
      <c r="D27" s="54" t="s">
        <v>545</v>
      </c>
    </row>
    <row r="28" spans="1:4">
      <c r="A28" s="17" t="s">
        <v>584</v>
      </c>
      <c r="B28" s="17">
        <v>26</v>
      </c>
      <c r="C28" s="17">
        <v>26</v>
      </c>
      <c r="D28" s="54" t="s">
        <v>545</v>
      </c>
    </row>
    <row r="29" spans="1:4">
      <c r="A29" s="17" t="s">
        <v>585</v>
      </c>
      <c r="B29" s="17" t="b">
        <v>1</v>
      </c>
      <c r="C29" s="17" t="b">
        <v>1</v>
      </c>
      <c r="D29" s="54" t="s">
        <v>545</v>
      </c>
    </row>
    <row r="30" spans="1:4">
      <c r="A30" s="17" t="s">
        <v>586</v>
      </c>
      <c r="B30" s="17" t="b">
        <v>1</v>
      </c>
      <c r="C30" s="17" t="b">
        <v>1</v>
      </c>
      <c r="D30" s="54" t="s">
        <v>545</v>
      </c>
    </row>
    <row r="31" spans="1:4">
      <c r="A31" s="17" t="s">
        <v>587</v>
      </c>
      <c r="B31" s="17" t="b">
        <v>1</v>
      </c>
      <c r="C31" s="17" t="b">
        <v>1</v>
      </c>
      <c r="D31" s="54" t="s">
        <v>545</v>
      </c>
    </row>
    <row r="32" spans="1:4">
      <c r="A32" s="17" t="s">
        <v>588</v>
      </c>
      <c r="B32" s="17" t="b">
        <v>1</v>
      </c>
      <c r="C32" s="17" t="b">
        <v>1</v>
      </c>
      <c r="D32" s="54" t="s">
        <v>545</v>
      </c>
    </row>
    <row r="33" spans="1:4">
      <c r="A33" s="17" t="s">
        <v>462</v>
      </c>
      <c r="B33" s="17" t="b">
        <v>1</v>
      </c>
      <c r="C33" s="17" t="b">
        <v>1</v>
      </c>
      <c r="D33" s="54" t="s">
        <v>545</v>
      </c>
    </row>
    <row r="34" spans="1:4">
      <c r="A34" s="17"/>
      <c r="B34" s="17"/>
      <c r="C34" s="17"/>
      <c r="D34" s="17"/>
    </row>
    <row r="35" spans="1:4" ht="22.95" customHeight="1">
      <c r="A35" s="53" t="s">
        <v>589</v>
      </c>
      <c r="B35" s="53"/>
      <c r="C35" s="53"/>
      <c r="D35" s="53"/>
    </row>
    <row r="36" spans="1:4">
      <c r="A36" s="17" t="s">
        <v>590</v>
      </c>
      <c r="B36" s="17" t="s">
        <v>591</v>
      </c>
      <c r="C36" s="17" t="b">
        <f>cfg_f2_input_valid</f>
        <v>1</v>
      </c>
      <c r="D36" s="55" t="str">
        <f>IF(C36,"PASS","FAIL")</f>
        <v>PASS</v>
      </c>
    </row>
  </sheetData>
  <sheetProtection sheet="1" objects="1" scenarios="1"/>
  <mergeCells count="3">
    <mergeCell ref="A1:D1"/>
    <mergeCell ref="A24:D24"/>
    <mergeCell ref="A35:D35"/>
  </mergeCells>
  <phoneticPr fontId="3"/>
  <pageMargins left="0.7" right="0.7" top="0.75" bottom="0.75" header="0.3" footer="0.3"/>
  <pageSetup paperSize="9" fitToHeight="9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FBD6-9D02-4E66-926D-5DB0635D166C}">
  <sheetPr>
    <tabColor rgb="FFD9E1F2"/>
    <pageSetUpPr fitToPage="1"/>
  </sheetPr>
  <dimension ref="A1:E15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14.69921875" customWidth="1"/>
    <col min="2" max="2" width="38.69921875" customWidth="1"/>
    <col min="3" max="3" width="62.69921875" customWidth="1"/>
    <col min="4" max="4" width="68.69921875" customWidth="1"/>
    <col min="5" max="5" width="38.69921875" customWidth="1"/>
  </cols>
  <sheetData>
    <row r="1" spans="1:5" ht="26.4">
      <c r="A1" s="5" t="s">
        <v>494</v>
      </c>
      <c r="B1" s="6"/>
      <c r="C1" s="6"/>
      <c r="D1" s="6"/>
      <c r="E1" s="6"/>
    </row>
    <row r="2" spans="1:5">
      <c r="A2" s="8"/>
      <c r="B2" s="8"/>
      <c r="C2" s="8"/>
      <c r="D2" s="8"/>
      <c r="E2" s="8"/>
    </row>
    <row r="3" spans="1:5">
      <c r="A3" s="16" t="s">
        <v>495</v>
      </c>
      <c r="B3" s="16" t="s">
        <v>496</v>
      </c>
      <c r="C3" s="16" t="s">
        <v>497</v>
      </c>
      <c r="D3" s="16" t="s">
        <v>498</v>
      </c>
      <c r="E3" s="16" t="s">
        <v>499</v>
      </c>
    </row>
    <row r="4" spans="1:5" ht="42" customHeight="1">
      <c r="A4" s="12" t="s">
        <v>500</v>
      </c>
      <c r="B4" s="17" t="s">
        <v>501</v>
      </c>
      <c r="C4" s="48" t="s">
        <v>502</v>
      </c>
      <c r="D4" s="17"/>
      <c r="E4" s="17" t="s">
        <v>503</v>
      </c>
    </row>
    <row r="5" spans="1:5" ht="42" customHeight="1">
      <c r="A5" s="12" t="s">
        <v>500</v>
      </c>
      <c r="B5" s="17" t="s">
        <v>504</v>
      </c>
      <c r="C5" s="48" t="s">
        <v>505</v>
      </c>
      <c r="D5" s="17" t="s">
        <v>506</v>
      </c>
      <c r="E5" s="17" t="s">
        <v>507</v>
      </c>
    </row>
    <row r="6" spans="1:5" ht="42" customHeight="1">
      <c r="A6" s="12" t="s">
        <v>500</v>
      </c>
      <c r="B6" s="17" t="s">
        <v>508</v>
      </c>
      <c r="C6" s="48" t="s">
        <v>509</v>
      </c>
      <c r="D6" s="17" t="s">
        <v>510</v>
      </c>
      <c r="E6" s="17" t="s">
        <v>507</v>
      </c>
    </row>
    <row r="7" spans="1:5" ht="42" customHeight="1">
      <c r="A7" s="12" t="s">
        <v>500</v>
      </c>
      <c r="B7" s="17" t="s">
        <v>511</v>
      </c>
      <c r="C7" s="48" t="s">
        <v>512</v>
      </c>
      <c r="D7" s="17" t="s">
        <v>513</v>
      </c>
      <c r="E7" s="17" t="s">
        <v>507</v>
      </c>
    </row>
    <row r="8" spans="1:5" ht="42" customHeight="1">
      <c r="A8" s="12" t="s">
        <v>500</v>
      </c>
      <c r="B8" s="17" t="s">
        <v>514</v>
      </c>
      <c r="C8" s="48" t="s">
        <v>515</v>
      </c>
      <c r="D8" s="17" t="s">
        <v>516</v>
      </c>
      <c r="E8" s="17" t="s">
        <v>507</v>
      </c>
    </row>
    <row r="9" spans="1:5" ht="42" customHeight="1">
      <c r="A9" s="12" t="s">
        <v>500</v>
      </c>
      <c r="B9" s="17" t="s">
        <v>517</v>
      </c>
      <c r="C9" s="48" t="s">
        <v>518</v>
      </c>
      <c r="D9" s="17" t="s">
        <v>519</v>
      </c>
      <c r="E9" s="17" t="s">
        <v>507</v>
      </c>
    </row>
    <row r="10" spans="1:5" ht="42" customHeight="1">
      <c r="A10" s="12" t="s">
        <v>500</v>
      </c>
      <c r="B10" s="17" t="s">
        <v>520</v>
      </c>
      <c r="C10" s="48" t="s">
        <v>521</v>
      </c>
      <c r="D10" s="17" t="s">
        <v>522</v>
      </c>
      <c r="E10" s="17" t="s">
        <v>507</v>
      </c>
    </row>
    <row r="11" spans="1:5" ht="42" customHeight="1">
      <c r="A11" s="12" t="s">
        <v>500</v>
      </c>
      <c r="B11" s="17" t="s">
        <v>523</v>
      </c>
      <c r="C11" s="48" t="s">
        <v>524</v>
      </c>
      <c r="D11" s="17"/>
      <c r="E11" s="17" t="s">
        <v>525</v>
      </c>
    </row>
    <row r="12" spans="1:5" ht="42" customHeight="1">
      <c r="A12" s="12" t="s">
        <v>526</v>
      </c>
      <c r="B12" s="17" t="s">
        <v>527</v>
      </c>
      <c r="C12" s="48" t="s">
        <v>528</v>
      </c>
      <c r="D12" s="17"/>
      <c r="E12" s="17" t="s">
        <v>529</v>
      </c>
    </row>
    <row r="13" spans="1:5" ht="42" customHeight="1">
      <c r="A13" s="12" t="s">
        <v>526</v>
      </c>
      <c r="B13" s="17" t="s">
        <v>530</v>
      </c>
      <c r="C13" s="48" t="s">
        <v>531</v>
      </c>
      <c r="D13" s="17"/>
      <c r="E13" s="17" t="s">
        <v>532</v>
      </c>
    </row>
    <row r="14" spans="1:5">
      <c r="A14" s="12"/>
      <c r="B14" s="12"/>
      <c r="C14" s="12"/>
      <c r="D14" s="12"/>
      <c r="E14" s="12"/>
    </row>
    <row r="15" spans="1:5">
      <c r="A15" s="12" t="s">
        <v>533</v>
      </c>
      <c r="B15" s="11" t="s">
        <v>534</v>
      </c>
      <c r="C15" s="11"/>
      <c r="D15" s="11"/>
      <c r="E15" s="11"/>
    </row>
  </sheetData>
  <sheetProtection sheet="1" objects="1" scenarios="1"/>
  <mergeCells count="2">
    <mergeCell ref="A1:E1"/>
    <mergeCell ref="B15:E15"/>
  </mergeCells>
  <phoneticPr fontId="3"/>
  <hyperlinks>
    <hyperlink ref="C4" r:id="rId1" tooltip="https://www.nta.go.jp/taxes/tetsuzuki/shinsei/annai/hojin/shinkoku/itiran2023/01.htm" xr:uid="{2E4F7489-E0E1-40EE-A443-93AC892AF4DE}"/>
    <hyperlink ref="C5" r:id="rId2" tooltip="https://www.nta.go.jp/taxes/tetsuzuki/shinsei/annai/hojin/shinkoku/itiran2023/pdf/03%2801%29.pdf" xr:uid="{F66FF71F-EA41-49B6-98DE-4660DEEA4FB3}"/>
    <hyperlink ref="C6" r:id="rId3" tooltip="https://www.nta.go.jp/taxes/tetsuzuki/shinsei/annai/hojin/shinkoku/itiran2023/pdf/03%2801%29-ki.pdf" xr:uid="{0784772A-2B08-4B59-9A5E-60B2784BE071}"/>
    <hyperlink ref="C7" r:id="rId4" tooltip="https://www.nta.go.jp/taxes/tetsuzuki/shinsei/annai/hojin/shinkoku/itiran2023/pdf/03%2801%29-f1.pdf" xr:uid="{29E3FDF6-BF90-4A4E-BB1C-B1723E197D15}"/>
    <hyperlink ref="C8" r:id="rId5" tooltip="https://www.nta.go.jp/taxes/tetsuzuki/shinsei/annai/hojin/shinkoku/itiran2023/pdf/03%2801%29-f1-ki.pdf" xr:uid="{FE6245E7-34F2-442B-9F5E-A0F33A3FBA65}"/>
    <hyperlink ref="C9" r:id="rId6" tooltip="https://www.nta.go.jp/taxes/tetsuzuki/shinsei/annai/hojin/shinkoku/itiran2023/pdf/03%2801%29-f2.pdf" xr:uid="{1F88B0BD-5F64-4ADF-9B35-2BEF48F1B1A0}"/>
    <hyperlink ref="C10" r:id="rId7" tooltip="https://www.nta.go.jp/taxes/tetsuzuki/shinsei/annai/hojin/shinkoku/itiran2023/pdf/03%2801%29-f2-ki.pdf" xr:uid="{42D24CCC-E897-4965-8AB7-3BE2AE4F34DB}"/>
    <hyperlink ref="C11" r:id="rId8" tooltip="https://www.nta.go.jp/law/tsutatsu/kihon/hojin/16/16_01_02.htm" xr:uid="{6B5B0606-F4FB-4FDF-9034-0E3B66BBBDED}"/>
    <hyperlink ref="C12" r:id="rId9" location="Mp-At_67" tooltip="https://laws.e-gov.go.jp/law/340AC0000000034#Mp-At_67" xr:uid="{72E675AB-9718-4932-AAAF-B67472550E93}"/>
    <hyperlink ref="C13" r:id="rId10" location="Mp-At_10" tooltip="https://laws.e-gov.go.jp/law/337AC0000000066#Mp-At_10" xr:uid="{BEF7153B-9788-426A-BA23-77FAEBE58253}"/>
  </hyperlinks>
  <pageMargins left="0.7" right="0.7" top="0.75" bottom="0.75" header="0.3" footer="0.3"/>
  <pageSetup paperSize="9" fitToHeight="999" orientation="landscape" r:id="rId1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32AE-C2B8-4687-9608-FC833DE64A38}">
  <dimension ref="A1:E37"/>
  <sheetViews>
    <sheetView workbookViewId="0"/>
  </sheetViews>
  <sheetFormatPr defaultRowHeight="18"/>
  <sheetData>
    <row r="1" spans="1:5">
      <c r="A1" t="str">
        <f>IFERROR(IF(cfg_calculation_ready,IF(inp_corp="","",inp_corp),""),"")</f>
        <v/>
      </c>
    </row>
    <row r="2" spans="1:5">
      <c r="A2" t="str">
        <f>IFERROR(IF(cfg_calculation_ready,IF(OR(inp_start="",inp_end=""),"",TEXT(inp_start,"yyyy.m.d")&amp;CHAR(10)&amp;TEXT(inp_end,"yyyy.m.d")),""),"")</f>
        <v/>
      </c>
    </row>
    <row r="5" spans="1:5">
      <c r="A5" t="str">
        <f>IFERROR(IF(cfg_calculation_ready,IF(m_01=0,"",TEXT(m_01/1000,"#,##0;-#,##0")),""),"")</f>
        <v/>
      </c>
      <c r="B5" t="str">
        <f>IFERROR(IF(cfg_calculation_ready,IF(inp_m9_inner=0,"",TEXT(inp_m9_inner,"#,##0;-#,##0")),""),"")</f>
        <v/>
      </c>
      <c r="C5" t="str">
        <f>IFERROR(IF(cfg_calculation_ready,IF(f1_01=0,"",TEXT(f1_01,"#,##0;-#,##0")),""),"")</f>
        <v/>
      </c>
      <c r="E5" t="str">
        <f>IFERROR(IF(cfg_calculation_ready,IF(f2_01=0,"",TEXT(f2_01,"#,##0;-#,##0")),""),"")</f>
        <v/>
      </c>
    </row>
    <row r="6" spans="1:5">
      <c r="A6" t="str">
        <f>IFERROR(IF(cfg_calculation_ready,IF(m_02=0,"",TEXT(m_02/1000,"#,##0;-#,##0")),""),"")</f>
        <v/>
      </c>
      <c r="C6" t="str">
        <f>IFERROR(IF(cfg_calculation_ready,IF(f1_02=0,"",TEXT(f1_02,"#,##0;-#,##0")),""),"")</f>
        <v/>
      </c>
      <c r="E6" t="str">
        <f>IFERROR(IF(cfg_calculation_ready,IF(f2_02=0,"",TEXT(f2_02,"#,##0;-#,##0")),""),"")</f>
        <v/>
      </c>
    </row>
    <row r="7" spans="1:5">
      <c r="A7" t="str">
        <f>IFERROR(IF(cfg_calculation_ready,IF(m_03=0,"",TEXT(m_03/1000,"#,##0;-#,##0")),""),"")</f>
        <v/>
      </c>
      <c r="C7" t="str">
        <f>IFERROR(IF(cfg_calculation_ready,IF(f1_03=0,"",TEXT(f1_03,"#,##0;-#,##0")),""),"")</f>
        <v/>
      </c>
      <c r="E7" t="str">
        <f>IFERROR(IF(cfg_calculation_ready,IF(f2_03=0,"",TEXT(f2_03,"#,##0;-#,##0")),""),"")</f>
        <v/>
      </c>
    </row>
    <row r="8" spans="1:5">
      <c r="A8" t="str">
        <f>IFERROR(IF(cfg_calculation_ready,IF(m_04=0,"",TEXT(m_04/1000,"#,##0;-#,##0")),""),"")</f>
        <v/>
      </c>
      <c r="C8" t="str">
        <f>IFERROR(IF(cfg_calculation_ready,IF(f1_04=0,"",TEXT(f1_04,"#,##0;-#,##0")),""),"")</f>
        <v/>
      </c>
      <c r="E8" t="str">
        <f>IFERROR(IF(cfg_calculation_ready,IF(f2_04=0,"",TEXT(f2_04,"#,##0;-#,##0")),""),"")</f>
        <v/>
      </c>
    </row>
    <row r="9" spans="1:5">
      <c r="A9" t="str">
        <f>IFERROR(IF(cfg_calculation_ready,IF(m_05=0,"",TEXT(m_05,"#,##0;-#,##0")),""),"")</f>
        <v/>
      </c>
      <c r="C9" t="str">
        <f>IFERROR(IF(cfg_calculation_ready,IF(f1_05=0,"",TEXT(f1_05,"#,##0;-#,##0")),""),"")</f>
        <v/>
      </c>
      <c r="E9" t="str">
        <f>IFERROR(IF(cfg_calculation_ready,IF(f2_05=0,"",TEXT(f2_05,"#,##0;-#,##0")),""),"")</f>
        <v/>
      </c>
    </row>
    <row r="10" spans="1:5">
      <c r="A10" t="str">
        <f>IFERROR(IF(cfg_calculation_ready,IF(m_06=0,"",TEXT(m_06,"#,##0;-#,##0")),""),"")</f>
        <v/>
      </c>
      <c r="C10" t="str">
        <f>IFERROR(IF(cfg_calculation_ready,IF(f1_06=0,"",TEXT(f1_06,"#,##0;-#,##0")),""),"")</f>
        <v/>
      </c>
      <c r="E10" t="str">
        <f>IFERROR(IF(cfg_calculation_ready,IF(f2_06=0,"",TEXT(f2_06,"#,##0;-#,##0")),""),"")</f>
        <v/>
      </c>
    </row>
    <row r="11" spans="1:5">
      <c r="A11" t="str">
        <f>IFERROR(IF(cfg_calculation_ready,IF(m_07=0,"",TEXT(m_07,"#,##0;-#,##0")),""),"")</f>
        <v/>
      </c>
      <c r="C11" t="str">
        <f>IFERROR(IF(cfg_calculation_ready,IF(f1_07=0,"",TEXT(f1_07,"#,##0;-#,##0")),""),"")</f>
        <v/>
      </c>
      <c r="E11" t="str">
        <f>IFERROR(IF(cfg_calculation_ready,IF(f2_07=0,"",TEXT(f2_07,"#,##0;-#,##0")),""),"")</f>
        <v/>
      </c>
    </row>
    <row r="12" spans="1:5">
      <c r="A12" t="str">
        <f>IFERROR(IF(cfg_calculation_ready,IF(m_08=0,"",TEXT(m_08,"#,##0;-#,##0")),""),"")</f>
        <v/>
      </c>
      <c r="C12" t="str">
        <f>IFERROR(IF(cfg_calculation_ready,IF(f1_08=0,"",TEXT(f1_08,"#,##0;-#,##0")),""),"")</f>
        <v/>
      </c>
      <c r="E12" t="str">
        <f>IFERROR(IF(cfg_calculation_ready,IF(f2_08=0,"",TEXT(f2_08,"#,##0;-#,##0")),""),"")</f>
        <v/>
      </c>
    </row>
    <row r="13" spans="1:5">
      <c r="A13" t="str">
        <f>IFERROR(IF(cfg_calculation_ready,IF(m_09=0,"",TEXT(m_09,"#,##0;-#,##0")),""),"")</f>
        <v/>
      </c>
      <c r="C13" t="str">
        <f>IFERROR(IF(cfg_calculation_ready,IF(f1_09=0,"",TEXT(f1_09,"#,##0;-#,##0")),""),"")</f>
        <v/>
      </c>
      <c r="E13" t="str">
        <f>IFERROR(IF(cfg_calculation_ready,IF(f2_09=0,"",TEXT(f2_09,"#,##0;-#,##0")),""),"")</f>
        <v/>
      </c>
    </row>
    <row r="14" spans="1:5">
      <c r="A14" t="str">
        <f>IFERROR(IF(cfg_calculation_ready,IF(m_10=0,"",TEXT(m_10,"#,##0;-#,##0")),""),"")</f>
        <v/>
      </c>
      <c r="C14" t="str">
        <f>IFERROR(IF(cfg_calculation_ready,IF(f1_10=0,"",TEXT(f1_10,"#,##0;-#,##0")),""),"")</f>
        <v/>
      </c>
      <c r="E14" t="str">
        <f>IFERROR(IF(cfg_calculation_ready,IF(f2_10=0,"",TEXT(f2_10,"#,##0;-#,##0")),""),"")</f>
        <v/>
      </c>
    </row>
    <row r="15" spans="1:5">
      <c r="A15" t="str">
        <f>IFERROR(IF(cfg_calculation_ready,IF(m_11=0,"",TEXT(m_11,"#,##0;-#,##0")),""),"")</f>
        <v/>
      </c>
      <c r="C15" t="str">
        <f>IFERROR(IF(cfg_calculation_ready,IF(f1_11=0,"",TEXT(f1_11,"#,##0;-#,##0")),""),"")</f>
        <v/>
      </c>
      <c r="E15" t="str">
        <f>IFERROR(IF(cfg_calculation_ready,IF(f2_11=0,"",TEXT(f2_11,"#,##0;-#,##0")),""),"")</f>
        <v/>
      </c>
    </row>
    <row r="16" spans="1:5">
      <c r="A16" t="str">
        <f>IFERROR(IF(cfg_calculation_ready,IF(m_12=0,"",TEXT(m_12,"#,##0;-#,##0")),""),"")</f>
        <v/>
      </c>
      <c r="C16" t="str">
        <f>IFERROR(IF(cfg_calculation_ready,IF(f1_12=0,"",TEXT(f1_12,"#,##0;-#,##0")),""),"")</f>
        <v/>
      </c>
      <c r="E16" t="str">
        <f>IFERROR(IF(cfg_calculation_ready,IF(f2_12=0,"",TEXT(f2_12,"#,##0;-#,##0")),""),"")</f>
        <v/>
      </c>
    </row>
    <row r="17" spans="1:5">
      <c r="A17" t="str">
        <f>IFERROR(IF(cfg_calculation_ready,IF(m_13=0,"",TEXT(m_13,"#,##0;-#,##0")),""),"")</f>
        <v/>
      </c>
      <c r="C17" t="str">
        <f>IFERROR(IF(cfg_calculation_ready,IF(f1_13=0,"",TEXT(f1_13,"#,##0;-#,##0")),""),"")</f>
        <v/>
      </c>
      <c r="E17" t="str">
        <f>IFERROR(IF(cfg_calculation_ready,IF(f2_13=0,"",TEXT(f2_13,"#,##0;-#,##0")),""),"")</f>
        <v/>
      </c>
    </row>
    <row r="18" spans="1:5">
      <c r="A18" t="str">
        <f>IFERROR(IF(cfg_calculation_ready,IF(m_14=0,"",TEXT(m_14,"#,##0;-#,##0")),""),"")</f>
        <v/>
      </c>
      <c r="C18" t="str">
        <f>IFERROR(IF(cfg_calculation_ready,IF(f1_14=0,"",TEXT(f1_14,"#,##0;-#,##0")),""),"")</f>
        <v/>
      </c>
      <c r="E18" t="str">
        <f>IFERROR(IF(cfg_calculation_ready,IF(f2_14=0,"",TEXT(f2_14,"#,##0;-#,##0")),""),"")</f>
        <v/>
      </c>
    </row>
    <row r="19" spans="1:5">
      <c r="A19" t="str">
        <f>IFERROR(IF(cfg_calculation_ready,IF(m_15=0,"",TEXT(m_15,"#,##0;-#,##0")),""),"")</f>
        <v/>
      </c>
      <c r="C19" t="str">
        <f>IFERROR(IF(cfg_calculation_ready,IF(f1_15=0,"",TEXT(f1_15,"#,##0;-#,##0")),""),"")</f>
        <v/>
      </c>
      <c r="E19" t="str">
        <f>IFERROR(IF(cfg_calculation_ready,IF(f2_15=0,"",TEXT(f2_15,"#,##0;-#,##0")),""),"")</f>
        <v/>
      </c>
    </row>
    <row r="20" spans="1:5">
      <c r="A20" t="str">
        <f>IFERROR(IF(cfg_calculation_ready,IF(m_16=0,"",TEXT(m_16,"#,##0;-#,##0")),""),"")</f>
        <v/>
      </c>
      <c r="C20" t="str">
        <f>IFERROR(IF(cfg_calculation_ready,IF(f1_16=0,"",TEXT(f1_16,"#,##0;-#,##0")),""),"")</f>
        <v/>
      </c>
      <c r="E20" t="str">
        <f>IFERROR(IF(cfg_calculation_ready,IF(f2_16=0,"",TEXT(f2_16,"#,##0;-#,##0")),""),"")</f>
        <v/>
      </c>
    </row>
    <row r="21" spans="1:5">
      <c r="A21" t="str">
        <f>IFERROR(IF(cfg_calculation_ready,IF(m_17=0,"",TEXT(m_17,"#,##0;-#,##0")),""),"")</f>
        <v/>
      </c>
      <c r="C21" t="str">
        <f>IFERROR(IF(cfg_calculation_ready,IF(f1_17=0,"",TEXT(f1_17,"#,##0;-#,##0")),""),"")</f>
        <v/>
      </c>
      <c r="E21" t="str">
        <f>IFERROR(IF(cfg_calculation_ready,IF(f2_17=0,"",TEXT(f2_17,"#,##0;-#,##0")),""),"")</f>
        <v/>
      </c>
    </row>
    <row r="22" spans="1:5">
      <c r="A22" t="str">
        <f>IFERROR(IF(cfg_calculation_ready,IF(m_18=0,"",TEXT(m_18,"#,##0;-#,##0")),""),"")</f>
        <v/>
      </c>
      <c r="C22" t="str">
        <f>IFERROR(IF(cfg_calculation_ready,IF(f1_18=0,"",TEXT(f1_18,"#,##0;-#,##0")),""),"")</f>
        <v/>
      </c>
      <c r="E22" t="str">
        <f>IFERROR(IF(cfg_calculation_ready,IF(f2_18=0,"",TEXT(f2_18,"#,##0;-#,##0")),""),"")</f>
        <v/>
      </c>
    </row>
    <row r="23" spans="1:5">
      <c r="A23" t="str">
        <f>IFERROR(IF(cfg_calculation_ready,IF(m_19=0,"",TEXT(m_19,"#,##0;-#,##0")),""),"")</f>
        <v/>
      </c>
      <c r="C23" t="str">
        <f>IFERROR(IF(cfg_calculation_ready,IF(f1_19=0,"",TEXT(f1_19,"#,##0;-#,##0")),""),"")</f>
        <v/>
      </c>
      <c r="E23" t="str">
        <f>IFERROR(IF(cfg_calculation_ready,IF(f2_19=0,"",TEXT(f2_19,"#,##0;-#,##0")),""),"")</f>
        <v/>
      </c>
    </row>
    <row r="24" spans="1:5">
      <c r="A24" t="str">
        <f>IFERROR(IF(cfg_calculation_ready,IF(m_20=0,"",TEXT(m_20,"#,##0;-#,##0")),""),"")</f>
        <v/>
      </c>
      <c r="C24" t="str">
        <f>IFERROR(IF(cfg_calculation_ready,IF(f1_20=0,"",TEXT(f1_20,"#,##0;-#,##0")),""),"")</f>
        <v/>
      </c>
      <c r="E24" t="str">
        <f>IFERROR(IF(cfg_calculation_ready,IF(f2_20=0,"",TEXT(f2_20,"#,##0;-#,##0")),""),"")</f>
        <v/>
      </c>
    </row>
    <row r="25" spans="1:5">
      <c r="A25" t="str">
        <f>IFERROR(IF(cfg_calculation_ready,IF(m_21=0,"",TEXT(m_21/1000,"#,##0;-#,##0")),""),"")</f>
        <v/>
      </c>
      <c r="C25" t="str">
        <f>IFERROR(IF(cfg_calculation_ready,IF(f1_21=0,"",TEXT(f1_21,"#,##0;-#,##0")),""),"")</f>
        <v/>
      </c>
      <c r="E25" t="str">
        <f>IFERROR(IF(cfg_calculation_ready,IF(f2_21=0,"",TEXT(f2_21,"#,##0;-#,##0")),""),"")</f>
        <v/>
      </c>
    </row>
    <row r="26" spans="1:5">
      <c r="A26" t="str">
        <f>IFERROR(IF(cfg_calculation_ready,IF(m_22=0,"",TEXT(m_22,"#,##0;-#,##0")),""),"")</f>
        <v/>
      </c>
      <c r="C26" t="str">
        <f>IFERROR(IF(cfg_calculation_ready,IF(f1_22=0,"",TEXT(f1_22,"#,##0;-#,##0")),""),"")</f>
        <v/>
      </c>
      <c r="E26" t="str">
        <f>IFERROR(IF(cfg_calculation_ready,IF(f2_22=0,"",TEXT(f2_22,"#,##0;-#,##0")),""),"")</f>
        <v/>
      </c>
    </row>
    <row r="27" spans="1:5">
      <c r="A27" t="str">
        <f>IFERROR(IF(cfg_calculation_ready,IF(m_23=0,"",TEXT(m_23,"#,##0;-#,##0")),""),"")</f>
        <v/>
      </c>
      <c r="C27" t="str">
        <f>IFERROR(IF(cfg_calculation_ready,IF(f1_23=0,"",TEXT(f1_23,"#,##0;-#,##0")),""),"")</f>
        <v/>
      </c>
      <c r="E27" t="str">
        <f>IFERROR(IF(cfg_calculation_ready,IF(f2_23=0,"",TEXT(f2_23,"#,##0;-#,##0")),""),"")</f>
        <v/>
      </c>
    </row>
    <row r="28" spans="1:5">
      <c r="A28" t="str">
        <f>IFERROR(IF(cfg_calculation_ready,IF(m_24=0,"",TEXT(m_24,"#,##0;-#,##0")),""),"")</f>
        <v/>
      </c>
      <c r="C28" t="str">
        <f>IFERROR(IF(cfg_calculation_ready,IF(f1_24=0,"",TEXT(f1_24,"#,##0;-#,##0")),""),"")</f>
        <v/>
      </c>
      <c r="E28" t="str">
        <f>IFERROR(IF(cfg_calculation_ready,IF(f2_24=0,"",TEXT(f2_24,"0.00000000")),""),"")</f>
        <v/>
      </c>
    </row>
    <row r="29" spans="1:5">
      <c r="A29" t="str">
        <f>IFERROR(IF(cfg_calculation_ready,IF(m_25=0,"",TEXT(m_25,"#,##0;-#,##0")),""),"")</f>
        <v/>
      </c>
      <c r="C29" t="str">
        <f>IFERROR(IF(cfg_calculation_ready,IF(f1_25=0,"",TEXT(f1_25,"#,##0;-#,##0")),""),"")</f>
        <v/>
      </c>
      <c r="E29" t="str">
        <f>IFERROR(IF(cfg_calculation_ready,IF(f2_25=0,"",TEXT(f2_25,"#,##0;-#,##0")),""),"")</f>
        <v/>
      </c>
    </row>
    <row r="30" spans="1:5">
      <c r="A30" t="str">
        <f>IFERROR(IF(cfg_calculation_ready,IF(m_26=0,"",TEXT(m_26,"#,##0;-#,##0")),""),"")</f>
        <v/>
      </c>
      <c r="C30" t="str">
        <f>IFERROR(IF(cfg_calculation_ready,IF(f1_26=0,"",TEXT(f1_26,"#,##0;-#,##0")),""),"")</f>
        <v/>
      </c>
      <c r="E30" t="str">
        <f>IFERROR(IF(cfg_calculation_ready,IF(f2_26=0,"",TEXT(f2_26,"#,##0;-#,##0")),""),"")</f>
        <v/>
      </c>
    </row>
    <row r="31" spans="1:5">
      <c r="A31" t="str">
        <f>IFERROR(IF(cfg_calculation_ready,IF(m_27=0,"",TEXT(m_27,"#,##0;-#,##0")),""),"")</f>
        <v/>
      </c>
      <c r="C31" t="str">
        <f>IFERROR(IF(cfg_calculation_ready,IF(f1_27=0,"",TEXT(f1_27,"#,##0;-#,##0")),""),"")</f>
        <v/>
      </c>
    </row>
    <row r="32" spans="1:5">
      <c r="A32" t="str">
        <f>IFERROR(IF(cfg_calculation_ready,IF(m_28=0,"",TEXT(m_28,"#,##0;-#,##0")),""),"")</f>
        <v/>
      </c>
      <c r="C32" t="str">
        <f>IFERROR(IF(cfg_calculation_ready,IF(f1_28=0,"",TEXT(f1_28,"#,##0;-#,##0")),""),"")</f>
        <v/>
      </c>
    </row>
    <row r="33" spans="3:3">
      <c r="C33" t="str">
        <f>IFERROR(IF(cfg_calculation_ready,IF(f1_29=0,"",TEXT(f1_29,"#,##0;-#,##0")),""),"")</f>
        <v/>
      </c>
    </row>
    <row r="34" spans="3:3">
      <c r="C34" t="str">
        <f>IFERROR(IF(cfg_calculation_ready,IF(f1_30=0,"",TEXT(f1_30,"#,##0;-#,##0")),""),"")</f>
        <v/>
      </c>
    </row>
    <row r="35" spans="3:3">
      <c r="C35" t="str">
        <f>IFERROR(IF(cfg_calculation_ready,IF(f1_31=0,"",TEXT(f1_31,"#,##0;-#,##0")),""),"")</f>
        <v/>
      </c>
    </row>
    <row r="36" spans="3:3">
      <c r="C36" t="str">
        <f>IFERROR(IF(cfg_calculation_ready,IF(f1_32=0,"",TEXT(f1_32,"#,##0;-#,##0")),""),"")</f>
        <v/>
      </c>
    </row>
    <row r="37" spans="3:3">
      <c r="C37" t="str">
        <f>IFERROR(IF(cfg_calculation_ready,IF(f1_33=0,"",TEXT(f1_33,"#,##0;-#,##0")),""),"")</f>
        <v/>
      </c>
    </row>
  </sheetData>
  <sheetProtection sheet="1" objects="1" scenarios="1"/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AECD-A704-47AE-B284-E21783CD70CB}">
  <dimension ref="A1:M292"/>
  <sheetViews>
    <sheetView workbookViewId="0"/>
  </sheetViews>
  <sheetFormatPr defaultRowHeight="18"/>
  <cols>
    <col min="1" max="1" width="18.69921875" customWidth="1"/>
    <col min="2" max="6" width="19.69921875" customWidth="1"/>
    <col min="7" max="7" width="13.69921875" customWidth="1"/>
    <col min="8" max="8" width="44.69921875" customWidth="1"/>
    <col min="11" max="13" width="22.69921875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t="b">
        <f>IFERROR(AND(exact_r5_f2_26_ratio_valid,exact_r5_f1_32_income_valid,exact_r5_m_24_resident_valid,exact_r5_m_26_municipal_valid,exact_r5_m_26_delta_valid),0)</f>
        <v>1</v>
      </c>
      <c r="J1" t="s">
        <v>461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t="b">
        <f>IFERROR(AND(K4:K64,SUM(L4:L64)&lt;=1000000000000000),FALSE)</f>
        <v>1</v>
      </c>
      <c r="J2" t="s">
        <v>287</v>
      </c>
      <c r="K2" s="2" t="s">
        <v>223</v>
      </c>
      <c r="L2" s="2" t="s">
        <v>224</v>
      </c>
      <c r="M2" s="2" t="s">
        <v>225</v>
      </c>
    </row>
    <row r="3" spans="1:13">
      <c r="I3" t="b">
        <f>IFERROR(TRUE,0)</f>
        <v>1</v>
      </c>
      <c r="J3" t="s">
        <v>288</v>
      </c>
    </row>
    <row r="4" spans="1:13">
      <c r="A4" s="2" t="s">
        <v>445</v>
      </c>
      <c r="B4" s="2" t="s">
        <v>446</v>
      </c>
      <c r="C4" s="2" t="s">
        <v>447</v>
      </c>
      <c r="D4" s="2" t="s">
        <v>448</v>
      </c>
      <c r="E4" s="2" t="s">
        <v>449</v>
      </c>
      <c r="F4" s="2"/>
      <c r="G4" s="2"/>
      <c r="H4" s="2"/>
      <c r="K4" t="b">
        <f>IFERROR(AND(ISNUMBER(inp_m9_base),inp_m9_base=INT(inp_m9_base),ABS(inp_m9_base)&lt;=999999999999999,ABS(inp_m9_base)&lt;=999999999999999),FALSE)</f>
        <v>1</v>
      </c>
      <c r="L4">
        <f>IFERROR(ABS(inp_m9_base),0)</f>
        <v>0</v>
      </c>
      <c r="M4" t="s">
        <v>226</v>
      </c>
    </row>
    <row r="5" spans="1:13">
      <c r="A5" t="s">
        <v>450</v>
      </c>
      <c r="B5">
        <f>IFERROR(ABS((f2_20+f2_21)),0)</f>
        <v>0</v>
      </c>
      <c r="C5">
        <f>IFERROR(ABS(f2_22),0)</f>
        <v>0</v>
      </c>
      <c r="D5">
        <f>IFERROR(MAX(1,IFERROR(ABS((f2_22+f2_23)),0)),0)</f>
        <v>1</v>
      </c>
      <c r="E5">
        <f>IFERROR(SIGN((f2_20+f2_21))*SIGN(f2_22)*SIGN((f2_22+f2_23)),0)</f>
        <v>0</v>
      </c>
      <c r="F5">
        <f>IFERROR(ABS((f2_22+f2_23)),0)</f>
        <v>0</v>
      </c>
      <c r="G5" t="b">
        <f>IFERROR(F60,0)</f>
        <v>1</v>
      </c>
      <c r="H5" s="3" t="s">
        <v>451</v>
      </c>
      <c r="I5" t="b">
        <f>IFERROR(inp_special="はい",0)</f>
        <v>0</v>
      </c>
      <c r="J5" t="s">
        <v>463</v>
      </c>
      <c r="K5" t="b">
        <f>IFERROR(AND(ISNUMBER(inp_m9_extra),inp_m9_extra=INT(inp_m9_extra),inp_m9_extra&gt;=0,ABS(inp_m9_extra)&lt;=999999999999999),FALSE)</f>
        <v>1</v>
      </c>
      <c r="L5">
        <f>IFERROR(ABS(inp_m9_extra),0)</f>
        <v>0</v>
      </c>
      <c r="M5" t="s">
        <v>227</v>
      </c>
    </row>
    <row r="6" spans="1:13">
      <c r="D6">
        <v>0</v>
      </c>
      <c r="E6">
        <v>0</v>
      </c>
      <c r="I6" t="b">
        <f>IFERROR(OR(inp_class="該当",inp_class="非該当"),0)</f>
        <v>0</v>
      </c>
      <c r="J6" t="s">
        <v>464</v>
      </c>
      <c r="K6" t="b">
        <f>IFERROR(AND(ISNUMBER(inp_m9_inner),inp_m9_inner=INT(inp_m9_inner),inp_m9_inner&gt;=0,ABS(inp_m9_inner)&lt;=999999999999999),FALSE)</f>
        <v>1</v>
      </c>
      <c r="L6">
        <f>IFERROR(ABS(inp_m9_inner),0)</f>
        <v>0</v>
      </c>
      <c r="M6" t="s">
        <v>228</v>
      </c>
    </row>
    <row r="7" spans="1:13">
      <c r="A7">
        <v>52</v>
      </c>
      <c r="B7">
        <f>IFERROR(QUOTIENT($B$5,2^A7)-2*QUOTIENT($B$5,2^(A7+1)),0)</f>
        <v>0</v>
      </c>
      <c r="C7">
        <f>IFERROR(2*E6+B7*$C$5,0)</f>
        <v>0</v>
      </c>
      <c r="D7">
        <f>IFERROR(2*D6+QUOTIENT(C7,$D$5),0)</f>
        <v>0</v>
      </c>
      <c r="E7">
        <f>IFERROR(C7-$D$5*QUOTIENT(C7,$D$5),0)</f>
        <v>0</v>
      </c>
      <c r="I7" t="b">
        <f>IFERROR(OR(inp_group="はい",inp_group="いいえ"),0)</f>
        <v>0</v>
      </c>
      <c r="J7" t="s">
        <v>465</v>
      </c>
      <c r="K7" t="b">
        <f>IFERROR(AND(ISNUMBER(inp_prev_div),inp_prev_div=INT(inp_prev_div),inp_prev_div&gt;=0,ABS(inp_prev_div)&lt;=999999999999999),FALSE)</f>
        <v>1</v>
      </c>
      <c r="L7">
        <f>IFERROR(ABS(inp_prev_div),0)</f>
        <v>0</v>
      </c>
      <c r="M7" t="s">
        <v>229</v>
      </c>
    </row>
    <row r="8" spans="1:13">
      <c r="A8">
        <v>51</v>
      </c>
      <c r="B8">
        <f>IFERROR(QUOTIENT($B$5,2^A8)-2*QUOTIENT($B$5,2^(A8+1)),0)</f>
        <v>0</v>
      </c>
      <c r="C8">
        <f>IFERROR(2*E7+B8*$C$5,0)</f>
        <v>0</v>
      </c>
      <c r="D8">
        <f>IFERROR(2*D7+QUOTIENT(C8,$D$5),0)</f>
        <v>0</v>
      </c>
      <c r="E8">
        <f>IFERROR(C8-$D$5*QUOTIENT(C8,$D$5),0)</f>
        <v>0</v>
      </c>
      <c r="I8" t="b">
        <f>IFERROR(AND(cfg_period_input_valid,cfg_applicable,cfg_special_applicable,cfg_class_selected,cfg_group_selected,cfg_f2_period_ok,cfg_f2_input_valid,cfg_exact_domain_ok,cfg_exact_math_valid),FALSE)</f>
        <v>0</v>
      </c>
      <c r="J8" t="s">
        <v>467</v>
      </c>
      <c r="K8" t="b">
        <f>IFERROR(AND(ISNUMBER(inp_curr_div),inp_curr_div=INT(inp_curr_div),inp_curr_div&gt;=0,ABS(inp_curr_div)&lt;=999999999999999),FALSE)</f>
        <v>1</v>
      </c>
      <c r="L8">
        <f>IFERROR(ABS(inp_curr_div),0)</f>
        <v>0</v>
      </c>
      <c r="M8" t="s">
        <v>230</v>
      </c>
    </row>
    <row r="9" spans="1:13">
      <c r="A9">
        <v>50</v>
      </c>
      <c r="B9">
        <f>IFERROR(QUOTIENT($B$5,2^A9)-2*QUOTIENT($B$5,2^(A9+1)),0)</f>
        <v>0</v>
      </c>
      <c r="C9">
        <f>IFERROR(2*E8+B9*$C$5,0)</f>
        <v>0</v>
      </c>
      <c r="D9">
        <f>IFERROR(2*D8+QUOTIENT(C9,$D$5),0)</f>
        <v>0</v>
      </c>
      <c r="E9">
        <f>IFERROR(C9-$D$5*QUOTIENT(C9,$D$5),0)</f>
        <v>0</v>
      </c>
      <c r="I9" t="b">
        <f>IFERROR(AND(ISNUMBER(inp_start),inp_start=INT(inp_start),inp_start&gt;=DATE(1900,1,1),inp_start&lt;=DATE(2100,12,31),ISNUMBER(inp_end),inp_end=INT(inp_end),inp_end&gt;=DATE(1900,1,1),inp_end&lt;=DATE(2100,12,31),inp_end&gt;=inp_start,inp_end&lt;=IF(DAY(EDATE(inp_start,12))&lt;DAY(inp_start),EDATE(inp_start,12),EDATE(inp_start,12)-1),ISNUMBER(inp_months),inp_months=INT(inp_months),inp_months&gt;=1,inp_months&lt;=12),FALSE)</f>
        <v>1</v>
      </c>
      <c r="J9" t="s">
        <v>466</v>
      </c>
      <c r="K9" t="b">
        <f>IFERROR(AND(ISNUMBER(inp_b1_2),inp_b1_2=INT(inp_b1_2),inp_b1_2&gt;=0,ABS(inp_b1_2)&lt;=999999999999999),FALSE)</f>
        <v>1</v>
      </c>
      <c r="L9">
        <f>IFERROR(ABS(inp_b1_2),0)</f>
        <v>0</v>
      </c>
      <c r="M9" t="s">
        <v>231</v>
      </c>
    </row>
    <row r="10" spans="1:13">
      <c r="A10">
        <v>49</v>
      </c>
      <c r="B10">
        <f>IFERROR(QUOTIENT($B$5,2^A10)-2*QUOTIENT($B$5,2^(A10+1)),0)</f>
        <v>0</v>
      </c>
      <c r="C10">
        <f>IFERROR(2*E9+B10*$C$5,0)</f>
        <v>0</v>
      </c>
      <c r="D10">
        <f>IFERROR(2*D9+QUOTIENT(C10,$D$5),0)</f>
        <v>0</v>
      </c>
      <c r="E10">
        <f>IFERROR(C10-$D$5*QUOTIENT(C10,$D$5),0)</f>
        <v>0</v>
      </c>
      <c r="K10" t="b">
        <f>IFERROR(AND(ISNUMBER(inp_b1_3),inp_b1_3=INT(inp_b1_3),inp_b1_3&gt;=0,ABS(inp_b1_3)&lt;=999999999999999),FALSE)</f>
        <v>1</v>
      </c>
      <c r="L10">
        <f>IFERROR(ABS(inp_b1_3),0)</f>
        <v>0</v>
      </c>
      <c r="M10" t="s">
        <v>232</v>
      </c>
    </row>
    <row r="11" spans="1:13">
      <c r="A11">
        <v>48</v>
      </c>
      <c r="B11">
        <f>IFERROR(QUOTIENT($B$5,2^A11)-2*QUOTIENT($B$5,2^(A11+1)),0)</f>
        <v>0</v>
      </c>
      <c r="C11">
        <f>IFERROR(2*E10+B11*$C$5,0)</f>
        <v>0</v>
      </c>
      <c r="D11">
        <f>IFERROR(2*D10+QUOTIENT(C11,$D$5),0)</f>
        <v>0</v>
      </c>
      <c r="E11">
        <f>IFERROR(C11-$D$5*QUOTIENT(C11,$D$5),0)</f>
        <v>0</v>
      </c>
      <c r="K11" t="b">
        <f>IFERROR(AND(ISNUMBER(inp_b1_4),inp_b1_4=INT(inp_b1_4),inp_b1_4&gt;=0,ABS(inp_b1_4)&lt;=999999999999999),FALSE)</f>
        <v>1</v>
      </c>
      <c r="L11">
        <f>IFERROR(ABS(inp_b1_4),0)</f>
        <v>0</v>
      </c>
      <c r="M11" t="s">
        <v>233</v>
      </c>
    </row>
    <row r="12" spans="1:13">
      <c r="A12">
        <v>47</v>
      </c>
      <c r="B12">
        <f>IFERROR(QUOTIENT($B$5,2^A12)-2*QUOTIENT($B$5,2^(A12+1)),0)</f>
        <v>0</v>
      </c>
      <c r="C12">
        <f>IFERROR(2*E11+B12*$C$5,0)</f>
        <v>0</v>
      </c>
      <c r="D12">
        <f>IFERROR(2*D11+QUOTIENT(C12,$D$5),0)</f>
        <v>0</v>
      </c>
      <c r="E12">
        <f>IFERROR(C12-$D$5*QUOTIENT(C12,$D$5),0)</f>
        <v>0</v>
      </c>
      <c r="K12" t="b">
        <f>IFERROR(AND(ISNUMBER(inp_b1_6),inp_b1_6=INT(inp_b1_6),inp_b1_6&gt;=0,ABS(inp_b1_6)&lt;=999999999999999),FALSE)</f>
        <v>1</v>
      </c>
      <c r="L12">
        <f>IFERROR(ABS(inp_b1_6),0)</f>
        <v>0</v>
      </c>
      <c r="M12" t="s">
        <v>234</v>
      </c>
    </row>
    <row r="13" spans="1:13">
      <c r="A13">
        <v>46</v>
      </c>
      <c r="B13">
        <f>IFERROR(QUOTIENT($B$5,2^A13)-2*QUOTIENT($B$5,2^(A13+1)),0)</f>
        <v>0</v>
      </c>
      <c r="C13">
        <f>IFERROR(2*E12+B13*$C$5,0)</f>
        <v>0</v>
      </c>
      <c r="D13">
        <f>IFERROR(2*D12+QUOTIENT(C13,$D$5),0)</f>
        <v>0</v>
      </c>
      <c r="E13">
        <f>IFERROR(C13-$D$5*QUOTIENT(C13,$D$5),0)</f>
        <v>0</v>
      </c>
      <c r="K13" t="b">
        <f>IFERROR(AND(ISNUMBER(inp_b1_9out),inp_b1_9out=INT(inp_b1_9out),inp_b1_9out&gt;=0,ABS(inp_b1_9out)&lt;=999999999999999),FALSE)</f>
        <v>1</v>
      </c>
      <c r="L13">
        <f>IFERROR(ABS(inp_b1_9out),0)</f>
        <v>0</v>
      </c>
      <c r="M13" t="s">
        <v>235</v>
      </c>
    </row>
    <row r="14" spans="1:13">
      <c r="A14">
        <v>45</v>
      </c>
      <c r="B14">
        <f>IFERROR(QUOTIENT($B$5,2^A14)-2*QUOTIENT($B$5,2^(A14+1)),0)</f>
        <v>0</v>
      </c>
      <c r="C14">
        <f>IFERROR(2*E13+B14*$C$5,0)</f>
        <v>0</v>
      </c>
      <c r="D14">
        <f>IFERROR(2*D13+QUOTIENT(C14,$D$5),0)</f>
        <v>0</v>
      </c>
      <c r="E14">
        <f>IFERROR(C14-$D$5*QUOTIENT(C14,$D$5),0)</f>
        <v>0</v>
      </c>
      <c r="K14" t="b">
        <f>IFERROR(AND(ISNUMBER(inp_b1_11),inp_b1_11=INT(inp_b1_11),inp_b1_11&gt;=0,ABS(inp_b1_11)&lt;=999999999999999),FALSE)</f>
        <v>1</v>
      </c>
      <c r="L14">
        <f>IFERROR(ABS(inp_b1_11),0)</f>
        <v>0</v>
      </c>
      <c r="M14" t="s">
        <v>236</v>
      </c>
    </row>
    <row r="15" spans="1:13">
      <c r="A15">
        <v>44</v>
      </c>
      <c r="B15">
        <f>IFERROR(QUOTIENT($B$5,2^A15)-2*QUOTIENT($B$5,2^(A15+1)),0)</f>
        <v>0</v>
      </c>
      <c r="C15">
        <f>IFERROR(2*E14+B15*$C$5,0)</f>
        <v>0</v>
      </c>
      <c r="D15">
        <f>IFERROR(2*D14+QUOTIENT(C15,$D$5),0)</f>
        <v>0</v>
      </c>
      <c r="E15">
        <f>IFERROR(C15-$D$5*QUOTIENT(C15,$D$5),0)</f>
        <v>0</v>
      </c>
      <c r="K15" t="b">
        <f>IFERROR(AND(ISNUMBER(inp_b1_17),inp_b1_17=INT(inp_b1_17),inp_b1_17&gt;=0,ABS(inp_b1_17)&lt;=999999999999999),FALSE)</f>
        <v>1</v>
      </c>
      <c r="L15">
        <f>IFERROR(ABS(inp_b1_17),0)</f>
        <v>0</v>
      </c>
      <c r="M15" t="s">
        <v>237</v>
      </c>
    </row>
    <row r="16" spans="1:13">
      <c r="A16">
        <v>43</v>
      </c>
      <c r="B16">
        <f>IFERROR(QUOTIENT($B$5,2^A16)-2*QUOTIENT($B$5,2^(A16+1)),0)</f>
        <v>0</v>
      </c>
      <c r="C16">
        <f>IFERROR(2*E15+B16*$C$5,0)</f>
        <v>0</v>
      </c>
      <c r="D16">
        <f>IFERROR(2*D15+QUOTIENT(C16,$D$5),0)</f>
        <v>0</v>
      </c>
      <c r="E16">
        <f>IFERROR(C16-$D$5*QUOTIENT(C16,$D$5),0)</f>
        <v>0</v>
      </c>
      <c r="K16" t="b">
        <f>IFERROR(AND(ISNUMBER(inp_b1_18),inp_b1_18=INT(inp_b1_18),inp_b1_18&gt;=0,ABS(inp_b1_18)&lt;=999999999999999),FALSE)</f>
        <v>1</v>
      </c>
      <c r="L16">
        <f>IFERROR(ABS(inp_b1_18),0)</f>
        <v>0</v>
      </c>
      <c r="M16" t="s">
        <v>238</v>
      </c>
    </row>
    <row r="17" spans="1:13">
      <c r="A17">
        <v>42</v>
      </c>
      <c r="B17">
        <f>IFERROR(QUOTIENT($B$5,2^A17)-2*QUOTIENT($B$5,2^(A17+1)),0)</f>
        <v>0</v>
      </c>
      <c r="C17">
        <f>IFERROR(2*E16+B17*$C$5,0)</f>
        <v>0</v>
      </c>
      <c r="D17">
        <f>IFERROR(2*D16+QUOTIENT(C17,$D$5),0)</f>
        <v>0</v>
      </c>
      <c r="E17">
        <f>IFERROR(C17-$D$5*QUOTIENT(C17,$D$5),0)</f>
        <v>0</v>
      </c>
      <c r="K17" t="b">
        <f>IFERROR(AND(ISNUMBER(inp_b1_31),inp_b1_31=INT(inp_b1_31),inp_b1_31&gt;=0,ABS(inp_b1_31)&lt;=999999999999999),FALSE)</f>
        <v>1</v>
      </c>
      <c r="L17">
        <f>IFERROR(ABS(inp_b1_31),0)</f>
        <v>0</v>
      </c>
      <c r="M17" t="s">
        <v>239</v>
      </c>
    </row>
    <row r="18" spans="1:13">
      <c r="A18">
        <v>41</v>
      </c>
      <c r="B18">
        <f>IFERROR(QUOTIENT($B$5,2^A18)-2*QUOTIENT($B$5,2^(A18+1)),0)</f>
        <v>0</v>
      </c>
      <c r="C18">
        <f>IFERROR(2*E17+B18*$C$5,0)</f>
        <v>0</v>
      </c>
      <c r="D18">
        <f>IFERROR(2*D17+QUOTIENT(C18,$D$5),0)</f>
        <v>0</v>
      </c>
      <c r="E18">
        <f>IFERROR(C18-$D$5*QUOTIENT(C18,$D$5),0)</f>
        <v>0</v>
      </c>
      <c r="K18" t="b">
        <f>IFERROR(AND(ISNUMBER(inp_b1_32),inp_b1_32=INT(inp_b1_32),inp_b1_32&gt;=0,ABS(inp_b1_32)&lt;=999999999999999),FALSE)</f>
        <v>1</v>
      </c>
      <c r="L18">
        <f>IFERROR(ABS(inp_b1_32),0)</f>
        <v>0</v>
      </c>
      <c r="M18" t="s">
        <v>240</v>
      </c>
    </row>
    <row r="19" spans="1:13">
      <c r="A19">
        <v>40</v>
      </c>
      <c r="B19">
        <f>IFERROR(QUOTIENT($B$5,2^A19)-2*QUOTIENT($B$5,2^(A19+1)),0)</f>
        <v>0</v>
      </c>
      <c r="C19">
        <f>IFERROR(2*E18+B19*$C$5,0)</f>
        <v>0</v>
      </c>
      <c r="D19">
        <f>IFERROR(2*D18+QUOTIENT(C19,$D$5),0)</f>
        <v>0</v>
      </c>
      <c r="E19">
        <f>IFERROR(C19-$D$5*QUOTIENT(C19,$D$5),0)</f>
        <v>0</v>
      </c>
      <c r="K19" t="b">
        <f>IFERROR(AND(ISNUMBER(inp_b1_36),inp_b1_36=INT(inp_b1_36),inp_b1_36&gt;=0,ABS(inp_b1_36)&lt;=999999999999999),FALSE)</f>
        <v>1</v>
      </c>
      <c r="L19">
        <f>IFERROR(ABS(inp_b1_36),0)</f>
        <v>0</v>
      </c>
      <c r="M19" t="s">
        <v>241</v>
      </c>
    </row>
    <row r="20" spans="1:13">
      <c r="A20">
        <v>39</v>
      </c>
      <c r="B20">
        <f>IFERROR(QUOTIENT($B$5,2^A20)-2*QUOTIENT($B$5,2^(A20+1)),0)</f>
        <v>0</v>
      </c>
      <c r="C20">
        <f>IFERROR(2*E19+B20*$C$5,0)</f>
        <v>0</v>
      </c>
      <c r="D20">
        <f>IFERROR(2*D19+QUOTIENT(C20,$D$5),0)</f>
        <v>0</v>
      </c>
      <c r="E20">
        <f>IFERROR(C20-$D$5*QUOTIENT(C20,$D$5),0)</f>
        <v>0</v>
      </c>
      <c r="K20" t="b">
        <f>IFERROR(AND(ISNUMBER(inp_b1_65),inp_b1_65=INT(inp_b1_65),inp_b1_65&gt;=0,ABS(inp_b1_65)&lt;=999999999999999),FALSE)</f>
        <v>1</v>
      </c>
      <c r="L20">
        <f>IFERROR(ABS(inp_b1_65),0)</f>
        <v>0</v>
      </c>
      <c r="M20" t="s">
        <v>242</v>
      </c>
    </row>
    <row r="21" spans="1:13">
      <c r="A21">
        <v>38</v>
      </c>
      <c r="B21">
        <f>IFERROR(QUOTIENT($B$5,2^A21)-2*QUOTIENT($B$5,2^(A21+1)),0)</f>
        <v>0</v>
      </c>
      <c r="C21">
        <f>IFERROR(2*E20+B21*$C$5,0)</f>
        <v>0</v>
      </c>
      <c r="D21">
        <f>IFERROR(2*D20+QUOTIENT(C21,$D$5),0)</f>
        <v>0</v>
      </c>
      <c r="E21">
        <f>IFERROR(C21-$D$5*QUOTIENT(C21,$D$5),0)</f>
        <v>0</v>
      </c>
      <c r="K21" t="b">
        <f>IFERROR(AND(ISNUMBER(inp_b6_5_2_5_3),inp_b6_5_2_5_3=INT(inp_b6_5_2_5_3),inp_b6_5_2_5_3&gt;=0,ABS(inp_b6_5_2_5_3)&lt;=999999999999999),FALSE)</f>
        <v>1</v>
      </c>
      <c r="L21">
        <f>IFERROR(ABS(inp_b6_5_2_5_3),0)</f>
        <v>0</v>
      </c>
      <c r="M21" t="s">
        <v>243</v>
      </c>
    </row>
    <row r="22" spans="1:13">
      <c r="A22">
        <v>37</v>
      </c>
      <c r="B22">
        <f>IFERROR(QUOTIENT($B$5,2^A22)-2*QUOTIENT($B$5,2^(A22+1)),0)</f>
        <v>0</v>
      </c>
      <c r="C22">
        <f>IFERROR(2*E21+B22*$C$5,0)</f>
        <v>0</v>
      </c>
      <c r="D22">
        <f>IFERROR(2*D21+QUOTIENT(C22,$D$5),0)</f>
        <v>0</v>
      </c>
      <c r="E22">
        <f>IFERROR(C22-$D$5*QUOTIENT(C22,$D$5),0)</f>
        <v>0</v>
      </c>
      <c r="K22" t="b">
        <f>IFERROR(AND(ISNUMBER(inp_m22_credits),inp_m22_credits=INT(inp_m22_credits),inp_m22_credits&gt;=0,ABS(inp_m22_credits)&lt;=999999999999999),FALSE)</f>
        <v>1</v>
      </c>
      <c r="L22">
        <f>IFERROR(ABS(inp_m22_credits),0)</f>
        <v>0</v>
      </c>
      <c r="M22" t="s">
        <v>244</v>
      </c>
    </row>
    <row r="23" spans="1:13">
      <c r="A23">
        <v>36</v>
      </c>
      <c r="B23">
        <f>IFERROR(QUOTIENT($B$5,2^A23)-2*QUOTIENT($B$5,2^(A23+1)),0)</f>
        <v>0</v>
      </c>
      <c r="C23">
        <f>IFERROR(2*E22+B23*$C$5,0)</f>
        <v>0</v>
      </c>
      <c r="D23">
        <f>IFERROR(2*D22+QUOTIENT(C23,$D$5),0)</f>
        <v>0</v>
      </c>
      <c r="E23">
        <f>IFERROR(C23-$D$5*QUOTIENT(C23,$D$5),0)</f>
        <v>0</v>
      </c>
      <c r="K23" t="b">
        <f>IFERROR(AND(ISNUMBER(inp_m23_credits),inp_m23_credits=INT(inp_m23_credits),inp_m23_credits&gt;=0,ABS(inp_m23_credits)&lt;=999999999999999),FALSE)</f>
        <v>1</v>
      </c>
      <c r="L23">
        <f>IFERROR(ABS(inp_m23_credits),0)</f>
        <v>0</v>
      </c>
      <c r="M23" t="s">
        <v>245</v>
      </c>
    </row>
    <row r="24" spans="1:13">
      <c r="A24">
        <v>35</v>
      </c>
      <c r="B24">
        <f>IFERROR(QUOTIENT($B$5,2^A24)-2*QUOTIENT($B$5,2^(A24+1)),0)</f>
        <v>0</v>
      </c>
      <c r="C24">
        <f>IFERROR(2*E23+B24*$C$5,0)</f>
        <v>0</v>
      </c>
      <c r="D24">
        <f>IFERROR(2*D23+QUOTIENT(C24,$D$5),0)</f>
        <v>0</v>
      </c>
      <c r="E24">
        <f>IFERROR(C24-$D$5*QUOTIENT(C24,$D$5),0)</f>
        <v>0</v>
      </c>
      <c r="K24" t="b">
        <f>IFERROR(AND(ISNUMBER(inp_m22_b1_4_adjust),inp_m22_b1_4_adjust=INT(inp_m22_b1_4_adjust),inp_m22_b1_4_adjust&gt;=0,ABS(inp_m22_b1_4_adjust)&lt;=999999999999999),FALSE)</f>
        <v>1</v>
      </c>
      <c r="L24">
        <f>IFERROR(ABS(inp_m22_b1_4_adjust),0)</f>
        <v>0</v>
      </c>
      <c r="M24" t="s">
        <v>246</v>
      </c>
    </row>
    <row r="25" spans="1:13">
      <c r="A25">
        <v>34</v>
      </c>
      <c r="B25">
        <f>IFERROR(QUOTIENT($B$5,2^A25)-2*QUOTIENT($B$5,2^(A25+1)),0)</f>
        <v>0</v>
      </c>
      <c r="C25">
        <f>IFERROR(2*E24+B25*$C$5,0)</f>
        <v>0</v>
      </c>
      <c r="D25">
        <f>IFERROR(2*D24+QUOTIENT(C25,$D$5),0)</f>
        <v>0</v>
      </c>
      <c r="E25">
        <f>IFERROR(C25-$D$5*QUOTIENT(C25,$D$5),0)</f>
        <v>0</v>
      </c>
      <c r="K25" t="b">
        <f>IFERROR(AND(ISNUMBER(inp_m23_b1_4_adjust),inp_m23_b1_4_adjust=INT(inp_m23_b1_4_adjust),inp_m23_b1_4_adjust&gt;=0,ABS(inp_m23_b1_4_adjust)&lt;=999999999999999),FALSE)</f>
        <v>1</v>
      </c>
      <c r="L25">
        <f>IFERROR(ABS(inp_m23_b1_4_adjust),0)</f>
        <v>0</v>
      </c>
      <c r="M25" t="s">
        <v>247</v>
      </c>
    </row>
    <row r="26" spans="1:13">
      <c r="A26">
        <v>33</v>
      </c>
      <c r="B26">
        <f>IFERROR(QUOTIENT($B$5,2^A26)-2*QUOTIENT($B$5,2^(A26+1)),0)</f>
        <v>0</v>
      </c>
      <c r="C26">
        <f>IFERROR(2*E25+B26*$C$5,0)</f>
        <v>0</v>
      </c>
      <c r="D26">
        <f>IFERROR(2*D25+QUOTIENT(C26,$D$5),0)</f>
        <v>0</v>
      </c>
      <c r="E26">
        <f>IFERROR(C26-$D$5*QUOTIENT(C26,$D$5),0)</f>
        <v>0</v>
      </c>
      <c r="K26" t="b">
        <f>IFERROR(AND(ISNUMBER(inp_m14_foreign),inp_m14_foreign=INT(inp_m14_foreign),inp_m14_foreign&gt;=0,ABS(inp_m14_foreign)&lt;=999999999999999),FALSE)</f>
        <v>1</v>
      </c>
      <c r="L26">
        <f>IFERROR(ABS(inp_m14_foreign),0)</f>
        <v>0</v>
      </c>
      <c r="M26" t="s">
        <v>248</v>
      </c>
    </row>
    <row r="27" spans="1:13">
      <c r="A27">
        <v>32</v>
      </c>
      <c r="B27">
        <f>IFERROR(QUOTIENT($B$5,2^A27)-2*QUOTIENT($B$5,2^(A27+1)),0)</f>
        <v>0</v>
      </c>
      <c r="C27">
        <f>IFERROR(2*E26+B27*$C$5,0)</f>
        <v>0</v>
      </c>
      <c r="D27">
        <f>IFERROR(2*D26+QUOTIENT(C27,$D$5),0)</f>
        <v>0</v>
      </c>
      <c r="E27">
        <f>IFERROR(C27-$D$5*QUOTIENT(C27,$D$5),0)</f>
        <v>0</v>
      </c>
      <c r="K27" t="b">
        <f>IFERROR(AND(ISNUMBER(inp_specific_donation_total),inp_specific_donation_total=INT(inp_specific_donation_total),inp_specific_donation_total&gt;=0,ABS(inp_specific_donation_total)&lt;=999999999999999),FALSE)</f>
        <v>1</v>
      </c>
      <c r="L27">
        <f>IFERROR(ABS(inp_specific_donation_total),0)</f>
        <v>0</v>
      </c>
      <c r="M27" t="s">
        <v>249</v>
      </c>
    </row>
    <row r="28" spans="1:13">
      <c r="A28">
        <v>31</v>
      </c>
      <c r="B28">
        <f>IFERROR(QUOTIENT($B$5,2^A28)-2*QUOTIENT($B$5,2^(A28+1)),0)</f>
        <v>0</v>
      </c>
      <c r="C28">
        <f>IFERROR(2*E27+B28*$C$5,0)</f>
        <v>0</v>
      </c>
      <c r="D28">
        <f>IFERROR(2*D27+QUOTIENT(C28,$D$5),0)</f>
        <v>0</v>
      </c>
      <c r="E28">
        <f>IFERROR(C28-$D$5*QUOTIENT(C28,$D$5),0)</f>
        <v>0</v>
      </c>
      <c r="K28" t="b">
        <f>IFERROR(AND(ISNUMBER(inp_adjust_local_credit),inp_adjust_local_credit=INT(inp_adjust_local_credit),inp_adjust_local_credit&gt;=0,ABS(inp_adjust_local_credit)&lt;=999999999999999),FALSE)</f>
        <v>1</v>
      </c>
      <c r="L28">
        <f>IFERROR(ABS(inp_adjust_local_credit),0)</f>
        <v>0</v>
      </c>
      <c r="M28" t="s">
        <v>250</v>
      </c>
    </row>
    <row r="29" spans="1:13">
      <c r="A29">
        <v>30</v>
      </c>
      <c r="B29">
        <f>IFERROR(QUOTIENT($B$5,2^A29)-2*QUOTIENT($B$5,2^(A29+1)),0)</f>
        <v>0</v>
      </c>
      <c r="C29">
        <f>IFERROR(2*E28+B29*$C$5,0)</f>
        <v>0</v>
      </c>
      <c r="D29">
        <f>IFERROR(2*D28+QUOTIENT(C29,$D$5),0)</f>
        <v>0</v>
      </c>
      <c r="E29">
        <f>IFERROR(C29-$D$5*QUOTIENT(C29,$D$5),0)</f>
        <v>0</v>
      </c>
      <c r="K29" t="b">
        <f>IFERROR(AND(ISNUMBER(inp_f1_capital),inp_f1_capital=INT(inp_f1_capital),inp_f1_capital&gt;=0,ABS(inp_f1_capital)&lt;=999999999999999),FALSE)</f>
        <v>1</v>
      </c>
      <c r="L29">
        <f>IFERROR(ABS(inp_f1_capital),0)</f>
        <v>0</v>
      </c>
      <c r="M29" t="s">
        <v>251</v>
      </c>
    </row>
    <row r="30" spans="1:13">
      <c r="A30">
        <v>29</v>
      </c>
      <c r="B30">
        <f>IFERROR(QUOTIENT($B$5,2^A30)-2*QUOTIENT($B$5,2^(A30+1)),0)</f>
        <v>0</v>
      </c>
      <c r="C30">
        <f>IFERROR(2*E29+B30*$C$5,0)</f>
        <v>0</v>
      </c>
      <c r="D30">
        <f>IFERROR(2*D29+QUOTIENT(C30,$D$5),0)</f>
        <v>0</v>
      </c>
      <c r="E30">
        <f>IFERROR(C30-$D$5*QUOTIENT(C30,$D$5),0)</f>
        <v>0</v>
      </c>
      <c r="K30" t="b">
        <f>IFERROR(AND(ISNUMBER(inp_f1_opening_profit),inp_f1_opening_profit=INT(inp_f1_opening_profit),ABS(inp_f1_opening_profit)&lt;=999999999999999,ABS(inp_f1_opening_profit)&lt;=999999999999999),FALSE)</f>
        <v>1</v>
      </c>
      <c r="L30">
        <f>IFERROR(ABS(inp_f1_opening_profit),0)</f>
        <v>0</v>
      </c>
      <c r="M30" t="s">
        <v>252</v>
      </c>
    </row>
    <row r="31" spans="1:13">
      <c r="A31">
        <v>28</v>
      </c>
      <c r="B31">
        <f>IFERROR(QUOTIENT($B$5,2^A31)-2*QUOTIENT($B$5,2^(A31+1)),0)</f>
        <v>0</v>
      </c>
      <c r="C31">
        <f>IFERROR(2*E30+B31*$C$5,0)</f>
        <v>0</v>
      </c>
      <c r="D31">
        <f>IFERROR(2*D30+QUOTIENT(C31,$D$5),0)</f>
        <v>0</v>
      </c>
      <c r="E31">
        <f>IFERROR(C31-$D$5*QUOTIENT(C31,$D$5),0)</f>
        <v>0</v>
      </c>
      <c r="K31" t="b">
        <f>IFERROR(AND(ISNUMBER(inp_f1_merger_inc),inp_f1_merger_inc=INT(inp_f1_merger_inc),inp_f1_merger_inc&gt;=0,ABS(inp_f1_merger_inc)&lt;=999999999999999),FALSE)</f>
        <v>1</v>
      </c>
      <c r="L31">
        <f>IFERROR(ABS(inp_f1_merger_inc),0)</f>
        <v>0</v>
      </c>
      <c r="M31" t="s">
        <v>253</v>
      </c>
    </row>
    <row r="32" spans="1:13">
      <c r="A32">
        <v>27</v>
      </c>
      <c r="B32">
        <f>IFERROR(QUOTIENT($B$5,2^A32)-2*QUOTIENT($B$5,2^(A32+1)),0)</f>
        <v>0</v>
      </c>
      <c r="C32">
        <f>IFERROR(2*E31+B32*$C$5,0)</f>
        <v>0</v>
      </c>
      <c r="D32">
        <f>IFERROR(2*D31+QUOTIENT(C32,$D$5),0)</f>
        <v>0</v>
      </c>
      <c r="E32">
        <f>IFERROR(C32-$D$5*QUOTIENT(C32,$D$5),0)</f>
        <v>0</v>
      </c>
      <c r="K32" t="b">
        <f>IFERROR(AND(ISNUMBER(inp_f1_split_dec),inp_f1_split_dec=INT(inp_f1_split_dec),inp_f1_split_dec&gt;=0,ABS(inp_f1_split_dec)&lt;=999999999999999),FALSE)</f>
        <v>1</v>
      </c>
      <c r="L32">
        <f>IFERROR(ABS(inp_f1_split_dec),0)</f>
        <v>0</v>
      </c>
      <c r="M32" t="s">
        <v>254</v>
      </c>
    </row>
    <row r="33" spans="1:13">
      <c r="A33">
        <v>26</v>
      </c>
      <c r="B33">
        <f>IFERROR(QUOTIENT($B$5,2^A33)-2*QUOTIENT($B$5,2^(A33+1)),0)</f>
        <v>0</v>
      </c>
      <c r="C33">
        <f>IFERROR(2*E32+B33*$C$5,0)</f>
        <v>0</v>
      </c>
      <c r="D33">
        <f>IFERROR(2*D32+QUOTIENT(C33,$D$5),0)</f>
        <v>0</v>
      </c>
      <c r="E33">
        <f>IFERROR(C33-$D$5*QUOTIENT(C33,$D$5),0)</f>
        <v>0</v>
      </c>
      <c r="K33" t="b">
        <f>IFERROR(AND(ISNUMBER(inp_f1_09),inp_f1_09=INT(inp_f1_09),ABS(inp_f1_09)&lt;=999999999999999,ABS(inp_f1_09)&lt;=999999999999999),FALSE)</f>
        <v>1</v>
      </c>
      <c r="L33">
        <f>IFERROR(ABS(inp_f1_09),0)</f>
        <v>0</v>
      </c>
      <c r="M33" t="s">
        <v>255</v>
      </c>
    </row>
    <row r="34" spans="1:13">
      <c r="A34">
        <v>25</v>
      </c>
      <c r="B34">
        <f>IFERROR(QUOTIENT($B$5,2^A34)-2*QUOTIENT($B$5,2^(A34+1)),0)</f>
        <v>0</v>
      </c>
      <c r="C34">
        <f>IFERROR(2*E33+B34*$C$5,0)</f>
        <v>0</v>
      </c>
      <c r="D34">
        <f>IFERROR(2*D33+QUOTIENT(C34,$D$5),0)</f>
        <v>0</v>
      </c>
      <c r="E34">
        <f>IFERROR(C34-$D$5*QUOTIENT(C34,$D$5),0)</f>
        <v>0</v>
      </c>
      <c r="K34" t="b">
        <f>IFERROR(AND(ISNUMBER(inp_f1_10),inp_f1_10=INT(inp_f1_10),ABS(inp_f1_10)&lt;=999999999999999,ABS(inp_f1_10)&lt;=999999999999999),FALSE)</f>
        <v>1</v>
      </c>
      <c r="L34">
        <f>IFERROR(ABS(inp_f1_10),0)</f>
        <v>0</v>
      </c>
      <c r="M34" t="s">
        <v>256</v>
      </c>
    </row>
    <row r="35" spans="1:13">
      <c r="A35">
        <v>24</v>
      </c>
      <c r="B35">
        <f>IFERROR(QUOTIENT($B$5,2^A35)-2*QUOTIENT($B$5,2^(A35+1)),0)</f>
        <v>0</v>
      </c>
      <c r="C35">
        <f>IFERROR(2*E34+B35*$C$5,0)</f>
        <v>0</v>
      </c>
      <c r="D35">
        <f>IFERROR(2*D34+QUOTIENT(C35,$D$5),0)</f>
        <v>0</v>
      </c>
      <c r="E35">
        <f>IFERROR(C35-$D$5*QUOTIENT(C35,$D$5),0)</f>
        <v>0</v>
      </c>
      <c r="K35" t="b">
        <f>IFERROR(AND(ISNUMBER(inp_f1_11),inp_f1_11=INT(inp_f1_11),inp_f1_11&gt;=0,ABS(inp_f1_11)&lt;=999999999999999),FALSE)</f>
        <v>1</v>
      </c>
      <c r="L35">
        <f>IFERROR(ABS(inp_f1_11),0)</f>
        <v>0</v>
      </c>
      <c r="M35" t="s">
        <v>257</v>
      </c>
    </row>
    <row r="36" spans="1:13">
      <c r="A36">
        <v>23</v>
      </c>
      <c r="B36">
        <f>IFERROR(QUOTIENT($B$5,2^A36)-2*QUOTIENT($B$5,2^(A36+1)),0)</f>
        <v>0</v>
      </c>
      <c r="C36">
        <f>IFERROR(2*E35+B36*$C$5,0)</f>
        <v>0</v>
      </c>
      <c r="D36">
        <f>IFERROR(2*D35+QUOTIENT(C36,$D$5),0)</f>
        <v>0</v>
      </c>
      <c r="E36">
        <f>IFERROR(C36-$D$5*QUOTIENT(C36,$D$5),0)</f>
        <v>0</v>
      </c>
      <c r="K36" t="b">
        <f>IFERROR(AND(ISNUMBER(inp_f1_12),inp_f1_12=INT(inp_f1_12),inp_f1_12&gt;=0,ABS(inp_f1_12)&lt;=999999999999999),FALSE)</f>
        <v>1</v>
      </c>
      <c r="L36">
        <f>IFERROR(ABS(inp_f1_12),0)</f>
        <v>0</v>
      </c>
      <c r="M36" t="s">
        <v>258</v>
      </c>
    </row>
    <row r="37" spans="1:13">
      <c r="A37">
        <v>22</v>
      </c>
      <c r="B37">
        <f>IFERROR(QUOTIENT($B$5,2^A37)-2*QUOTIENT($B$5,2^(A37+1)),0)</f>
        <v>0</v>
      </c>
      <c r="C37">
        <f>IFERROR(2*E36+B37*$C$5,0)</f>
        <v>0</v>
      </c>
      <c r="D37">
        <f>IFERROR(2*D36+QUOTIENT(C37,$D$5),0)</f>
        <v>0</v>
      </c>
      <c r="E37">
        <f>IFERROR(C37-$D$5*QUOTIENT(C37,$D$5),0)</f>
        <v>0</v>
      </c>
      <c r="K37" t="b">
        <f>IFERROR(AND(ISNUMBER(inp_f1_13),inp_f1_13=INT(inp_f1_13),inp_f1_13&gt;=0,ABS(inp_f1_13)&lt;=999999999999999),FALSE)</f>
        <v>1</v>
      </c>
      <c r="L37">
        <f>IFERROR(ABS(inp_f1_13),0)</f>
        <v>0</v>
      </c>
      <c r="M37" t="s">
        <v>259</v>
      </c>
    </row>
    <row r="38" spans="1:13">
      <c r="A38">
        <v>21</v>
      </c>
      <c r="B38">
        <f>IFERROR(QUOTIENT($B$5,2^A38)-2*QUOTIENT($B$5,2^(A38+1)),0)</f>
        <v>0</v>
      </c>
      <c r="C38">
        <f>IFERROR(2*E37+B38*$C$5,0)</f>
        <v>0</v>
      </c>
      <c r="D38">
        <f>IFERROR(2*D37+QUOTIENT(C38,$D$5),0)</f>
        <v>0</v>
      </c>
      <c r="E38">
        <f>IFERROR(C38-$D$5*QUOTIENT(C38,$D$5),0)</f>
        <v>0</v>
      </c>
      <c r="K38" t="b">
        <f>IFERROR(AND(ISNUMBER(inp_f1_14),inp_f1_14=INT(inp_f1_14),inp_f1_14&gt;=0,ABS(inp_f1_14)&lt;=999999999999999),FALSE)</f>
        <v>1</v>
      </c>
      <c r="L38">
        <f>IFERROR(ABS(inp_f1_14),0)</f>
        <v>0</v>
      </c>
      <c r="M38" t="s">
        <v>260</v>
      </c>
    </row>
    <row r="39" spans="1:13">
      <c r="A39">
        <v>20</v>
      </c>
      <c r="B39">
        <f>IFERROR(QUOTIENT($B$5,2^A39)-2*QUOTIENT($B$5,2^(A39+1)),0)</f>
        <v>0</v>
      </c>
      <c r="C39">
        <f>IFERROR(2*E38+B39*$C$5,0)</f>
        <v>0</v>
      </c>
      <c r="D39">
        <f>IFERROR(2*D38+QUOTIENT(C39,$D$5),0)</f>
        <v>0</v>
      </c>
      <c r="E39">
        <f>IFERROR(C39-$D$5*QUOTIENT(C39,$D$5),0)</f>
        <v>0</v>
      </c>
      <c r="K39" t="b">
        <f>IFERROR(AND(ISNUMBER(inp_f1_15),inp_f1_15=INT(inp_f1_15),inp_f1_15&gt;=0,ABS(inp_f1_15)&lt;=999999999999999),FALSE)</f>
        <v>1</v>
      </c>
      <c r="L39">
        <f>IFERROR(ABS(inp_f1_15),0)</f>
        <v>0</v>
      </c>
      <c r="M39" t="s">
        <v>261</v>
      </c>
    </row>
    <row r="40" spans="1:13">
      <c r="A40">
        <v>19</v>
      </c>
      <c r="B40">
        <f>IFERROR(QUOTIENT($B$5,2^A40)-2*QUOTIENT($B$5,2^(A40+1)),0)</f>
        <v>0</v>
      </c>
      <c r="C40">
        <f>IFERROR(2*E39+B40*$C$5,0)</f>
        <v>0</v>
      </c>
      <c r="D40">
        <f>IFERROR(2*D39+QUOTIENT(C40,$D$5),0)</f>
        <v>0</v>
      </c>
      <c r="E40">
        <f>IFERROR(C40-$D$5*QUOTIENT(C40,$D$5),0)</f>
        <v>0</v>
      </c>
      <c r="K40" t="b">
        <f>IFERROR(AND(ISNUMBER(inp_f1_16),inp_f1_16=INT(inp_f1_16),inp_f1_16&gt;=0,ABS(inp_f1_16)&lt;=999999999999999),FALSE)</f>
        <v>1</v>
      </c>
      <c r="L40">
        <f>IFERROR(ABS(inp_f1_16),0)</f>
        <v>0</v>
      </c>
      <c r="M40" t="s">
        <v>262</v>
      </c>
    </row>
    <row r="41" spans="1:13">
      <c r="A41">
        <v>18</v>
      </c>
      <c r="B41">
        <f>IFERROR(QUOTIENT($B$5,2^A41)-2*QUOTIENT($B$5,2^(A41+1)),0)</f>
        <v>0</v>
      </c>
      <c r="C41">
        <f>IFERROR(2*E40+B41*$C$5,0)</f>
        <v>0</v>
      </c>
      <c r="D41">
        <f>IFERROR(2*D40+QUOTIENT(C41,$D$5),0)</f>
        <v>0</v>
      </c>
      <c r="E41">
        <f>IFERROR(C41-$D$5*QUOTIENT(C41,$D$5),0)</f>
        <v>0</v>
      </c>
      <c r="K41" t="b">
        <f>IFERROR(AND(ISNUMBER(inp_f1_19),inp_f1_19=INT(inp_f1_19),inp_f1_19&gt;=0,ABS(inp_f1_19)&lt;=999999999999999),FALSE)</f>
        <v>1</v>
      </c>
      <c r="L41">
        <f>IFERROR(ABS(inp_f1_19),0)</f>
        <v>0</v>
      </c>
      <c r="M41" t="s">
        <v>263</v>
      </c>
    </row>
    <row r="42" spans="1:13">
      <c r="A42">
        <v>17</v>
      </c>
      <c r="B42">
        <f>IFERROR(QUOTIENT($B$5,2^A42)-2*QUOTIENT($B$5,2^(A42+1)),0)</f>
        <v>0</v>
      </c>
      <c r="C42">
        <f>IFERROR(2*E41+B42*$C$5,0)</f>
        <v>0</v>
      </c>
      <c r="D42">
        <f>IFERROR(2*D41+QUOTIENT(C42,$D$5),0)</f>
        <v>0</v>
      </c>
      <c r="E42">
        <f>IFERROR(C42-$D$5*QUOTIENT(C42,$D$5),0)</f>
        <v>0</v>
      </c>
      <c r="K42" t="b">
        <f>IFERROR(AND(ISNUMBER(inp_f1_20),inp_f1_20=INT(inp_f1_20),inp_f1_20&gt;=0,ABS(inp_f1_20)&lt;=999999999999999),FALSE)</f>
        <v>1</v>
      </c>
      <c r="L42">
        <f>IFERROR(ABS(inp_f1_20),0)</f>
        <v>0</v>
      </c>
      <c r="M42" t="s">
        <v>264</v>
      </c>
    </row>
    <row r="43" spans="1:13">
      <c r="A43">
        <v>16</v>
      </c>
      <c r="B43">
        <f>IFERROR(QUOTIENT($B$5,2^A43)-2*QUOTIENT($B$5,2^(A43+1)),0)</f>
        <v>0</v>
      </c>
      <c r="C43">
        <f>IFERROR(2*E42+B43*$C$5,0)</f>
        <v>0</v>
      </c>
      <c r="D43">
        <f>IFERROR(2*D42+QUOTIENT(C43,$D$5),0)</f>
        <v>0</v>
      </c>
      <c r="E43">
        <f>IFERROR(C43-$D$5*QUOTIENT(C43,$D$5),0)</f>
        <v>0</v>
      </c>
      <c r="K43" t="b">
        <f>IFERROR(AND(ISNUMBER(inp_f1_21),inp_f1_21=INT(inp_f1_21),inp_f1_21&gt;=0,ABS(inp_f1_21)&lt;=999999999999999),FALSE)</f>
        <v>1</v>
      </c>
      <c r="L43">
        <f>IFERROR(ABS(inp_f1_21),0)</f>
        <v>0</v>
      </c>
      <c r="M43" t="s">
        <v>265</v>
      </c>
    </row>
    <row r="44" spans="1:13">
      <c r="A44">
        <v>15</v>
      </c>
      <c r="B44">
        <f>IFERROR(QUOTIENT($B$5,2^A44)-2*QUOTIENT($B$5,2^(A44+1)),0)</f>
        <v>0</v>
      </c>
      <c r="C44">
        <f>IFERROR(2*E43+B44*$C$5,0)</f>
        <v>0</v>
      </c>
      <c r="D44">
        <f>IFERROR(2*D43+QUOTIENT(C44,$D$5),0)</f>
        <v>0</v>
      </c>
      <c r="E44">
        <f>IFERROR(C44-$D$5*QUOTIENT(C44,$D$5),0)</f>
        <v>0</v>
      </c>
      <c r="K44" t="b">
        <f>IFERROR(AND(ISNUMBER(inp_f1_22),inp_f1_22=INT(inp_f1_22),inp_f1_22&gt;=0,ABS(inp_f1_22)&lt;=999999999999999),FALSE)</f>
        <v>1</v>
      </c>
      <c r="L44">
        <f>IFERROR(ABS(inp_f1_22),0)</f>
        <v>0</v>
      </c>
      <c r="M44" t="s">
        <v>266</v>
      </c>
    </row>
    <row r="45" spans="1:13">
      <c r="A45">
        <v>14</v>
      </c>
      <c r="B45">
        <f>IFERROR(QUOTIENT($B$5,2^A45)-2*QUOTIENT($B$5,2^(A45+1)),0)</f>
        <v>0</v>
      </c>
      <c r="C45">
        <f>IFERROR(2*E44+B45*$C$5,0)</f>
        <v>0</v>
      </c>
      <c r="D45">
        <f>IFERROR(2*D44+QUOTIENT(C45,$D$5),0)</f>
        <v>0</v>
      </c>
      <c r="E45">
        <f>IFERROR(C45-$D$5*QUOTIENT(C45,$D$5),0)</f>
        <v>0</v>
      </c>
      <c r="K45" t="b">
        <f>IFERROR(AND(ISNUMBER(inp_f1_23),inp_f1_23=INT(inp_f1_23),inp_f1_23&gt;=0,ABS(inp_f1_23)&lt;=999999999999999),FALSE)</f>
        <v>1</v>
      </c>
      <c r="L45">
        <f>IFERROR(ABS(inp_f1_23),0)</f>
        <v>0</v>
      </c>
      <c r="M45" t="s">
        <v>267</v>
      </c>
    </row>
    <row r="46" spans="1:13">
      <c r="A46">
        <v>13</v>
      </c>
      <c r="B46">
        <f>IFERROR(QUOTIENT($B$5,2^A46)-2*QUOTIENT($B$5,2^(A46+1)),0)</f>
        <v>0</v>
      </c>
      <c r="C46">
        <f>IFERROR(2*E45+B46*$C$5,0)</f>
        <v>0</v>
      </c>
      <c r="D46">
        <f>IFERROR(2*D45+QUOTIENT(C46,$D$5),0)</f>
        <v>0</v>
      </c>
      <c r="E46">
        <f>IFERROR(C46-$D$5*QUOTIENT(C46,$D$5),0)</f>
        <v>0</v>
      </c>
      <c r="K46" t="b">
        <f>IFERROR(AND(ISNUMBER(inp_f1_24),inp_f1_24=INT(inp_f1_24),inp_f1_24&gt;=0,ABS(inp_f1_24)&lt;=999999999999999),FALSE)</f>
        <v>1</v>
      </c>
      <c r="L46">
        <f>IFERROR(ABS(inp_f1_24),0)</f>
        <v>0</v>
      </c>
      <c r="M46" t="s">
        <v>268</v>
      </c>
    </row>
    <row r="47" spans="1:13">
      <c r="A47">
        <v>12</v>
      </c>
      <c r="B47">
        <f>IFERROR(QUOTIENT($B$5,2^A47)-2*QUOTIENT($B$5,2^(A47+1)),0)</f>
        <v>0</v>
      </c>
      <c r="C47">
        <f>IFERROR(2*E46+B47*$C$5,0)</f>
        <v>0</v>
      </c>
      <c r="D47">
        <f>IFERROR(2*D46+QUOTIENT(C47,$D$5),0)</f>
        <v>0</v>
      </c>
      <c r="E47">
        <f>IFERROR(C47-$D$5*QUOTIENT(C47,$D$5),0)</f>
        <v>0</v>
      </c>
      <c r="K47" t="b">
        <f>IFERROR(AND(ISNUMBER(inp_f1_25),inp_f1_25=INT(inp_f1_25),inp_f1_25&gt;=0,ABS(inp_f1_25)&lt;=999999999999999),FALSE)</f>
        <v>1</v>
      </c>
      <c r="L47">
        <f>IFERROR(ABS(inp_f1_25),0)</f>
        <v>0</v>
      </c>
      <c r="M47" t="s">
        <v>269</v>
      </c>
    </row>
    <row r="48" spans="1:13">
      <c r="A48">
        <v>11</v>
      </c>
      <c r="B48">
        <f>IFERROR(QUOTIENT($B$5,2^A48)-2*QUOTIENT($B$5,2^(A48+1)),0)</f>
        <v>0</v>
      </c>
      <c r="C48">
        <f>IFERROR(2*E47+B48*$C$5,0)</f>
        <v>0</v>
      </c>
      <c r="D48">
        <f>IFERROR(2*D47+QUOTIENT(C48,$D$5),0)</f>
        <v>0</v>
      </c>
      <c r="E48">
        <f>IFERROR(C48-$D$5*QUOTIENT(C48,$D$5),0)</f>
        <v>0</v>
      </c>
      <c r="K48" t="b">
        <f>IFERROR(AND(ISNUMBER(inp_f1_26),inp_f1_26=INT(inp_f1_26),inp_f1_26&gt;=0,ABS(inp_f1_26)&lt;=999999999999999),FALSE)</f>
        <v>1</v>
      </c>
      <c r="L48">
        <f>IFERROR(ABS(inp_f1_26),0)</f>
        <v>0</v>
      </c>
      <c r="M48" t="s">
        <v>270</v>
      </c>
    </row>
    <row r="49" spans="1:13">
      <c r="A49">
        <v>10</v>
      </c>
      <c r="B49">
        <f>IFERROR(QUOTIENT($B$5,2^A49)-2*QUOTIENT($B$5,2^(A49+1)),0)</f>
        <v>0</v>
      </c>
      <c r="C49">
        <f>IFERROR(2*E48+B49*$C$5,0)</f>
        <v>0</v>
      </c>
      <c r="D49">
        <f>IFERROR(2*D48+QUOTIENT(C49,$D$5),0)</f>
        <v>0</v>
      </c>
      <c r="E49">
        <f>IFERROR(C49-$D$5*QUOTIENT(C49,$D$5),0)</f>
        <v>0</v>
      </c>
      <c r="K49" t="b">
        <f>IFERROR(AND(ISNUMBER(inp_f1_27),inp_f1_27=INT(inp_f1_27),inp_f1_27&gt;=0,ABS(inp_f1_27)&lt;=999999999999999),FALSE)</f>
        <v>1</v>
      </c>
      <c r="L49">
        <f>IFERROR(ABS(inp_f1_27),0)</f>
        <v>0</v>
      </c>
      <c r="M49" t="s">
        <v>271</v>
      </c>
    </row>
    <row r="50" spans="1:13">
      <c r="A50">
        <v>9</v>
      </c>
      <c r="B50">
        <f>IFERROR(QUOTIENT($B$5,2^A50)-2*QUOTIENT($B$5,2^(A50+1)),0)</f>
        <v>0</v>
      </c>
      <c r="C50">
        <f>IFERROR(2*E49+B50*$C$5,0)</f>
        <v>0</v>
      </c>
      <c r="D50">
        <f>IFERROR(2*D49+QUOTIENT(C50,$D$5),0)</f>
        <v>0</v>
      </c>
      <c r="E50">
        <f>IFERROR(C50-$D$5*QUOTIENT(C50,$D$5),0)</f>
        <v>0</v>
      </c>
      <c r="K50" t="b">
        <f>IFERROR(AND(ISNUMBER(inp_f1_28),inp_f1_28=INT(inp_f1_28),inp_f1_28&gt;=0,ABS(inp_f1_28)&lt;=999999999999999),FALSE)</f>
        <v>1</v>
      </c>
      <c r="L50">
        <f>IFERROR(ABS(inp_f1_28),0)</f>
        <v>0</v>
      </c>
      <c r="M50" t="s">
        <v>272</v>
      </c>
    </row>
    <row r="51" spans="1:13">
      <c r="A51">
        <v>8</v>
      </c>
      <c r="B51">
        <f>IFERROR(QUOTIENT($B$5,2^A51)-2*QUOTIENT($B$5,2^(A51+1)),0)</f>
        <v>0</v>
      </c>
      <c r="C51">
        <f>IFERROR(2*E50+B51*$C$5,0)</f>
        <v>0</v>
      </c>
      <c r="D51">
        <f>IFERROR(2*D50+QUOTIENT(C51,$D$5),0)</f>
        <v>0</v>
      </c>
      <c r="E51">
        <f>IFERROR(C51-$D$5*QUOTIENT(C51,$D$5),0)</f>
        <v>0</v>
      </c>
      <c r="K51" t="b">
        <f>IFERROR(AND(ISNUMBER(inp_f1_29),inp_f1_29=INT(inp_f1_29),inp_f1_29&gt;=0,ABS(inp_f1_29)&lt;=999999999999999),FALSE)</f>
        <v>1</v>
      </c>
      <c r="L51">
        <f>IFERROR(ABS(inp_f1_29),0)</f>
        <v>0</v>
      </c>
      <c r="M51" t="s">
        <v>273</v>
      </c>
    </row>
    <row r="52" spans="1:13">
      <c r="A52">
        <v>7</v>
      </c>
      <c r="B52">
        <f>IFERROR(QUOTIENT($B$5,2^A52)-2*QUOTIENT($B$5,2^(A52+1)),0)</f>
        <v>0</v>
      </c>
      <c r="C52">
        <f>IFERROR(2*E51+B52*$C$5,0)</f>
        <v>0</v>
      </c>
      <c r="D52">
        <f>IFERROR(2*D51+QUOTIENT(C52,$D$5),0)</f>
        <v>0</v>
      </c>
      <c r="E52">
        <f>IFERROR(C52-$D$5*QUOTIENT(C52,$D$5),0)</f>
        <v>0</v>
      </c>
      <c r="K52" t="b">
        <f>IFERROR(AND(ISNUMBER(inp_f1_30),inp_f1_30=INT(inp_f1_30),inp_f1_30&gt;=0,ABS(inp_f1_30)&lt;=999999999999999),FALSE)</f>
        <v>1</v>
      </c>
      <c r="L52">
        <f>IFERROR(ABS(inp_f1_30),0)</f>
        <v>0</v>
      </c>
      <c r="M52" t="s">
        <v>274</v>
      </c>
    </row>
    <row r="53" spans="1:13">
      <c r="A53">
        <v>6</v>
      </c>
      <c r="B53">
        <f>IFERROR(QUOTIENT($B$5,2^A53)-2*QUOTIENT($B$5,2^(A53+1)),0)</f>
        <v>0</v>
      </c>
      <c r="C53">
        <f>IFERROR(2*E52+B53*$C$5,0)</f>
        <v>0</v>
      </c>
      <c r="D53">
        <f>IFERROR(2*D52+QUOTIENT(C53,$D$5),0)</f>
        <v>0</v>
      </c>
      <c r="E53">
        <f>IFERROR(C53-$D$5*QUOTIENT(C53,$D$5),0)</f>
        <v>0</v>
      </c>
      <c r="K53" t="b">
        <f>IFERROR(AND(ISNUMBER(inp_f2_01),inp_f2_01=INT(inp_f2_01),inp_f2_01&gt;=0,ABS(inp_f2_01)&lt;=999999999999999),FALSE)</f>
        <v>1</v>
      </c>
      <c r="L53">
        <f>IFERROR(ABS(inp_f2_01),0)</f>
        <v>0</v>
      </c>
      <c r="M53" t="s">
        <v>275</v>
      </c>
    </row>
    <row r="54" spans="1:13">
      <c r="A54">
        <v>5</v>
      </c>
      <c r="B54">
        <f>IFERROR(QUOTIENT($B$5,2^A54)-2*QUOTIENT($B$5,2^(A54+1)),0)</f>
        <v>0</v>
      </c>
      <c r="C54">
        <f>IFERROR(2*E53+B54*$C$5,0)</f>
        <v>0</v>
      </c>
      <c r="D54">
        <f>IFERROR(2*D53+QUOTIENT(C54,$D$5),0)</f>
        <v>0</v>
      </c>
      <c r="E54">
        <f>IFERROR(C54-$D$5*QUOTIENT(C54,$D$5),0)</f>
        <v>0</v>
      </c>
      <c r="K54" t="b">
        <f>IFERROR(AND(ISNUMBER(inp_f2_02),inp_f2_02=INT(inp_f2_02),inp_f2_02&gt;=0,ABS(inp_f2_02)&lt;=999999999999999),FALSE)</f>
        <v>1</v>
      </c>
      <c r="L54">
        <f>IFERROR(ABS(inp_f2_02),0)</f>
        <v>0</v>
      </c>
      <c r="M54" t="s">
        <v>276</v>
      </c>
    </row>
    <row r="55" spans="1:13">
      <c r="A55">
        <v>4</v>
      </c>
      <c r="B55">
        <f>IFERROR(QUOTIENT($B$5,2^A55)-2*QUOTIENT($B$5,2^(A55+1)),0)</f>
        <v>0</v>
      </c>
      <c r="C55">
        <f>IFERROR(2*E54+B55*$C$5,0)</f>
        <v>0</v>
      </c>
      <c r="D55">
        <f>IFERROR(2*D54+QUOTIENT(C55,$D$5),0)</f>
        <v>0</v>
      </c>
      <c r="E55">
        <f>IFERROR(C55-$D$5*QUOTIENT(C55,$D$5),0)</f>
        <v>0</v>
      </c>
      <c r="K55" t="b">
        <f>IFERROR(AND(ISNUMBER(inp_f2_03),inp_f2_03=INT(inp_f2_03),inp_f2_03&gt;=0,ABS(inp_f2_03)&lt;=999999999999999),FALSE)</f>
        <v>1</v>
      </c>
      <c r="L55">
        <f>IFERROR(ABS(inp_f2_03),0)</f>
        <v>0</v>
      </c>
      <c r="M55" t="s">
        <v>277</v>
      </c>
    </row>
    <row r="56" spans="1:13">
      <c r="A56">
        <v>3</v>
      </c>
      <c r="B56">
        <f>IFERROR(QUOTIENT($B$5,2^A56)-2*QUOTIENT($B$5,2^(A56+1)),0)</f>
        <v>0</v>
      </c>
      <c r="C56">
        <f>IFERROR(2*E55+B56*$C$5,0)</f>
        <v>0</v>
      </c>
      <c r="D56">
        <f>IFERROR(2*D55+QUOTIENT(C56,$D$5),0)</f>
        <v>0</v>
      </c>
      <c r="E56">
        <f>IFERROR(C56-$D$5*QUOTIENT(C56,$D$5),0)</f>
        <v>0</v>
      </c>
      <c r="K56" t="b">
        <f>IFERROR(AND(ISNUMBER(inp_f2_04),inp_f2_04=INT(inp_f2_04),inp_f2_04&gt;=0,ABS(inp_f2_04)&lt;=999999999999999),FALSE)</f>
        <v>1</v>
      </c>
      <c r="L56">
        <f>IFERROR(ABS(inp_f2_04),0)</f>
        <v>0</v>
      </c>
      <c r="M56" t="s">
        <v>278</v>
      </c>
    </row>
    <row r="57" spans="1:13">
      <c r="A57">
        <v>2</v>
      </c>
      <c r="B57">
        <f>IFERROR(QUOTIENT($B$5,2^A57)-2*QUOTIENT($B$5,2^(A57+1)),0)</f>
        <v>0</v>
      </c>
      <c r="C57">
        <f>IFERROR(2*E56+B57*$C$5,0)</f>
        <v>0</v>
      </c>
      <c r="D57">
        <f>IFERROR(2*D56+QUOTIENT(C57,$D$5),0)</f>
        <v>0</v>
      </c>
      <c r="E57">
        <f>IFERROR(C57-$D$5*QUOTIENT(C57,$D$5),0)</f>
        <v>0</v>
      </c>
      <c r="K57" t="b">
        <f>IFERROR(AND(ISNUMBER(inp_f2_06),inp_f2_06=INT(inp_f2_06),inp_f2_06&gt;=0,ABS(inp_f2_06)&lt;=999999999999999),FALSE)</f>
        <v>1</v>
      </c>
      <c r="L57">
        <f>IFERROR(ABS(inp_f2_06),0)</f>
        <v>0</v>
      </c>
      <c r="M57" t="s">
        <v>279</v>
      </c>
    </row>
    <row r="58" spans="1:13">
      <c r="A58">
        <v>1</v>
      </c>
      <c r="B58">
        <f>IFERROR(QUOTIENT($B$5,2^A58)-2*QUOTIENT($B$5,2^(A58+1)),0)</f>
        <v>0</v>
      </c>
      <c r="C58">
        <f>IFERROR(2*E57+B58*$C$5,0)</f>
        <v>0</v>
      </c>
      <c r="D58">
        <f>IFERROR(2*D57+QUOTIENT(C58,$D$5),0)</f>
        <v>0</v>
      </c>
      <c r="E58">
        <f>IFERROR(C58-$D$5*QUOTIENT(C58,$D$5),0)</f>
        <v>0</v>
      </c>
      <c r="K58" t="b">
        <f>IFERROR(AND(ISNUMBER(inp_f2_07),inp_f2_07=INT(inp_f2_07),inp_f2_07&gt;=0,ABS(inp_f2_07)&lt;=999999999999999),FALSE)</f>
        <v>1</v>
      </c>
      <c r="L58">
        <f>IFERROR(ABS(inp_f2_07),0)</f>
        <v>0</v>
      </c>
      <c r="M58" t="s">
        <v>280</v>
      </c>
    </row>
    <row r="59" spans="1:13">
      <c r="A59">
        <v>0</v>
      </c>
      <c r="B59">
        <f>IFERROR(QUOTIENT($B$5,2^A59)-2*QUOTIENT($B$5,2^(A59+1)),0)</f>
        <v>0</v>
      </c>
      <c r="C59">
        <f>IFERROR(2*E58+B59*$C$5,0)</f>
        <v>0</v>
      </c>
      <c r="D59">
        <f>IFERROR(2*D58+QUOTIENT(C59,$D$5),0)</f>
        <v>0</v>
      </c>
      <c r="E59">
        <f>IFERROR(C59-$D$5*QUOTIENT(C59,$D$5),0)</f>
        <v>0</v>
      </c>
      <c r="K59" t="b">
        <f>IFERROR(AND(ISNUMBER(inp_f2_08),inp_f2_08=INT(inp_f2_08),inp_f2_08&gt;=0,ABS(inp_f2_08)&lt;=999999999999999),FALSE)</f>
        <v>1</v>
      </c>
      <c r="L59">
        <f>IFERROR(ABS(inp_f2_08),0)</f>
        <v>0</v>
      </c>
      <c r="M59" t="s">
        <v>281</v>
      </c>
    </row>
    <row r="60" spans="1:13">
      <c r="A60" t="s">
        <v>452</v>
      </c>
      <c r="B60">
        <f>IFERROR(E5*D59,0)</f>
        <v>0</v>
      </c>
      <c r="C60">
        <f>IFERROR(E59,0)</f>
        <v>0</v>
      </c>
      <c r="D60">
        <f>IFERROR(B60-IF(E5&lt;0,IF(C60=0,0,1),0),0)</f>
        <v>0</v>
      </c>
      <c r="E60">
        <f>IFERROR(IF(E5&lt;0,IF(C60=0,0,D5-C60),C60),0)</f>
        <v>0</v>
      </c>
      <c r="F60" t="b">
        <f>IFERROR(OR(F5=0,AND(B5&lt;=9007199254740990,C5&lt;=9007199254740990,F5&gt;0,F5&lt;=9007199254740990,2*D5+C5&lt;=9007199254740990,ABS(B60)&lt;=9007199254740990)),0)</f>
        <v>1</v>
      </c>
      <c r="K60" t="b">
        <f>IFERROR(AND(ISNUMBER(inp_f2_12),inp_f2_12=INT(inp_f2_12),inp_f2_12&gt;=0,ABS(inp_f2_12)&lt;=999999999999999),FALSE)</f>
        <v>1</v>
      </c>
      <c r="L60">
        <f>IFERROR(ABS(inp_f2_12),0)</f>
        <v>0</v>
      </c>
      <c r="M60" t="s">
        <v>282</v>
      </c>
    </row>
    <row r="61" spans="1:13">
      <c r="K61" t="b">
        <f>IFERROR(AND(ISNUMBER(inp_f2_15),inp_f2_15=INT(inp_f2_15),inp_f2_15&gt;=0,ABS(inp_f2_15)&lt;=999999999999999),FALSE)</f>
        <v>1</v>
      </c>
      <c r="L61">
        <f>IFERROR(ABS(inp_f2_15),0)</f>
        <v>0</v>
      </c>
      <c r="M61" t="s">
        <v>283</v>
      </c>
    </row>
    <row r="62" spans="1:13">
      <c r="A62" s="2" t="s">
        <v>445</v>
      </c>
      <c r="B62" s="2" t="s">
        <v>446</v>
      </c>
      <c r="C62" s="2" t="s">
        <v>447</v>
      </c>
      <c r="D62" s="2" t="s">
        <v>448</v>
      </c>
      <c r="E62" s="2" t="s">
        <v>449</v>
      </c>
      <c r="F62" s="2"/>
      <c r="G62" s="2"/>
      <c r="H62" s="2"/>
      <c r="K62" t="b">
        <f>IFERROR(AND(ISNUMBER(inp_f2_16),inp_f2_16=INT(inp_f2_16),inp_f2_16&gt;=0,ABS(inp_f2_16)&lt;=999999999999999),FALSE)</f>
        <v>1</v>
      </c>
      <c r="L62">
        <f>IFERROR(ABS(inp_f2_16),0)</f>
        <v>0</v>
      </c>
      <c r="M62" t="s">
        <v>284</v>
      </c>
    </row>
    <row r="63" spans="1:13">
      <c r="A63" t="s">
        <v>453</v>
      </c>
      <c r="B63">
        <f>IFERROR(ABS(f1_31),0)</f>
        <v>0</v>
      </c>
      <c r="C63">
        <f>IFERROR(ABS(2),0)</f>
        <v>2</v>
      </c>
      <c r="D63">
        <f>IFERROR(MAX(1,IFERROR(ABS(5),0)),0)</f>
        <v>5</v>
      </c>
      <c r="E63">
        <f>IFERROR(SIGN(f1_31)*SIGN(2)*SIGN(5),0)</f>
        <v>0</v>
      </c>
      <c r="F63">
        <f>IFERROR(ABS(5),0)</f>
        <v>5</v>
      </c>
      <c r="G63" t="b">
        <f>IFERROR(F118,0)</f>
        <v>1</v>
      </c>
      <c r="H63" s="3" t="s">
        <v>454</v>
      </c>
      <c r="K63" t="b">
        <f>IFERROR(AND(ISNUMBER(inp_f2_21),inp_f2_21=INT(inp_f2_21),inp_f2_21&gt;=0,ABS(inp_f2_21)&lt;=999999999999999),FALSE)</f>
        <v>1</v>
      </c>
      <c r="L63">
        <f>IFERROR(ABS(inp_f2_21),0)</f>
        <v>0</v>
      </c>
      <c r="M63" t="s">
        <v>285</v>
      </c>
    </row>
    <row r="64" spans="1:13">
      <c r="D64">
        <v>0</v>
      </c>
      <c r="E64">
        <v>0</v>
      </c>
      <c r="K64" t="b">
        <f>IFERROR(AND(ISNUMBER(inp_f2_23),inp_f2_23=INT(inp_f2_23),inp_f2_23&gt;=0,ABS(inp_f2_23)&lt;=999999999999999),FALSE)</f>
        <v>1</v>
      </c>
      <c r="L64">
        <f>IFERROR(ABS(inp_f2_23),0)</f>
        <v>0</v>
      </c>
      <c r="M64" t="s">
        <v>286</v>
      </c>
    </row>
    <row r="65" spans="1:5">
      <c r="A65">
        <v>52</v>
      </c>
      <c r="B65">
        <f>IFERROR(QUOTIENT($B$63,2^A65)-2*QUOTIENT($B$63,2^(A65+1)),0)</f>
        <v>0</v>
      </c>
      <c r="C65">
        <f>IFERROR(2*E64+B65*$C$63,0)</f>
        <v>0</v>
      </c>
      <c r="D65">
        <f>IFERROR(2*D64+QUOTIENT(C65,$D$63),0)</f>
        <v>0</v>
      </c>
      <c r="E65">
        <f>IFERROR(C65-$D$63*QUOTIENT(C65,$D$63),0)</f>
        <v>0</v>
      </c>
    </row>
    <row r="66" spans="1:5">
      <c r="A66">
        <v>51</v>
      </c>
      <c r="B66">
        <f>IFERROR(QUOTIENT($B$63,2^A66)-2*QUOTIENT($B$63,2^(A66+1)),0)</f>
        <v>0</v>
      </c>
      <c r="C66">
        <f>IFERROR(2*E65+B66*$C$63,0)</f>
        <v>0</v>
      </c>
      <c r="D66">
        <f>IFERROR(2*D65+QUOTIENT(C66,$D$63),0)</f>
        <v>0</v>
      </c>
      <c r="E66">
        <f>IFERROR(C66-$D$63*QUOTIENT(C66,$D$63),0)</f>
        <v>0</v>
      </c>
    </row>
    <row r="67" spans="1:5">
      <c r="A67">
        <v>50</v>
      </c>
      <c r="B67">
        <f>IFERROR(QUOTIENT($B$63,2^A67)-2*QUOTIENT($B$63,2^(A67+1)),0)</f>
        <v>0</v>
      </c>
      <c r="C67">
        <f>IFERROR(2*E66+B67*$C$63,0)</f>
        <v>0</v>
      </c>
      <c r="D67">
        <f>IFERROR(2*D66+QUOTIENT(C67,$D$63),0)</f>
        <v>0</v>
      </c>
      <c r="E67">
        <f>IFERROR(C67-$D$63*QUOTIENT(C67,$D$63),0)</f>
        <v>0</v>
      </c>
    </row>
    <row r="68" spans="1:5">
      <c r="A68">
        <v>49</v>
      </c>
      <c r="B68">
        <f>IFERROR(QUOTIENT($B$63,2^A68)-2*QUOTIENT($B$63,2^(A68+1)),0)</f>
        <v>0</v>
      </c>
      <c r="C68">
        <f>IFERROR(2*E67+B68*$C$63,0)</f>
        <v>0</v>
      </c>
      <c r="D68">
        <f>IFERROR(2*D67+QUOTIENT(C68,$D$63),0)</f>
        <v>0</v>
      </c>
      <c r="E68">
        <f>IFERROR(C68-$D$63*QUOTIENT(C68,$D$63),0)</f>
        <v>0</v>
      </c>
    </row>
    <row r="69" spans="1:5">
      <c r="A69">
        <v>48</v>
      </c>
      <c r="B69">
        <f>IFERROR(QUOTIENT($B$63,2^A69)-2*QUOTIENT($B$63,2^(A69+1)),0)</f>
        <v>0</v>
      </c>
      <c r="C69">
        <f>IFERROR(2*E68+B69*$C$63,0)</f>
        <v>0</v>
      </c>
      <c r="D69">
        <f>IFERROR(2*D68+QUOTIENT(C69,$D$63),0)</f>
        <v>0</v>
      </c>
      <c r="E69">
        <f>IFERROR(C69-$D$63*QUOTIENT(C69,$D$63),0)</f>
        <v>0</v>
      </c>
    </row>
    <row r="70" spans="1:5">
      <c r="A70">
        <v>47</v>
      </c>
      <c r="B70">
        <f>IFERROR(QUOTIENT($B$63,2^A70)-2*QUOTIENT($B$63,2^(A70+1)),0)</f>
        <v>0</v>
      </c>
      <c r="C70">
        <f>IFERROR(2*E69+B70*$C$63,0)</f>
        <v>0</v>
      </c>
      <c r="D70">
        <f>IFERROR(2*D69+QUOTIENT(C70,$D$63),0)</f>
        <v>0</v>
      </c>
      <c r="E70">
        <f>IFERROR(C70-$D$63*QUOTIENT(C70,$D$63),0)</f>
        <v>0</v>
      </c>
    </row>
    <row r="71" spans="1:5">
      <c r="A71">
        <v>46</v>
      </c>
      <c r="B71">
        <f>IFERROR(QUOTIENT($B$63,2^A71)-2*QUOTIENT($B$63,2^(A71+1)),0)</f>
        <v>0</v>
      </c>
      <c r="C71">
        <f>IFERROR(2*E70+B71*$C$63,0)</f>
        <v>0</v>
      </c>
      <c r="D71">
        <f>IFERROR(2*D70+QUOTIENT(C71,$D$63),0)</f>
        <v>0</v>
      </c>
      <c r="E71">
        <f>IFERROR(C71-$D$63*QUOTIENT(C71,$D$63),0)</f>
        <v>0</v>
      </c>
    </row>
    <row r="72" spans="1:5">
      <c r="A72">
        <v>45</v>
      </c>
      <c r="B72">
        <f>IFERROR(QUOTIENT($B$63,2^A72)-2*QUOTIENT($B$63,2^(A72+1)),0)</f>
        <v>0</v>
      </c>
      <c r="C72">
        <f>IFERROR(2*E71+B72*$C$63,0)</f>
        <v>0</v>
      </c>
      <c r="D72">
        <f>IFERROR(2*D71+QUOTIENT(C72,$D$63),0)</f>
        <v>0</v>
      </c>
      <c r="E72">
        <f>IFERROR(C72-$D$63*QUOTIENT(C72,$D$63),0)</f>
        <v>0</v>
      </c>
    </row>
    <row r="73" spans="1:5">
      <c r="A73">
        <v>44</v>
      </c>
      <c r="B73">
        <f>IFERROR(QUOTIENT($B$63,2^A73)-2*QUOTIENT($B$63,2^(A73+1)),0)</f>
        <v>0</v>
      </c>
      <c r="C73">
        <f>IFERROR(2*E72+B73*$C$63,0)</f>
        <v>0</v>
      </c>
      <c r="D73">
        <f>IFERROR(2*D72+QUOTIENT(C73,$D$63),0)</f>
        <v>0</v>
      </c>
      <c r="E73">
        <f>IFERROR(C73-$D$63*QUOTIENT(C73,$D$63),0)</f>
        <v>0</v>
      </c>
    </row>
    <row r="74" spans="1:5">
      <c r="A74">
        <v>43</v>
      </c>
      <c r="B74">
        <f>IFERROR(QUOTIENT($B$63,2^A74)-2*QUOTIENT($B$63,2^(A74+1)),0)</f>
        <v>0</v>
      </c>
      <c r="C74">
        <f>IFERROR(2*E73+B74*$C$63,0)</f>
        <v>0</v>
      </c>
      <c r="D74">
        <f>IFERROR(2*D73+QUOTIENT(C74,$D$63),0)</f>
        <v>0</v>
      </c>
      <c r="E74">
        <f>IFERROR(C74-$D$63*QUOTIENT(C74,$D$63),0)</f>
        <v>0</v>
      </c>
    </row>
    <row r="75" spans="1:5">
      <c r="A75">
        <v>42</v>
      </c>
      <c r="B75">
        <f>IFERROR(QUOTIENT($B$63,2^A75)-2*QUOTIENT($B$63,2^(A75+1)),0)</f>
        <v>0</v>
      </c>
      <c r="C75">
        <f>IFERROR(2*E74+B75*$C$63,0)</f>
        <v>0</v>
      </c>
      <c r="D75">
        <f>IFERROR(2*D74+QUOTIENT(C75,$D$63),0)</f>
        <v>0</v>
      </c>
      <c r="E75">
        <f>IFERROR(C75-$D$63*QUOTIENT(C75,$D$63),0)</f>
        <v>0</v>
      </c>
    </row>
    <row r="76" spans="1:5">
      <c r="A76">
        <v>41</v>
      </c>
      <c r="B76">
        <f>IFERROR(QUOTIENT($B$63,2^A76)-2*QUOTIENT($B$63,2^(A76+1)),0)</f>
        <v>0</v>
      </c>
      <c r="C76">
        <f>IFERROR(2*E75+B76*$C$63,0)</f>
        <v>0</v>
      </c>
      <c r="D76">
        <f>IFERROR(2*D75+QUOTIENT(C76,$D$63),0)</f>
        <v>0</v>
      </c>
      <c r="E76">
        <f>IFERROR(C76-$D$63*QUOTIENT(C76,$D$63),0)</f>
        <v>0</v>
      </c>
    </row>
    <row r="77" spans="1:5">
      <c r="A77">
        <v>40</v>
      </c>
      <c r="B77">
        <f>IFERROR(QUOTIENT($B$63,2^A77)-2*QUOTIENT($B$63,2^(A77+1)),0)</f>
        <v>0</v>
      </c>
      <c r="C77">
        <f>IFERROR(2*E76+B77*$C$63,0)</f>
        <v>0</v>
      </c>
      <c r="D77">
        <f>IFERROR(2*D76+QUOTIENT(C77,$D$63),0)</f>
        <v>0</v>
      </c>
      <c r="E77">
        <f>IFERROR(C77-$D$63*QUOTIENT(C77,$D$63),0)</f>
        <v>0</v>
      </c>
    </row>
    <row r="78" spans="1:5">
      <c r="A78">
        <v>39</v>
      </c>
      <c r="B78">
        <f>IFERROR(QUOTIENT($B$63,2^A78)-2*QUOTIENT($B$63,2^(A78+1)),0)</f>
        <v>0</v>
      </c>
      <c r="C78">
        <f>IFERROR(2*E77+B78*$C$63,0)</f>
        <v>0</v>
      </c>
      <c r="D78">
        <f>IFERROR(2*D77+QUOTIENT(C78,$D$63),0)</f>
        <v>0</v>
      </c>
      <c r="E78">
        <f>IFERROR(C78-$D$63*QUOTIENT(C78,$D$63),0)</f>
        <v>0</v>
      </c>
    </row>
    <row r="79" spans="1:5">
      <c r="A79">
        <v>38</v>
      </c>
      <c r="B79">
        <f>IFERROR(QUOTIENT($B$63,2^A79)-2*QUOTIENT($B$63,2^(A79+1)),0)</f>
        <v>0</v>
      </c>
      <c r="C79">
        <f>IFERROR(2*E78+B79*$C$63,0)</f>
        <v>0</v>
      </c>
      <c r="D79">
        <f>IFERROR(2*D78+QUOTIENT(C79,$D$63),0)</f>
        <v>0</v>
      </c>
      <c r="E79">
        <f>IFERROR(C79-$D$63*QUOTIENT(C79,$D$63),0)</f>
        <v>0</v>
      </c>
    </row>
    <row r="80" spans="1:5">
      <c r="A80">
        <v>37</v>
      </c>
      <c r="B80">
        <f>IFERROR(QUOTIENT($B$63,2^A80)-2*QUOTIENT($B$63,2^(A80+1)),0)</f>
        <v>0</v>
      </c>
      <c r="C80">
        <f>IFERROR(2*E79+B80*$C$63,0)</f>
        <v>0</v>
      </c>
      <c r="D80">
        <f>IFERROR(2*D79+QUOTIENT(C80,$D$63),0)</f>
        <v>0</v>
      </c>
      <c r="E80">
        <f>IFERROR(C80-$D$63*QUOTIENT(C80,$D$63),0)</f>
        <v>0</v>
      </c>
    </row>
    <row r="81" spans="1:5">
      <c r="A81">
        <v>36</v>
      </c>
      <c r="B81">
        <f>IFERROR(QUOTIENT($B$63,2^A81)-2*QUOTIENT($B$63,2^(A81+1)),0)</f>
        <v>0</v>
      </c>
      <c r="C81">
        <f>IFERROR(2*E80+B81*$C$63,0)</f>
        <v>0</v>
      </c>
      <c r="D81">
        <f>IFERROR(2*D80+QUOTIENT(C81,$D$63),0)</f>
        <v>0</v>
      </c>
      <c r="E81">
        <f>IFERROR(C81-$D$63*QUOTIENT(C81,$D$63),0)</f>
        <v>0</v>
      </c>
    </row>
    <row r="82" spans="1:5">
      <c r="A82">
        <v>35</v>
      </c>
      <c r="B82">
        <f>IFERROR(QUOTIENT($B$63,2^A82)-2*QUOTIENT($B$63,2^(A82+1)),0)</f>
        <v>0</v>
      </c>
      <c r="C82">
        <f>IFERROR(2*E81+B82*$C$63,0)</f>
        <v>0</v>
      </c>
      <c r="D82">
        <f>IFERROR(2*D81+QUOTIENT(C82,$D$63),0)</f>
        <v>0</v>
      </c>
      <c r="E82">
        <f>IFERROR(C82-$D$63*QUOTIENT(C82,$D$63),0)</f>
        <v>0</v>
      </c>
    </row>
    <row r="83" spans="1:5">
      <c r="A83">
        <v>34</v>
      </c>
      <c r="B83">
        <f>IFERROR(QUOTIENT($B$63,2^A83)-2*QUOTIENT($B$63,2^(A83+1)),0)</f>
        <v>0</v>
      </c>
      <c r="C83">
        <f>IFERROR(2*E82+B83*$C$63,0)</f>
        <v>0</v>
      </c>
      <c r="D83">
        <f>IFERROR(2*D82+QUOTIENT(C83,$D$63),0)</f>
        <v>0</v>
      </c>
      <c r="E83">
        <f>IFERROR(C83-$D$63*QUOTIENT(C83,$D$63),0)</f>
        <v>0</v>
      </c>
    </row>
    <row r="84" spans="1:5">
      <c r="A84">
        <v>33</v>
      </c>
      <c r="B84">
        <f>IFERROR(QUOTIENT($B$63,2^A84)-2*QUOTIENT($B$63,2^(A84+1)),0)</f>
        <v>0</v>
      </c>
      <c r="C84">
        <f>IFERROR(2*E83+B84*$C$63,0)</f>
        <v>0</v>
      </c>
      <c r="D84">
        <f>IFERROR(2*D83+QUOTIENT(C84,$D$63),0)</f>
        <v>0</v>
      </c>
      <c r="E84">
        <f>IFERROR(C84-$D$63*QUOTIENT(C84,$D$63),0)</f>
        <v>0</v>
      </c>
    </row>
    <row r="85" spans="1:5">
      <c r="A85">
        <v>32</v>
      </c>
      <c r="B85">
        <f>IFERROR(QUOTIENT($B$63,2^A85)-2*QUOTIENT($B$63,2^(A85+1)),0)</f>
        <v>0</v>
      </c>
      <c r="C85">
        <f>IFERROR(2*E84+B85*$C$63,0)</f>
        <v>0</v>
      </c>
      <c r="D85">
        <f>IFERROR(2*D84+QUOTIENT(C85,$D$63),0)</f>
        <v>0</v>
      </c>
      <c r="E85">
        <f>IFERROR(C85-$D$63*QUOTIENT(C85,$D$63),0)</f>
        <v>0</v>
      </c>
    </row>
    <row r="86" spans="1:5">
      <c r="A86">
        <v>31</v>
      </c>
      <c r="B86">
        <f>IFERROR(QUOTIENT($B$63,2^A86)-2*QUOTIENT($B$63,2^(A86+1)),0)</f>
        <v>0</v>
      </c>
      <c r="C86">
        <f>IFERROR(2*E85+B86*$C$63,0)</f>
        <v>0</v>
      </c>
      <c r="D86">
        <f>IFERROR(2*D85+QUOTIENT(C86,$D$63),0)</f>
        <v>0</v>
      </c>
      <c r="E86">
        <f>IFERROR(C86-$D$63*QUOTIENT(C86,$D$63),0)</f>
        <v>0</v>
      </c>
    </row>
    <row r="87" spans="1:5">
      <c r="A87">
        <v>30</v>
      </c>
      <c r="B87">
        <f>IFERROR(QUOTIENT($B$63,2^A87)-2*QUOTIENT($B$63,2^(A87+1)),0)</f>
        <v>0</v>
      </c>
      <c r="C87">
        <f>IFERROR(2*E86+B87*$C$63,0)</f>
        <v>0</v>
      </c>
      <c r="D87">
        <f>IFERROR(2*D86+QUOTIENT(C87,$D$63),0)</f>
        <v>0</v>
      </c>
      <c r="E87">
        <f>IFERROR(C87-$D$63*QUOTIENT(C87,$D$63),0)</f>
        <v>0</v>
      </c>
    </row>
    <row r="88" spans="1:5">
      <c r="A88">
        <v>29</v>
      </c>
      <c r="B88">
        <f>IFERROR(QUOTIENT($B$63,2^A88)-2*QUOTIENT($B$63,2^(A88+1)),0)</f>
        <v>0</v>
      </c>
      <c r="C88">
        <f>IFERROR(2*E87+B88*$C$63,0)</f>
        <v>0</v>
      </c>
      <c r="D88">
        <f>IFERROR(2*D87+QUOTIENT(C88,$D$63),0)</f>
        <v>0</v>
      </c>
      <c r="E88">
        <f>IFERROR(C88-$D$63*QUOTIENT(C88,$D$63),0)</f>
        <v>0</v>
      </c>
    </row>
    <row r="89" spans="1:5">
      <c r="A89">
        <v>28</v>
      </c>
      <c r="B89">
        <f>IFERROR(QUOTIENT($B$63,2^A89)-2*QUOTIENT($B$63,2^(A89+1)),0)</f>
        <v>0</v>
      </c>
      <c r="C89">
        <f>IFERROR(2*E88+B89*$C$63,0)</f>
        <v>0</v>
      </c>
      <c r="D89">
        <f>IFERROR(2*D88+QUOTIENT(C89,$D$63),0)</f>
        <v>0</v>
      </c>
      <c r="E89">
        <f>IFERROR(C89-$D$63*QUOTIENT(C89,$D$63),0)</f>
        <v>0</v>
      </c>
    </row>
    <row r="90" spans="1:5">
      <c r="A90">
        <v>27</v>
      </c>
      <c r="B90">
        <f>IFERROR(QUOTIENT($B$63,2^A90)-2*QUOTIENT($B$63,2^(A90+1)),0)</f>
        <v>0</v>
      </c>
      <c r="C90">
        <f>IFERROR(2*E89+B90*$C$63,0)</f>
        <v>0</v>
      </c>
      <c r="D90">
        <f>IFERROR(2*D89+QUOTIENT(C90,$D$63),0)</f>
        <v>0</v>
      </c>
      <c r="E90">
        <f>IFERROR(C90-$D$63*QUOTIENT(C90,$D$63),0)</f>
        <v>0</v>
      </c>
    </row>
    <row r="91" spans="1:5">
      <c r="A91">
        <v>26</v>
      </c>
      <c r="B91">
        <f>IFERROR(QUOTIENT($B$63,2^A91)-2*QUOTIENT($B$63,2^(A91+1)),0)</f>
        <v>0</v>
      </c>
      <c r="C91">
        <f>IFERROR(2*E90+B91*$C$63,0)</f>
        <v>0</v>
      </c>
      <c r="D91">
        <f>IFERROR(2*D90+QUOTIENT(C91,$D$63),0)</f>
        <v>0</v>
      </c>
      <c r="E91">
        <f>IFERROR(C91-$D$63*QUOTIENT(C91,$D$63),0)</f>
        <v>0</v>
      </c>
    </row>
    <row r="92" spans="1:5">
      <c r="A92">
        <v>25</v>
      </c>
      <c r="B92">
        <f>IFERROR(QUOTIENT($B$63,2^A92)-2*QUOTIENT($B$63,2^(A92+1)),0)</f>
        <v>0</v>
      </c>
      <c r="C92">
        <f>IFERROR(2*E91+B92*$C$63,0)</f>
        <v>0</v>
      </c>
      <c r="D92">
        <f>IFERROR(2*D91+QUOTIENT(C92,$D$63),0)</f>
        <v>0</v>
      </c>
      <c r="E92">
        <f>IFERROR(C92-$D$63*QUOTIENT(C92,$D$63),0)</f>
        <v>0</v>
      </c>
    </row>
    <row r="93" spans="1:5">
      <c r="A93">
        <v>24</v>
      </c>
      <c r="B93">
        <f>IFERROR(QUOTIENT($B$63,2^A93)-2*QUOTIENT($B$63,2^(A93+1)),0)</f>
        <v>0</v>
      </c>
      <c r="C93">
        <f>IFERROR(2*E92+B93*$C$63,0)</f>
        <v>0</v>
      </c>
      <c r="D93">
        <f>IFERROR(2*D92+QUOTIENT(C93,$D$63),0)</f>
        <v>0</v>
      </c>
      <c r="E93">
        <f>IFERROR(C93-$D$63*QUOTIENT(C93,$D$63),0)</f>
        <v>0</v>
      </c>
    </row>
    <row r="94" spans="1:5">
      <c r="A94">
        <v>23</v>
      </c>
      <c r="B94">
        <f>IFERROR(QUOTIENT($B$63,2^A94)-2*QUOTIENT($B$63,2^(A94+1)),0)</f>
        <v>0</v>
      </c>
      <c r="C94">
        <f>IFERROR(2*E93+B94*$C$63,0)</f>
        <v>0</v>
      </c>
      <c r="D94">
        <f>IFERROR(2*D93+QUOTIENT(C94,$D$63),0)</f>
        <v>0</v>
      </c>
      <c r="E94">
        <f>IFERROR(C94-$D$63*QUOTIENT(C94,$D$63),0)</f>
        <v>0</v>
      </c>
    </row>
    <row r="95" spans="1:5">
      <c r="A95">
        <v>22</v>
      </c>
      <c r="B95">
        <f>IFERROR(QUOTIENT($B$63,2^A95)-2*QUOTIENT($B$63,2^(A95+1)),0)</f>
        <v>0</v>
      </c>
      <c r="C95">
        <f>IFERROR(2*E94+B95*$C$63,0)</f>
        <v>0</v>
      </c>
      <c r="D95">
        <f>IFERROR(2*D94+QUOTIENT(C95,$D$63),0)</f>
        <v>0</v>
      </c>
      <c r="E95">
        <f>IFERROR(C95-$D$63*QUOTIENT(C95,$D$63),0)</f>
        <v>0</v>
      </c>
    </row>
    <row r="96" spans="1:5">
      <c r="A96">
        <v>21</v>
      </c>
      <c r="B96">
        <f>IFERROR(QUOTIENT($B$63,2^A96)-2*QUOTIENT($B$63,2^(A96+1)),0)</f>
        <v>0</v>
      </c>
      <c r="C96">
        <f>IFERROR(2*E95+B96*$C$63,0)</f>
        <v>0</v>
      </c>
      <c r="D96">
        <f>IFERROR(2*D95+QUOTIENT(C96,$D$63),0)</f>
        <v>0</v>
      </c>
      <c r="E96">
        <f>IFERROR(C96-$D$63*QUOTIENT(C96,$D$63),0)</f>
        <v>0</v>
      </c>
    </row>
    <row r="97" spans="1:5">
      <c r="A97">
        <v>20</v>
      </c>
      <c r="B97">
        <f>IFERROR(QUOTIENT($B$63,2^A97)-2*QUOTIENT($B$63,2^(A97+1)),0)</f>
        <v>0</v>
      </c>
      <c r="C97">
        <f>IFERROR(2*E96+B97*$C$63,0)</f>
        <v>0</v>
      </c>
      <c r="D97">
        <f>IFERROR(2*D96+QUOTIENT(C97,$D$63),0)</f>
        <v>0</v>
      </c>
      <c r="E97">
        <f>IFERROR(C97-$D$63*QUOTIENT(C97,$D$63),0)</f>
        <v>0</v>
      </c>
    </row>
    <row r="98" spans="1:5">
      <c r="A98">
        <v>19</v>
      </c>
      <c r="B98">
        <f>IFERROR(QUOTIENT($B$63,2^A98)-2*QUOTIENT($B$63,2^(A98+1)),0)</f>
        <v>0</v>
      </c>
      <c r="C98">
        <f>IFERROR(2*E97+B98*$C$63,0)</f>
        <v>0</v>
      </c>
      <c r="D98">
        <f>IFERROR(2*D97+QUOTIENT(C98,$D$63),0)</f>
        <v>0</v>
      </c>
      <c r="E98">
        <f>IFERROR(C98-$D$63*QUOTIENT(C98,$D$63),0)</f>
        <v>0</v>
      </c>
    </row>
    <row r="99" spans="1:5">
      <c r="A99">
        <v>18</v>
      </c>
      <c r="B99">
        <f>IFERROR(QUOTIENT($B$63,2^A99)-2*QUOTIENT($B$63,2^(A99+1)),0)</f>
        <v>0</v>
      </c>
      <c r="C99">
        <f>IFERROR(2*E98+B99*$C$63,0)</f>
        <v>0</v>
      </c>
      <c r="D99">
        <f>IFERROR(2*D98+QUOTIENT(C99,$D$63),0)</f>
        <v>0</v>
      </c>
      <c r="E99">
        <f>IFERROR(C99-$D$63*QUOTIENT(C99,$D$63),0)</f>
        <v>0</v>
      </c>
    </row>
    <row r="100" spans="1:5">
      <c r="A100">
        <v>17</v>
      </c>
      <c r="B100">
        <f>IFERROR(QUOTIENT($B$63,2^A100)-2*QUOTIENT($B$63,2^(A100+1)),0)</f>
        <v>0</v>
      </c>
      <c r="C100">
        <f>IFERROR(2*E99+B100*$C$63,0)</f>
        <v>0</v>
      </c>
      <c r="D100">
        <f>IFERROR(2*D99+QUOTIENT(C100,$D$63),0)</f>
        <v>0</v>
      </c>
      <c r="E100">
        <f>IFERROR(C100-$D$63*QUOTIENT(C100,$D$63),0)</f>
        <v>0</v>
      </c>
    </row>
    <row r="101" spans="1:5">
      <c r="A101">
        <v>16</v>
      </c>
      <c r="B101">
        <f>IFERROR(QUOTIENT($B$63,2^A101)-2*QUOTIENT($B$63,2^(A101+1)),0)</f>
        <v>0</v>
      </c>
      <c r="C101">
        <f>IFERROR(2*E100+B101*$C$63,0)</f>
        <v>0</v>
      </c>
      <c r="D101">
        <f>IFERROR(2*D100+QUOTIENT(C101,$D$63),0)</f>
        <v>0</v>
      </c>
      <c r="E101">
        <f>IFERROR(C101-$D$63*QUOTIENT(C101,$D$63),0)</f>
        <v>0</v>
      </c>
    </row>
    <row r="102" spans="1:5">
      <c r="A102">
        <v>15</v>
      </c>
      <c r="B102">
        <f>IFERROR(QUOTIENT($B$63,2^A102)-2*QUOTIENT($B$63,2^(A102+1)),0)</f>
        <v>0</v>
      </c>
      <c r="C102">
        <f>IFERROR(2*E101+B102*$C$63,0)</f>
        <v>0</v>
      </c>
      <c r="D102">
        <f>IFERROR(2*D101+QUOTIENT(C102,$D$63),0)</f>
        <v>0</v>
      </c>
      <c r="E102">
        <f>IFERROR(C102-$D$63*QUOTIENT(C102,$D$63),0)</f>
        <v>0</v>
      </c>
    </row>
    <row r="103" spans="1:5">
      <c r="A103">
        <v>14</v>
      </c>
      <c r="B103">
        <f>IFERROR(QUOTIENT($B$63,2^A103)-2*QUOTIENT($B$63,2^(A103+1)),0)</f>
        <v>0</v>
      </c>
      <c r="C103">
        <f>IFERROR(2*E102+B103*$C$63,0)</f>
        <v>0</v>
      </c>
      <c r="D103">
        <f>IFERROR(2*D102+QUOTIENT(C103,$D$63),0)</f>
        <v>0</v>
      </c>
      <c r="E103">
        <f>IFERROR(C103-$D$63*QUOTIENT(C103,$D$63),0)</f>
        <v>0</v>
      </c>
    </row>
    <row r="104" spans="1:5">
      <c r="A104">
        <v>13</v>
      </c>
      <c r="B104">
        <f>IFERROR(QUOTIENT($B$63,2^A104)-2*QUOTIENT($B$63,2^(A104+1)),0)</f>
        <v>0</v>
      </c>
      <c r="C104">
        <f>IFERROR(2*E103+B104*$C$63,0)</f>
        <v>0</v>
      </c>
      <c r="D104">
        <f>IFERROR(2*D103+QUOTIENT(C104,$D$63),0)</f>
        <v>0</v>
      </c>
      <c r="E104">
        <f>IFERROR(C104-$D$63*QUOTIENT(C104,$D$63),0)</f>
        <v>0</v>
      </c>
    </row>
    <row r="105" spans="1:5">
      <c r="A105">
        <v>12</v>
      </c>
      <c r="B105">
        <f>IFERROR(QUOTIENT($B$63,2^A105)-2*QUOTIENT($B$63,2^(A105+1)),0)</f>
        <v>0</v>
      </c>
      <c r="C105">
        <f>IFERROR(2*E104+B105*$C$63,0)</f>
        <v>0</v>
      </c>
      <c r="D105">
        <f>IFERROR(2*D104+QUOTIENT(C105,$D$63),0)</f>
        <v>0</v>
      </c>
      <c r="E105">
        <f>IFERROR(C105-$D$63*QUOTIENT(C105,$D$63),0)</f>
        <v>0</v>
      </c>
    </row>
    <row r="106" spans="1:5">
      <c r="A106">
        <v>11</v>
      </c>
      <c r="B106">
        <f>IFERROR(QUOTIENT($B$63,2^A106)-2*QUOTIENT($B$63,2^(A106+1)),0)</f>
        <v>0</v>
      </c>
      <c r="C106">
        <f>IFERROR(2*E105+B106*$C$63,0)</f>
        <v>0</v>
      </c>
      <c r="D106">
        <f>IFERROR(2*D105+QUOTIENT(C106,$D$63),0)</f>
        <v>0</v>
      </c>
      <c r="E106">
        <f>IFERROR(C106-$D$63*QUOTIENT(C106,$D$63),0)</f>
        <v>0</v>
      </c>
    </row>
    <row r="107" spans="1:5">
      <c r="A107">
        <v>10</v>
      </c>
      <c r="B107">
        <f>IFERROR(QUOTIENT($B$63,2^A107)-2*QUOTIENT($B$63,2^(A107+1)),0)</f>
        <v>0</v>
      </c>
      <c r="C107">
        <f>IFERROR(2*E106+B107*$C$63,0)</f>
        <v>0</v>
      </c>
      <c r="D107">
        <f>IFERROR(2*D106+QUOTIENT(C107,$D$63),0)</f>
        <v>0</v>
      </c>
      <c r="E107">
        <f>IFERROR(C107-$D$63*QUOTIENT(C107,$D$63),0)</f>
        <v>0</v>
      </c>
    </row>
    <row r="108" spans="1:5">
      <c r="A108">
        <v>9</v>
      </c>
      <c r="B108">
        <f>IFERROR(QUOTIENT($B$63,2^A108)-2*QUOTIENT($B$63,2^(A108+1)),0)</f>
        <v>0</v>
      </c>
      <c r="C108">
        <f>IFERROR(2*E107+B108*$C$63,0)</f>
        <v>0</v>
      </c>
      <c r="D108">
        <f>IFERROR(2*D107+QUOTIENT(C108,$D$63),0)</f>
        <v>0</v>
      </c>
      <c r="E108">
        <f>IFERROR(C108-$D$63*QUOTIENT(C108,$D$63),0)</f>
        <v>0</v>
      </c>
    </row>
    <row r="109" spans="1:5">
      <c r="A109">
        <v>8</v>
      </c>
      <c r="B109">
        <f>IFERROR(QUOTIENT($B$63,2^A109)-2*QUOTIENT($B$63,2^(A109+1)),0)</f>
        <v>0</v>
      </c>
      <c r="C109">
        <f>IFERROR(2*E108+B109*$C$63,0)</f>
        <v>0</v>
      </c>
      <c r="D109">
        <f>IFERROR(2*D108+QUOTIENT(C109,$D$63),0)</f>
        <v>0</v>
      </c>
      <c r="E109">
        <f>IFERROR(C109-$D$63*QUOTIENT(C109,$D$63),0)</f>
        <v>0</v>
      </c>
    </row>
    <row r="110" spans="1:5">
      <c r="A110">
        <v>7</v>
      </c>
      <c r="B110">
        <f>IFERROR(QUOTIENT($B$63,2^A110)-2*QUOTIENT($B$63,2^(A110+1)),0)</f>
        <v>0</v>
      </c>
      <c r="C110">
        <f>IFERROR(2*E109+B110*$C$63,0)</f>
        <v>0</v>
      </c>
      <c r="D110">
        <f>IFERROR(2*D109+QUOTIENT(C110,$D$63),0)</f>
        <v>0</v>
      </c>
      <c r="E110">
        <f>IFERROR(C110-$D$63*QUOTIENT(C110,$D$63),0)</f>
        <v>0</v>
      </c>
    </row>
    <row r="111" spans="1:5">
      <c r="A111">
        <v>6</v>
      </c>
      <c r="B111">
        <f>IFERROR(QUOTIENT($B$63,2^A111)-2*QUOTIENT($B$63,2^(A111+1)),0)</f>
        <v>0</v>
      </c>
      <c r="C111">
        <f>IFERROR(2*E110+B111*$C$63,0)</f>
        <v>0</v>
      </c>
      <c r="D111">
        <f>IFERROR(2*D110+QUOTIENT(C111,$D$63),0)</f>
        <v>0</v>
      </c>
      <c r="E111">
        <f>IFERROR(C111-$D$63*QUOTIENT(C111,$D$63),0)</f>
        <v>0</v>
      </c>
    </row>
    <row r="112" spans="1:5">
      <c r="A112">
        <v>5</v>
      </c>
      <c r="B112">
        <f>IFERROR(QUOTIENT($B$63,2^A112)-2*QUOTIENT($B$63,2^(A112+1)),0)</f>
        <v>0</v>
      </c>
      <c r="C112">
        <f>IFERROR(2*E111+B112*$C$63,0)</f>
        <v>0</v>
      </c>
      <c r="D112">
        <f>IFERROR(2*D111+QUOTIENT(C112,$D$63),0)</f>
        <v>0</v>
      </c>
      <c r="E112">
        <f>IFERROR(C112-$D$63*QUOTIENT(C112,$D$63),0)</f>
        <v>0</v>
      </c>
    </row>
    <row r="113" spans="1:8">
      <c r="A113">
        <v>4</v>
      </c>
      <c r="B113">
        <f>IFERROR(QUOTIENT($B$63,2^A113)-2*QUOTIENT($B$63,2^(A113+1)),0)</f>
        <v>0</v>
      </c>
      <c r="C113">
        <f>IFERROR(2*E112+B113*$C$63,0)</f>
        <v>0</v>
      </c>
      <c r="D113">
        <f>IFERROR(2*D112+QUOTIENT(C113,$D$63),0)</f>
        <v>0</v>
      </c>
      <c r="E113">
        <f>IFERROR(C113-$D$63*QUOTIENT(C113,$D$63),0)</f>
        <v>0</v>
      </c>
    </row>
    <row r="114" spans="1:8">
      <c r="A114">
        <v>3</v>
      </c>
      <c r="B114">
        <f>IFERROR(QUOTIENT($B$63,2^A114)-2*QUOTIENT($B$63,2^(A114+1)),0)</f>
        <v>0</v>
      </c>
      <c r="C114">
        <f>IFERROR(2*E113+B114*$C$63,0)</f>
        <v>0</v>
      </c>
      <c r="D114">
        <f>IFERROR(2*D113+QUOTIENT(C114,$D$63),0)</f>
        <v>0</v>
      </c>
      <c r="E114">
        <f>IFERROR(C114-$D$63*QUOTIENT(C114,$D$63),0)</f>
        <v>0</v>
      </c>
    </row>
    <row r="115" spans="1:8">
      <c r="A115">
        <v>2</v>
      </c>
      <c r="B115">
        <f>IFERROR(QUOTIENT($B$63,2^A115)-2*QUOTIENT($B$63,2^(A115+1)),0)</f>
        <v>0</v>
      </c>
      <c r="C115">
        <f>IFERROR(2*E114+B115*$C$63,0)</f>
        <v>0</v>
      </c>
      <c r="D115">
        <f>IFERROR(2*D114+QUOTIENT(C115,$D$63),0)</f>
        <v>0</v>
      </c>
      <c r="E115">
        <f>IFERROR(C115-$D$63*QUOTIENT(C115,$D$63),0)</f>
        <v>0</v>
      </c>
    </row>
    <row r="116" spans="1:8">
      <c r="A116">
        <v>1</v>
      </c>
      <c r="B116">
        <f>IFERROR(QUOTIENT($B$63,2^A116)-2*QUOTIENT($B$63,2^(A116+1)),0)</f>
        <v>0</v>
      </c>
      <c r="C116">
        <f>IFERROR(2*E115+B116*$C$63,0)</f>
        <v>0</v>
      </c>
      <c r="D116">
        <f>IFERROR(2*D115+QUOTIENT(C116,$D$63),0)</f>
        <v>0</v>
      </c>
      <c r="E116">
        <f>IFERROR(C116-$D$63*QUOTIENT(C116,$D$63),0)</f>
        <v>0</v>
      </c>
    </row>
    <row r="117" spans="1:8">
      <c r="A117">
        <v>0</v>
      </c>
      <c r="B117">
        <f>IFERROR(QUOTIENT($B$63,2^A117)-2*QUOTIENT($B$63,2^(A117+1)),0)</f>
        <v>0</v>
      </c>
      <c r="C117">
        <f>IFERROR(2*E116+B117*$C$63,0)</f>
        <v>0</v>
      </c>
      <c r="D117">
        <f>IFERROR(2*D116+QUOTIENT(C117,$D$63),0)</f>
        <v>0</v>
      </c>
      <c r="E117">
        <f>IFERROR(C117-$D$63*QUOTIENT(C117,$D$63),0)</f>
        <v>0</v>
      </c>
    </row>
    <row r="118" spans="1:8">
      <c r="A118" t="s">
        <v>452</v>
      </c>
      <c r="B118">
        <f>IFERROR(E63*D117,0)</f>
        <v>0</v>
      </c>
      <c r="C118">
        <f>IFERROR(E117,0)</f>
        <v>0</v>
      </c>
      <c r="D118">
        <f>IFERROR(B118-IF(E63&lt;0,IF(C118=0,0,1),0),0)</f>
        <v>0</v>
      </c>
      <c r="E118">
        <f>IFERROR(IF(E63&lt;0,IF(C118=0,0,D63-C118),C118),0)</f>
        <v>0</v>
      </c>
      <c r="F118" t="b">
        <f>IFERROR(AND(B63&lt;=9007199254740990,C63&lt;=9007199254740990,F63&gt;0,F63&lt;=9007199254740990,2*D63+C63&lt;=9007199254740990,ABS(B118)&lt;=9007199254740990),0)</f>
        <v>1</v>
      </c>
    </row>
    <row r="120" spans="1:8">
      <c r="A120" s="2" t="s">
        <v>445</v>
      </c>
      <c r="B120" s="2" t="s">
        <v>446</v>
      </c>
      <c r="C120" s="2" t="s">
        <v>447</v>
      </c>
      <c r="D120" s="2" t="s">
        <v>448</v>
      </c>
      <c r="E120" s="2" t="s">
        <v>449</v>
      </c>
      <c r="F120" s="2"/>
      <c r="G120" s="2"/>
      <c r="H120" s="2"/>
    </row>
    <row r="121" spans="1:8">
      <c r="A121" t="s">
        <v>455</v>
      </c>
      <c r="B121">
        <f>IFERROR(ABS(MAX(0,IF(inp_class="該当",m_23,m_22))),0)</f>
        <v>0</v>
      </c>
      <c r="C121">
        <f>IFERROR(ABS(13),0)</f>
        <v>13</v>
      </c>
      <c r="D121">
        <f>IFERROR(MAX(1,IFERROR(ABS(125),0)),0)</f>
        <v>125</v>
      </c>
      <c r="E121">
        <f>IFERROR(SIGN(MAX(0,IF(inp_class="該当",m_23,m_22)))*SIGN(13)*SIGN(125),0)</f>
        <v>0</v>
      </c>
      <c r="F121">
        <f>IFERROR(ABS(125),0)</f>
        <v>125</v>
      </c>
      <c r="G121" t="b">
        <f>IFERROR(F176,0)</f>
        <v>1</v>
      </c>
      <c r="H121" s="3" t="s">
        <v>456</v>
      </c>
    </row>
    <row r="122" spans="1:8">
      <c r="D122">
        <v>0</v>
      </c>
      <c r="E122">
        <v>0</v>
      </c>
    </row>
    <row r="123" spans="1:8">
      <c r="A123">
        <v>52</v>
      </c>
      <c r="B123">
        <f>IFERROR(QUOTIENT($B$121,2^A123)-2*QUOTIENT($B$121,2^(A123+1)),0)</f>
        <v>0</v>
      </c>
      <c r="C123">
        <f>IFERROR(2*E122+B123*$C$121,0)</f>
        <v>0</v>
      </c>
      <c r="D123">
        <f>IFERROR(2*D122+QUOTIENT(C123,$D$121),0)</f>
        <v>0</v>
      </c>
      <c r="E123">
        <f>IFERROR(C123-$D$121*QUOTIENT(C123,$D$121),0)</f>
        <v>0</v>
      </c>
    </row>
    <row r="124" spans="1:8">
      <c r="A124">
        <v>51</v>
      </c>
      <c r="B124">
        <f>IFERROR(QUOTIENT($B$121,2^A124)-2*QUOTIENT($B$121,2^(A124+1)),0)</f>
        <v>0</v>
      </c>
      <c r="C124">
        <f>IFERROR(2*E123+B124*$C$121,0)</f>
        <v>0</v>
      </c>
      <c r="D124">
        <f>IFERROR(2*D123+QUOTIENT(C124,$D$121),0)</f>
        <v>0</v>
      </c>
      <c r="E124">
        <f>IFERROR(C124-$D$121*QUOTIENT(C124,$D$121),0)</f>
        <v>0</v>
      </c>
    </row>
    <row r="125" spans="1:8">
      <c r="A125">
        <v>50</v>
      </c>
      <c r="B125">
        <f>IFERROR(QUOTIENT($B$121,2^A125)-2*QUOTIENT($B$121,2^(A125+1)),0)</f>
        <v>0</v>
      </c>
      <c r="C125">
        <f>IFERROR(2*E124+B125*$C$121,0)</f>
        <v>0</v>
      </c>
      <c r="D125">
        <f>IFERROR(2*D124+QUOTIENT(C125,$D$121),0)</f>
        <v>0</v>
      </c>
      <c r="E125">
        <f>IFERROR(C125-$D$121*QUOTIENT(C125,$D$121),0)</f>
        <v>0</v>
      </c>
    </row>
    <row r="126" spans="1:8">
      <c r="A126">
        <v>49</v>
      </c>
      <c r="B126">
        <f>IFERROR(QUOTIENT($B$121,2^A126)-2*QUOTIENT($B$121,2^(A126+1)),0)</f>
        <v>0</v>
      </c>
      <c r="C126">
        <f>IFERROR(2*E125+B126*$C$121,0)</f>
        <v>0</v>
      </c>
      <c r="D126">
        <f>IFERROR(2*D125+QUOTIENT(C126,$D$121),0)</f>
        <v>0</v>
      </c>
      <c r="E126">
        <f>IFERROR(C126-$D$121*QUOTIENT(C126,$D$121),0)</f>
        <v>0</v>
      </c>
    </row>
    <row r="127" spans="1:8">
      <c r="A127">
        <v>48</v>
      </c>
      <c r="B127">
        <f>IFERROR(QUOTIENT($B$121,2^A127)-2*QUOTIENT($B$121,2^(A127+1)),0)</f>
        <v>0</v>
      </c>
      <c r="C127">
        <f>IFERROR(2*E126+B127*$C$121,0)</f>
        <v>0</v>
      </c>
      <c r="D127">
        <f>IFERROR(2*D126+QUOTIENT(C127,$D$121),0)</f>
        <v>0</v>
      </c>
      <c r="E127">
        <f>IFERROR(C127-$D$121*QUOTIENT(C127,$D$121),0)</f>
        <v>0</v>
      </c>
    </row>
    <row r="128" spans="1:8">
      <c r="A128">
        <v>47</v>
      </c>
      <c r="B128">
        <f>IFERROR(QUOTIENT($B$121,2^A128)-2*QUOTIENT($B$121,2^(A128+1)),0)</f>
        <v>0</v>
      </c>
      <c r="C128">
        <f>IFERROR(2*E127+B128*$C$121,0)</f>
        <v>0</v>
      </c>
      <c r="D128">
        <f>IFERROR(2*D127+QUOTIENT(C128,$D$121),0)</f>
        <v>0</v>
      </c>
      <c r="E128">
        <f>IFERROR(C128-$D$121*QUOTIENT(C128,$D$121),0)</f>
        <v>0</v>
      </c>
    </row>
    <row r="129" spans="1:5">
      <c r="A129">
        <v>46</v>
      </c>
      <c r="B129">
        <f>IFERROR(QUOTIENT($B$121,2^A129)-2*QUOTIENT($B$121,2^(A129+1)),0)</f>
        <v>0</v>
      </c>
      <c r="C129">
        <f>IFERROR(2*E128+B129*$C$121,0)</f>
        <v>0</v>
      </c>
      <c r="D129">
        <f>IFERROR(2*D128+QUOTIENT(C129,$D$121),0)</f>
        <v>0</v>
      </c>
      <c r="E129">
        <f>IFERROR(C129-$D$121*QUOTIENT(C129,$D$121),0)</f>
        <v>0</v>
      </c>
    </row>
    <row r="130" spans="1:5">
      <c r="A130">
        <v>45</v>
      </c>
      <c r="B130">
        <f>IFERROR(QUOTIENT($B$121,2^A130)-2*QUOTIENT($B$121,2^(A130+1)),0)</f>
        <v>0</v>
      </c>
      <c r="C130">
        <f>IFERROR(2*E129+B130*$C$121,0)</f>
        <v>0</v>
      </c>
      <c r="D130">
        <f>IFERROR(2*D129+QUOTIENT(C130,$D$121),0)</f>
        <v>0</v>
      </c>
      <c r="E130">
        <f>IFERROR(C130-$D$121*QUOTIENT(C130,$D$121),0)</f>
        <v>0</v>
      </c>
    </row>
    <row r="131" spans="1:5">
      <c r="A131">
        <v>44</v>
      </c>
      <c r="B131">
        <f>IFERROR(QUOTIENT($B$121,2^A131)-2*QUOTIENT($B$121,2^(A131+1)),0)</f>
        <v>0</v>
      </c>
      <c r="C131">
        <f>IFERROR(2*E130+B131*$C$121,0)</f>
        <v>0</v>
      </c>
      <c r="D131">
        <f>IFERROR(2*D130+QUOTIENT(C131,$D$121),0)</f>
        <v>0</v>
      </c>
      <c r="E131">
        <f>IFERROR(C131-$D$121*QUOTIENT(C131,$D$121),0)</f>
        <v>0</v>
      </c>
    </row>
    <row r="132" spans="1:5">
      <c r="A132">
        <v>43</v>
      </c>
      <c r="B132">
        <f>IFERROR(QUOTIENT($B$121,2^A132)-2*QUOTIENT($B$121,2^(A132+1)),0)</f>
        <v>0</v>
      </c>
      <c r="C132">
        <f>IFERROR(2*E131+B132*$C$121,0)</f>
        <v>0</v>
      </c>
      <c r="D132">
        <f>IFERROR(2*D131+QUOTIENT(C132,$D$121),0)</f>
        <v>0</v>
      </c>
      <c r="E132">
        <f>IFERROR(C132-$D$121*QUOTIENT(C132,$D$121),0)</f>
        <v>0</v>
      </c>
    </row>
    <row r="133" spans="1:5">
      <c r="A133">
        <v>42</v>
      </c>
      <c r="B133">
        <f>IFERROR(QUOTIENT($B$121,2^A133)-2*QUOTIENT($B$121,2^(A133+1)),0)</f>
        <v>0</v>
      </c>
      <c r="C133">
        <f>IFERROR(2*E132+B133*$C$121,0)</f>
        <v>0</v>
      </c>
      <c r="D133">
        <f>IFERROR(2*D132+QUOTIENT(C133,$D$121),0)</f>
        <v>0</v>
      </c>
      <c r="E133">
        <f>IFERROR(C133-$D$121*QUOTIENT(C133,$D$121),0)</f>
        <v>0</v>
      </c>
    </row>
    <row r="134" spans="1:5">
      <c r="A134">
        <v>41</v>
      </c>
      <c r="B134">
        <f>IFERROR(QUOTIENT($B$121,2^A134)-2*QUOTIENT($B$121,2^(A134+1)),0)</f>
        <v>0</v>
      </c>
      <c r="C134">
        <f>IFERROR(2*E133+B134*$C$121,0)</f>
        <v>0</v>
      </c>
      <c r="D134">
        <f>IFERROR(2*D133+QUOTIENT(C134,$D$121),0)</f>
        <v>0</v>
      </c>
      <c r="E134">
        <f>IFERROR(C134-$D$121*QUOTIENT(C134,$D$121),0)</f>
        <v>0</v>
      </c>
    </row>
    <row r="135" spans="1:5">
      <c r="A135">
        <v>40</v>
      </c>
      <c r="B135">
        <f>IFERROR(QUOTIENT($B$121,2^A135)-2*QUOTIENT($B$121,2^(A135+1)),0)</f>
        <v>0</v>
      </c>
      <c r="C135">
        <f>IFERROR(2*E134+B135*$C$121,0)</f>
        <v>0</v>
      </c>
      <c r="D135">
        <f>IFERROR(2*D134+QUOTIENT(C135,$D$121),0)</f>
        <v>0</v>
      </c>
      <c r="E135">
        <f>IFERROR(C135-$D$121*QUOTIENT(C135,$D$121),0)</f>
        <v>0</v>
      </c>
    </row>
    <row r="136" spans="1:5">
      <c r="A136">
        <v>39</v>
      </c>
      <c r="B136">
        <f>IFERROR(QUOTIENT($B$121,2^A136)-2*QUOTIENT($B$121,2^(A136+1)),0)</f>
        <v>0</v>
      </c>
      <c r="C136">
        <f>IFERROR(2*E135+B136*$C$121,0)</f>
        <v>0</v>
      </c>
      <c r="D136">
        <f>IFERROR(2*D135+QUOTIENT(C136,$D$121),0)</f>
        <v>0</v>
      </c>
      <c r="E136">
        <f>IFERROR(C136-$D$121*QUOTIENT(C136,$D$121),0)</f>
        <v>0</v>
      </c>
    </row>
    <row r="137" spans="1:5">
      <c r="A137">
        <v>38</v>
      </c>
      <c r="B137">
        <f>IFERROR(QUOTIENT($B$121,2^A137)-2*QUOTIENT($B$121,2^(A137+1)),0)</f>
        <v>0</v>
      </c>
      <c r="C137">
        <f>IFERROR(2*E136+B137*$C$121,0)</f>
        <v>0</v>
      </c>
      <c r="D137">
        <f>IFERROR(2*D136+QUOTIENT(C137,$D$121),0)</f>
        <v>0</v>
      </c>
      <c r="E137">
        <f>IFERROR(C137-$D$121*QUOTIENT(C137,$D$121),0)</f>
        <v>0</v>
      </c>
    </row>
    <row r="138" spans="1:5">
      <c r="A138">
        <v>37</v>
      </c>
      <c r="B138">
        <f>IFERROR(QUOTIENT($B$121,2^A138)-2*QUOTIENT($B$121,2^(A138+1)),0)</f>
        <v>0</v>
      </c>
      <c r="C138">
        <f>IFERROR(2*E137+B138*$C$121,0)</f>
        <v>0</v>
      </c>
      <c r="D138">
        <f>IFERROR(2*D137+QUOTIENT(C138,$D$121),0)</f>
        <v>0</v>
      </c>
      <c r="E138">
        <f>IFERROR(C138-$D$121*QUOTIENT(C138,$D$121),0)</f>
        <v>0</v>
      </c>
    </row>
    <row r="139" spans="1:5">
      <c r="A139">
        <v>36</v>
      </c>
      <c r="B139">
        <f>IFERROR(QUOTIENT($B$121,2^A139)-2*QUOTIENT($B$121,2^(A139+1)),0)</f>
        <v>0</v>
      </c>
      <c r="C139">
        <f>IFERROR(2*E138+B139*$C$121,0)</f>
        <v>0</v>
      </c>
      <c r="D139">
        <f>IFERROR(2*D138+QUOTIENT(C139,$D$121),0)</f>
        <v>0</v>
      </c>
      <c r="E139">
        <f>IFERROR(C139-$D$121*QUOTIENT(C139,$D$121),0)</f>
        <v>0</v>
      </c>
    </row>
    <row r="140" spans="1:5">
      <c r="A140">
        <v>35</v>
      </c>
      <c r="B140">
        <f>IFERROR(QUOTIENT($B$121,2^A140)-2*QUOTIENT($B$121,2^(A140+1)),0)</f>
        <v>0</v>
      </c>
      <c r="C140">
        <f>IFERROR(2*E139+B140*$C$121,0)</f>
        <v>0</v>
      </c>
      <c r="D140">
        <f>IFERROR(2*D139+QUOTIENT(C140,$D$121),0)</f>
        <v>0</v>
      </c>
      <c r="E140">
        <f>IFERROR(C140-$D$121*QUOTIENT(C140,$D$121),0)</f>
        <v>0</v>
      </c>
    </row>
    <row r="141" spans="1:5">
      <c r="A141">
        <v>34</v>
      </c>
      <c r="B141">
        <f>IFERROR(QUOTIENT($B$121,2^A141)-2*QUOTIENT($B$121,2^(A141+1)),0)</f>
        <v>0</v>
      </c>
      <c r="C141">
        <f>IFERROR(2*E140+B141*$C$121,0)</f>
        <v>0</v>
      </c>
      <c r="D141">
        <f>IFERROR(2*D140+QUOTIENT(C141,$D$121),0)</f>
        <v>0</v>
      </c>
      <c r="E141">
        <f>IFERROR(C141-$D$121*QUOTIENT(C141,$D$121),0)</f>
        <v>0</v>
      </c>
    </row>
    <row r="142" spans="1:5">
      <c r="A142">
        <v>33</v>
      </c>
      <c r="B142">
        <f>IFERROR(QUOTIENT($B$121,2^A142)-2*QUOTIENT($B$121,2^(A142+1)),0)</f>
        <v>0</v>
      </c>
      <c r="C142">
        <f>IFERROR(2*E141+B142*$C$121,0)</f>
        <v>0</v>
      </c>
      <c r="D142">
        <f>IFERROR(2*D141+QUOTIENT(C142,$D$121),0)</f>
        <v>0</v>
      </c>
      <c r="E142">
        <f>IFERROR(C142-$D$121*QUOTIENT(C142,$D$121),0)</f>
        <v>0</v>
      </c>
    </row>
    <row r="143" spans="1:5">
      <c r="A143">
        <v>32</v>
      </c>
      <c r="B143">
        <f>IFERROR(QUOTIENT($B$121,2^A143)-2*QUOTIENT($B$121,2^(A143+1)),0)</f>
        <v>0</v>
      </c>
      <c r="C143">
        <f>IFERROR(2*E142+B143*$C$121,0)</f>
        <v>0</v>
      </c>
      <c r="D143">
        <f>IFERROR(2*D142+QUOTIENT(C143,$D$121),0)</f>
        <v>0</v>
      </c>
      <c r="E143">
        <f>IFERROR(C143-$D$121*QUOTIENT(C143,$D$121),0)</f>
        <v>0</v>
      </c>
    </row>
    <row r="144" spans="1:5">
      <c r="A144">
        <v>31</v>
      </c>
      <c r="B144">
        <f>IFERROR(QUOTIENT($B$121,2^A144)-2*QUOTIENT($B$121,2^(A144+1)),0)</f>
        <v>0</v>
      </c>
      <c r="C144">
        <f>IFERROR(2*E143+B144*$C$121,0)</f>
        <v>0</v>
      </c>
      <c r="D144">
        <f>IFERROR(2*D143+QUOTIENT(C144,$D$121),0)</f>
        <v>0</v>
      </c>
      <c r="E144">
        <f>IFERROR(C144-$D$121*QUOTIENT(C144,$D$121),0)</f>
        <v>0</v>
      </c>
    </row>
    <row r="145" spans="1:5">
      <c r="A145">
        <v>30</v>
      </c>
      <c r="B145">
        <f>IFERROR(QUOTIENT($B$121,2^A145)-2*QUOTIENT($B$121,2^(A145+1)),0)</f>
        <v>0</v>
      </c>
      <c r="C145">
        <f>IFERROR(2*E144+B145*$C$121,0)</f>
        <v>0</v>
      </c>
      <c r="D145">
        <f>IFERROR(2*D144+QUOTIENT(C145,$D$121),0)</f>
        <v>0</v>
      </c>
      <c r="E145">
        <f>IFERROR(C145-$D$121*QUOTIENT(C145,$D$121),0)</f>
        <v>0</v>
      </c>
    </row>
    <row r="146" spans="1:5">
      <c r="A146">
        <v>29</v>
      </c>
      <c r="B146">
        <f>IFERROR(QUOTIENT($B$121,2^A146)-2*QUOTIENT($B$121,2^(A146+1)),0)</f>
        <v>0</v>
      </c>
      <c r="C146">
        <f>IFERROR(2*E145+B146*$C$121,0)</f>
        <v>0</v>
      </c>
      <c r="D146">
        <f>IFERROR(2*D145+QUOTIENT(C146,$D$121),0)</f>
        <v>0</v>
      </c>
      <c r="E146">
        <f>IFERROR(C146-$D$121*QUOTIENT(C146,$D$121),0)</f>
        <v>0</v>
      </c>
    </row>
    <row r="147" spans="1:5">
      <c r="A147">
        <v>28</v>
      </c>
      <c r="B147">
        <f>IFERROR(QUOTIENT($B$121,2^A147)-2*QUOTIENT($B$121,2^(A147+1)),0)</f>
        <v>0</v>
      </c>
      <c r="C147">
        <f>IFERROR(2*E146+B147*$C$121,0)</f>
        <v>0</v>
      </c>
      <c r="D147">
        <f>IFERROR(2*D146+QUOTIENT(C147,$D$121),0)</f>
        <v>0</v>
      </c>
      <c r="E147">
        <f>IFERROR(C147-$D$121*QUOTIENT(C147,$D$121),0)</f>
        <v>0</v>
      </c>
    </row>
    <row r="148" spans="1:5">
      <c r="A148">
        <v>27</v>
      </c>
      <c r="B148">
        <f>IFERROR(QUOTIENT($B$121,2^A148)-2*QUOTIENT($B$121,2^(A148+1)),0)</f>
        <v>0</v>
      </c>
      <c r="C148">
        <f>IFERROR(2*E147+B148*$C$121,0)</f>
        <v>0</v>
      </c>
      <c r="D148">
        <f>IFERROR(2*D147+QUOTIENT(C148,$D$121),0)</f>
        <v>0</v>
      </c>
      <c r="E148">
        <f>IFERROR(C148-$D$121*QUOTIENT(C148,$D$121),0)</f>
        <v>0</v>
      </c>
    </row>
    <row r="149" spans="1:5">
      <c r="A149">
        <v>26</v>
      </c>
      <c r="B149">
        <f>IFERROR(QUOTIENT($B$121,2^A149)-2*QUOTIENT($B$121,2^(A149+1)),0)</f>
        <v>0</v>
      </c>
      <c r="C149">
        <f>IFERROR(2*E148+B149*$C$121,0)</f>
        <v>0</v>
      </c>
      <c r="D149">
        <f>IFERROR(2*D148+QUOTIENT(C149,$D$121),0)</f>
        <v>0</v>
      </c>
      <c r="E149">
        <f>IFERROR(C149-$D$121*QUOTIENT(C149,$D$121),0)</f>
        <v>0</v>
      </c>
    </row>
    <row r="150" spans="1:5">
      <c r="A150">
        <v>25</v>
      </c>
      <c r="B150">
        <f>IFERROR(QUOTIENT($B$121,2^A150)-2*QUOTIENT($B$121,2^(A150+1)),0)</f>
        <v>0</v>
      </c>
      <c r="C150">
        <f>IFERROR(2*E149+B150*$C$121,0)</f>
        <v>0</v>
      </c>
      <c r="D150">
        <f>IFERROR(2*D149+QUOTIENT(C150,$D$121),0)</f>
        <v>0</v>
      </c>
      <c r="E150">
        <f>IFERROR(C150-$D$121*QUOTIENT(C150,$D$121),0)</f>
        <v>0</v>
      </c>
    </row>
    <row r="151" spans="1:5">
      <c r="A151">
        <v>24</v>
      </c>
      <c r="B151">
        <f>IFERROR(QUOTIENT($B$121,2^A151)-2*QUOTIENT($B$121,2^(A151+1)),0)</f>
        <v>0</v>
      </c>
      <c r="C151">
        <f>IFERROR(2*E150+B151*$C$121,0)</f>
        <v>0</v>
      </c>
      <c r="D151">
        <f>IFERROR(2*D150+QUOTIENT(C151,$D$121),0)</f>
        <v>0</v>
      </c>
      <c r="E151">
        <f>IFERROR(C151-$D$121*QUOTIENT(C151,$D$121),0)</f>
        <v>0</v>
      </c>
    </row>
    <row r="152" spans="1:5">
      <c r="A152">
        <v>23</v>
      </c>
      <c r="B152">
        <f>IFERROR(QUOTIENT($B$121,2^A152)-2*QUOTIENT($B$121,2^(A152+1)),0)</f>
        <v>0</v>
      </c>
      <c r="C152">
        <f>IFERROR(2*E151+B152*$C$121,0)</f>
        <v>0</v>
      </c>
      <c r="D152">
        <f>IFERROR(2*D151+QUOTIENT(C152,$D$121),0)</f>
        <v>0</v>
      </c>
      <c r="E152">
        <f>IFERROR(C152-$D$121*QUOTIENT(C152,$D$121),0)</f>
        <v>0</v>
      </c>
    </row>
    <row r="153" spans="1:5">
      <c r="A153">
        <v>22</v>
      </c>
      <c r="B153">
        <f>IFERROR(QUOTIENT($B$121,2^A153)-2*QUOTIENT($B$121,2^(A153+1)),0)</f>
        <v>0</v>
      </c>
      <c r="C153">
        <f>IFERROR(2*E152+B153*$C$121,0)</f>
        <v>0</v>
      </c>
      <c r="D153">
        <f>IFERROR(2*D152+QUOTIENT(C153,$D$121),0)</f>
        <v>0</v>
      </c>
      <c r="E153">
        <f>IFERROR(C153-$D$121*QUOTIENT(C153,$D$121),0)</f>
        <v>0</v>
      </c>
    </row>
    <row r="154" spans="1:5">
      <c r="A154">
        <v>21</v>
      </c>
      <c r="B154">
        <f>IFERROR(QUOTIENT($B$121,2^A154)-2*QUOTIENT($B$121,2^(A154+1)),0)</f>
        <v>0</v>
      </c>
      <c r="C154">
        <f>IFERROR(2*E153+B154*$C$121,0)</f>
        <v>0</v>
      </c>
      <c r="D154">
        <f>IFERROR(2*D153+QUOTIENT(C154,$D$121),0)</f>
        <v>0</v>
      </c>
      <c r="E154">
        <f>IFERROR(C154-$D$121*QUOTIENT(C154,$D$121),0)</f>
        <v>0</v>
      </c>
    </row>
    <row r="155" spans="1:5">
      <c r="A155">
        <v>20</v>
      </c>
      <c r="B155">
        <f>IFERROR(QUOTIENT($B$121,2^A155)-2*QUOTIENT($B$121,2^(A155+1)),0)</f>
        <v>0</v>
      </c>
      <c r="C155">
        <f>IFERROR(2*E154+B155*$C$121,0)</f>
        <v>0</v>
      </c>
      <c r="D155">
        <f>IFERROR(2*D154+QUOTIENT(C155,$D$121),0)</f>
        <v>0</v>
      </c>
      <c r="E155">
        <f>IFERROR(C155-$D$121*QUOTIENT(C155,$D$121),0)</f>
        <v>0</v>
      </c>
    </row>
    <row r="156" spans="1:5">
      <c r="A156">
        <v>19</v>
      </c>
      <c r="B156">
        <f>IFERROR(QUOTIENT($B$121,2^A156)-2*QUOTIENT($B$121,2^(A156+1)),0)</f>
        <v>0</v>
      </c>
      <c r="C156">
        <f>IFERROR(2*E155+B156*$C$121,0)</f>
        <v>0</v>
      </c>
      <c r="D156">
        <f>IFERROR(2*D155+QUOTIENT(C156,$D$121),0)</f>
        <v>0</v>
      </c>
      <c r="E156">
        <f>IFERROR(C156-$D$121*QUOTIENT(C156,$D$121),0)</f>
        <v>0</v>
      </c>
    </row>
    <row r="157" spans="1:5">
      <c r="A157">
        <v>18</v>
      </c>
      <c r="B157">
        <f>IFERROR(QUOTIENT($B$121,2^A157)-2*QUOTIENT($B$121,2^(A157+1)),0)</f>
        <v>0</v>
      </c>
      <c r="C157">
        <f>IFERROR(2*E156+B157*$C$121,0)</f>
        <v>0</v>
      </c>
      <c r="D157">
        <f>IFERROR(2*D156+QUOTIENT(C157,$D$121),0)</f>
        <v>0</v>
      </c>
      <c r="E157">
        <f>IFERROR(C157-$D$121*QUOTIENT(C157,$D$121),0)</f>
        <v>0</v>
      </c>
    </row>
    <row r="158" spans="1:5">
      <c r="A158">
        <v>17</v>
      </c>
      <c r="B158">
        <f>IFERROR(QUOTIENT($B$121,2^A158)-2*QUOTIENT($B$121,2^(A158+1)),0)</f>
        <v>0</v>
      </c>
      <c r="C158">
        <f>IFERROR(2*E157+B158*$C$121,0)</f>
        <v>0</v>
      </c>
      <c r="D158">
        <f>IFERROR(2*D157+QUOTIENT(C158,$D$121),0)</f>
        <v>0</v>
      </c>
      <c r="E158">
        <f>IFERROR(C158-$D$121*QUOTIENT(C158,$D$121),0)</f>
        <v>0</v>
      </c>
    </row>
    <row r="159" spans="1:5">
      <c r="A159">
        <v>16</v>
      </c>
      <c r="B159">
        <f>IFERROR(QUOTIENT($B$121,2^A159)-2*QUOTIENT($B$121,2^(A159+1)),0)</f>
        <v>0</v>
      </c>
      <c r="C159">
        <f>IFERROR(2*E158+B159*$C$121,0)</f>
        <v>0</v>
      </c>
      <c r="D159">
        <f>IFERROR(2*D158+QUOTIENT(C159,$D$121),0)</f>
        <v>0</v>
      </c>
      <c r="E159">
        <f>IFERROR(C159-$D$121*QUOTIENT(C159,$D$121),0)</f>
        <v>0</v>
      </c>
    </row>
    <row r="160" spans="1:5">
      <c r="A160">
        <v>15</v>
      </c>
      <c r="B160">
        <f>IFERROR(QUOTIENT($B$121,2^A160)-2*QUOTIENT($B$121,2^(A160+1)),0)</f>
        <v>0</v>
      </c>
      <c r="C160">
        <f>IFERROR(2*E159+B160*$C$121,0)</f>
        <v>0</v>
      </c>
      <c r="D160">
        <f>IFERROR(2*D159+QUOTIENT(C160,$D$121),0)</f>
        <v>0</v>
      </c>
      <c r="E160">
        <f>IFERROR(C160-$D$121*QUOTIENT(C160,$D$121),0)</f>
        <v>0</v>
      </c>
    </row>
    <row r="161" spans="1:6">
      <c r="A161">
        <v>14</v>
      </c>
      <c r="B161">
        <f>IFERROR(QUOTIENT($B$121,2^A161)-2*QUOTIENT($B$121,2^(A161+1)),0)</f>
        <v>0</v>
      </c>
      <c r="C161">
        <f>IFERROR(2*E160+B161*$C$121,0)</f>
        <v>0</v>
      </c>
      <c r="D161">
        <f>IFERROR(2*D160+QUOTIENT(C161,$D$121),0)</f>
        <v>0</v>
      </c>
      <c r="E161">
        <f>IFERROR(C161-$D$121*QUOTIENT(C161,$D$121),0)</f>
        <v>0</v>
      </c>
    </row>
    <row r="162" spans="1:6">
      <c r="A162">
        <v>13</v>
      </c>
      <c r="B162">
        <f>IFERROR(QUOTIENT($B$121,2^A162)-2*QUOTIENT($B$121,2^(A162+1)),0)</f>
        <v>0</v>
      </c>
      <c r="C162">
        <f>IFERROR(2*E161+B162*$C$121,0)</f>
        <v>0</v>
      </c>
      <c r="D162">
        <f>IFERROR(2*D161+QUOTIENT(C162,$D$121),0)</f>
        <v>0</v>
      </c>
      <c r="E162">
        <f>IFERROR(C162-$D$121*QUOTIENT(C162,$D$121),0)</f>
        <v>0</v>
      </c>
    </row>
    <row r="163" spans="1:6">
      <c r="A163">
        <v>12</v>
      </c>
      <c r="B163">
        <f>IFERROR(QUOTIENT($B$121,2^A163)-2*QUOTIENT($B$121,2^(A163+1)),0)</f>
        <v>0</v>
      </c>
      <c r="C163">
        <f>IFERROR(2*E162+B163*$C$121,0)</f>
        <v>0</v>
      </c>
      <c r="D163">
        <f>IFERROR(2*D162+QUOTIENT(C163,$D$121),0)</f>
        <v>0</v>
      </c>
      <c r="E163">
        <f>IFERROR(C163-$D$121*QUOTIENT(C163,$D$121),0)</f>
        <v>0</v>
      </c>
    </row>
    <row r="164" spans="1:6">
      <c r="A164">
        <v>11</v>
      </c>
      <c r="B164">
        <f>IFERROR(QUOTIENT($B$121,2^A164)-2*QUOTIENT($B$121,2^(A164+1)),0)</f>
        <v>0</v>
      </c>
      <c r="C164">
        <f>IFERROR(2*E163+B164*$C$121,0)</f>
        <v>0</v>
      </c>
      <c r="D164">
        <f>IFERROR(2*D163+QUOTIENT(C164,$D$121),0)</f>
        <v>0</v>
      </c>
      <c r="E164">
        <f>IFERROR(C164-$D$121*QUOTIENT(C164,$D$121),0)</f>
        <v>0</v>
      </c>
    </row>
    <row r="165" spans="1:6">
      <c r="A165">
        <v>10</v>
      </c>
      <c r="B165">
        <f>IFERROR(QUOTIENT($B$121,2^A165)-2*QUOTIENT($B$121,2^(A165+1)),0)</f>
        <v>0</v>
      </c>
      <c r="C165">
        <f>IFERROR(2*E164+B165*$C$121,0)</f>
        <v>0</v>
      </c>
      <c r="D165">
        <f>IFERROR(2*D164+QUOTIENT(C165,$D$121),0)</f>
        <v>0</v>
      </c>
      <c r="E165">
        <f>IFERROR(C165-$D$121*QUOTIENT(C165,$D$121),0)</f>
        <v>0</v>
      </c>
    </row>
    <row r="166" spans="1:6">
      <c r="A166">
        <v>9</v>
      </c>
      <c r="B166">
        <f>IFERROR(QUOTIENT($B$121,2^A166)-2*QUOTIENT($B$121,2^(A166+1)),0)</f>
        <v>0</v>
      </c>
      <c r="C166">
        <f>IFERROR(2*E165+B166*$C$121,0)</f>
        <v>0</v>
      </c>
      <c r="D166">
        <f>IFERROR(2*D165+QUOTIENT(C166,$D$121),0)</f>
        <v>0</v>
      </c>
      <c r="E166">
        <f>IFERROR(C166-$D$121*QUOTIENT(C166,$D$121),0)</f>
        <v>0</v>
      </c>
    </row>
    <row r="167" spans="1:6">
      <c r="A167">
        <v>8</v>
      </c>
      <c r="B167">
        <f>IFERROR(QUOTIENT($B$121,2^A167)-2*QUOTIENT($B$121,2^(A167+1)),0)</f>
        <v>0</v>
      </c>
      <c r="C167">
        <f>IFERROR(2*E166+B167*$C$121,0)</f>
        <v>0</v>
      </c>
      <c r="D167">
        <f>IFERROR(2*D166+QUOTIENT(C167,$D$121),0)</f>
        <v>0</v>
      </c>
      <c r="E167">
        <f>IFERROR(C167-$D$121*QUOTIENT(C167,$D$121),0)</f>
        <v>0</v>
      </c>
    </row>
    <row r="168" spans="1:6">
      <c r="A168">
        <v>7</v>
      </c>
      <c r="B168">
        <f>IFERROR(QUOTIENT($B$121,2^A168)-2*QUOTIENT($B$121,2^(A168+1)),0)</f>
        <v>0</v>
      </c>
      <c r="C168">
        <f>IFERROR(2*E167+B168*$C$121,0)</f>
        <v>0</v>
      </c>
      <c r="D168">
        <f>IFERROR(2*D167+QUOTIENT(C168,$D$121),0)</f>
        <v>0</v>
      </c>
      <c r="E168">
        <f>IFERROR(C168-$D$121*QUOTIENT(C168,$D$121),0)</f>
        <v>0</v>
      </c>
    </row>
    <row r="169" spans="1:6">
      <c r="A169">
        <v>6</v>
      </c>
      <c r="B169">
        <f>IFERROR(QUOTIENT($B$121,2^A169)-2*QUOTIENT($B$121,2^(A169+1)),0)</f>
        <v>0</v>
      </c>
      <c r="C169">
        <f>IFERROR(2*E168+B169*$C$121,0)</f>
        <v>0</v>
      </c>
      <c r="D169">
        <f>IFERROR(2*D168+QUOTIENT(C169,$D$121),0)</f>
        <v>0</v>
      </c>
      <c r="E169">
        <f>IFERROR(C169-$D$121*QUOTIENT(C169,$D$121),0)</f>
        <v>0</v>
      </c>
    </row>
    <row r="170" spans="1:6">
      <c r="A170">
        <v>5</v>
      </c>
      <c r="B170">
        <f>IFERROR(QUOTIENT($B$121,2^A170)-2*QUOTIENT($B$121,2^(A170+1)),0)</f>
        <v>0</v>
      </c>
      <c r="C170">
        <f>IFERROR(2*E169+B170*$C$121,0)</f>
        <v>0</v>
      </c>
      <c r="D170">
        <f>IFERROR(2*D169+QUOTIENT(C170,$D$121),0)</f>
        <v>0</v>
      </c>
      <c r="E170">
        <f>IFERROR(C170-$D$121*QUOTIENT(C170,$D$121),0)</f>
        <v>0</v>
      </c>
    </row>
    <row r="171" spans="1:6">
      <c r="A171">
        <v>4</v>
      </c>
      <c r="B171">
        <f>IFERROR(QUOTIENT($B$121,2^A171)-2*QUOTIENT($B$121,2^(A171+1)),0)</f>
        <v>0</v>
      </c>
      <c r="C171">
        <f>IFERROR(2*E170+B171*$C$121,0)</f>
        <v>0</v>
      </c>
      <c r="D171">
        <f>IFERROR(2*D170+QUOTIENT(C171,$D$121),0)</f>
        <v>0</v>
      </c>
      <c r="E171">
        <f>IFERROR(C171-$D$121*QUOTIENT(C171,$D$121),0)</f>
        <v>0</v>
      </c>
    </row>
    <row r="172" spans="1:6">
      <c r="A172">
        <v>3</v>
      </c>
      <c r="B172">
        <f>IFERROR(QUOTIENT($B$121,2^A172)-2*QUOTIENT($B$121,2^(A172+1)),0)</f>
        <v>0</v>
      </c>
      <c r="C172">
        <f>IFERROR(2*E171+B172*$C$121,0)</f>
        <v>0</v>
      </c>
      <c r="D172">
        <f>IFERROR(2*D171+QUOTIENT(C172,$D$121),0)</f>
        <v>0</v>
      </c>
      <c r="E172">
        <f>IFERROR(C172-$D$121*QUOTIENT(C172,$D$121),0)</f>
        <v>0</v>
      </c>
    </row>
    <row r="173" spans="1:6">
      <c r="A173">
        <v>2</v>
      </c>
      <c r="B173">
        <f>IFERROR(QUOTIENT($B$121,2^A173)-2*QUOTIENT($B$121,2^(A173+1)),0)</f>
        <v>0</v>
      </c>
      <c r="C173">
        <f>IFERROR(2*E172+B173*$C$121,0)</f>
        <v>0</v>
      </c>
      <c r="D173">
        <f>IFERROR(2*D172+QUOTIENT(C173,$D$121),0)</f>
        <v>0</v>
      </c>
      <c r="E173">
        <f>IFERROR(C173-$D$121*QUOTIENT(C173,$D$121),0)</f>
        <v>0</v>
      </c>
    </row>
    <row r="174" spans="1:6">
      <c r="A174">
        <v>1</v>
      </c>
      <c r="B174">
        <f>IFERROR(QUOTIENT($B$121,2^A174)-2*QUOTIENT($B$121,2^(A174+1)),0)</f>
        <v>0</v>
      </c>
      <c r="C174">
        <f>IFERROR(2*E173+B174*$C$121,0)</f>
        <v>0</v>
      </c>
      <c r="D174">
        <f>IFERROR(2*D173+QUOTIENT(C174,$D$121),0)</f>
        <v>0</v>
      </c>
      <c r="E174">
        <f>IFERROR(C174-$D$121*QUOTIENT(C174,$D$121),0)</f>
        <v>0</v>
      </c>
    </row>
    <row r="175" spans="1:6">
      <c r="A175">
        <v>0</v>
      </c>
      <c r="B175">
        <f>IFERROR(QUOTIENT($B$121,2^A175)-2*QUOTIENT($B$121,2^(A175+1)),0)</f>
        <v>0</v>
      </c>
      <c r="C175">
        <f>IFERROR(2*E174+B175*$C$121,0)</f>
        <v>0</v>
      </c>
      <c r="D175">
        <f>IFERROR(2*D174+QUOTIENT(C175,$D$121),0)</f>
        <v>0</v>
      </c>
      <c r="E175">
        <f>IFERROR(C175-$D$121*QUOTIENT(C175,$D$121),0)</f>
        <v>0</v>
      </c>
    </row>
    <row r="176" spans="1:6">
      <c r="A176" t="s">
        <v>452</v>
      </c>
      <c r="B176">
        <f>IFERROR(E121*D175,0)</f>
        <v>0</v>
      </c>
      <c r="C176">
        <f>IFERROR(E175,0)</f>
        <v>0</v>
      </c>
      <c r="D176">
        <f>IFERROR(B176-IF(E121&lt;0,IF(C176=0,0,1),0),0)</f>
        <v>0</v>
      </c>
      <c r="E176">
        <f>IFERROR(IF(E121&lt;0,IF(C176=0,0,D121-C176),C176),0)</f>
        <v>0</v>
      </c>
      <c r="F176" t="b">
        <f>IFERROR(AND(B121&lt;=9007199254740990,C121&lt;=9007199254740990,F121&gt;0,F121&lt;=9007199254740990,2*D121+C121&lt;=9007199254740990,ABS(B176)&lt;=9007199254740990),0)</f>
        <v>1</v>
      </c>
    </row>
    <row r="178" spans="1:8">
      <c r="A178" s="2" t="s">
        <v>445</v>
      </c>
      <c r="B178" s="2" t="s">
        <v>446</v>
      </c>
      <c r="C178" s="2" t="s">
        <v>447</v>
      </c>
      <c r="D178" s="2" t="s">
        <v>448</v>
      </c>
      <c r="E178" s="2" t="s">
        <v>449</v>
      </c>
      <c r="F178" s="2"/>
      <c r="G178" s="2"/>
      <c r="H178" s="2"/>
    </row>
    <row r="179" spans="1:8">
      <c r="A179" t="s">
        <v>457</v>
      </c>
      <c r="B179">
        <f>IFERROR(ABS(m_24),0)</f>
        <v>0</v>
      </c>
      <c r="C179">
        <f>IFERROR(ABS(125),0)</f>
        <v>125</v>
      </c>
      <c r="D179">
        <f>IFERROR(MAX(1,IFERROR(ABS(625),0)),0)</f>
        <v>625</v>
      </c>
      <c r="E179">
        <f>IFERROR(SIGN(m_24)*SIGN(125)*SIGN(625),0)</f>
        <v>0</v>
      </c>
      <c r="F179">
        <f>IFERROR(ABS(625),0)</f>
        <v>625</v>
      </c>
      <c r="G179" t="b">
        <f>IFERROR(F234,0)</f>
        <v>1</v>
      </c>
      <c r="H179" s="3" t="s">
        <v>458</v>
      </c>
    </row>
    <row r="180" spans="1:8">
      <c r="D180">
        <v>0</v>
      </c>
      <c r="E180">
        <v>0</v>
      </c>
    </row>
    <row r="181" spans="1:8">
      <c r="A181">
        <v>52</v>
      </c>
      <c r="B181">
        <f>IFERROR(QUOTIENT($B$179,2^A181)-2*QUOTIENT($B$179,2^(A181+1)),0)</f>
        <v>0</v>
      </c>
      <c r="C181">
        <f>IFERROR(2*E180+B181*$C$179,0)</f>
        <v>0</v>
      </c>
      <c r="D181">
        <f>IFERROR(2*D180+QUOTIENT(C181,$D$179),0)</f>
        <v>0</v>
      </c>
      <c r="E181">
        <f>IFERROR(C181-$D$179*QUOTIENT(C181,$D$179),0)</f>
        <v>0</v>
      </c>
    </row>
    <row r="182" spans="1:8">
      <c r="A182">
        <v>51</v>
      </c>
      <c r="B182">
        <f>IFERROR(QUOTIENT($B$179,2^A182)-2*QUOTIENT($B$179,2^(A182+1)),0)</f>
        <v>0</v>
      </c>
      <c r="C182">
        <f>IFERROR(2*E181+B182*$C$179,0)</f>
        <v>0</v>
      </c>
      <c r="D182">
        <f>IFERROR(2*D181+QUOTIENT(C182,$D$179),0)</f>
        <v>0</v>
      </c>
      <c r="E182">
        <f>IFERROR(C182-$D$179*QUOTIENT(C182,$D$179),0)</f>
        <v>0</v>
      </c>
    </row>
    <row r="183" spans="1:8">
      <c r="A183">
        <v>50</v>
      </c>
      <c r="B183">
        <f>IFERROR(QUOTIENT($B$179,2^A183)-2*QUOTIENT($B$179,2^(A183+1)),0)</f>
        <v>0</v>
      </c>
      <c r="C183">
        <f>IFERROR(2*E182+B183*$C$179,0)</f>
        <v>0</v>
      </c>
      <c r="D183">
        <f>IFERROR(2*D182+QUOTIENT(C183,$D$179),0)</f>
        <v>0</v>
      </c>
      <c r="E183">
        <f>IFERROR(C183-$D$179*QUOTIENT(C183,$D$179),0)</f>
        <v>0</v>
      </c>
    </row>
    <row r="184" spans="1:8">
      <c r="A184">
        <v>49</v>
      </c>
      <c r="B184">
        <f>IFERROR(QUOTIENT($B$179,2^A184)-2*QUOTIENT($B$179,2^(A184+1)),0)</f>
        <v>0</v>
      </c>
      <c r="C184">
        <f>IFERROR(2*E183+B184*$C$179,0)</f>
        <v>0</v>
      </c>
      <c r="D184">
        <f>IFERROR(2*D183+QUOTIENT(C184,$D$179),0)</f>
        <v>0</v>
      </c>
      <c r="E184">
        <f>IFERROR(C184-$D$179*QUOTIENT(C184,$D$179),0)</f>
        <v>0</v>
      </c>
    </row>
    <row r="185" spans="1:8">
      <c r="A185">
        <v>48</v>
      </c>
      <c r="B185">
        <f>IFERROR(QUOTIENT($B$179,2^A185)-2*QUOTIENT($B$179,2^(A185+1)),0)</f>
        <v>0</v>
      </c>
      <c r="C185">
        <f>IFERROR(2*E184+B185*$C$179,0)</f>
        <v>0</v>
      </c>
      <c r="D185">
        <f>IFERROR(2*D184+QUOTIENT(C185,$D$179),0)</f>
        <v>0</v>
      </c>
      <c r="E185">
        <f>IFERROR(C185-$D$179*QUOTIENT(C185,$D$179),0)</f>
        <v>0</v>
      </c>
    </row>
    <row r="186" spans="1:8">
      <c r="A186">
        <v>47</v>
      </c>
      <c r="B186">
        <f>IFERROR(QUOTIENT($B$179,2^A186)-2*QUOTIENT($B$179,2^(A186+1)),0)</f>
        <v>0</v>
      </c>
      <c r="C186">
        <f>IFERROR(2*E185+B186*$C$179,0)</f>
        <v>0</v>
      </c>
      <c r="D186">
        <f>IFERROR(2*D185+QUOTIENT(C186,$D$179),0)</f>
        <v>0</v>
      </c>
      <c r="E186">
        <f>IFERROR(C186-$D$179*QUOTIENT(C186,$D$179),0)</f>
        <v>0</v>
      </c>
    </row>
    <row r="187" spans="1:8">
      <c r="A187">
        <v>46</v>
      </c>
      <c r="B187">
        <f>IFERROR(QUOTIENT($B$179,2^A187)-2*QUOTIENT($B$179,2^(A187+1)),0)</f>
        <v>0</v>
      </c>
      <c r="C187">
        <f>IFERROR(2*E186+B187*$C$179,0)</f>
        <v>0</v>
      </c>
      <c r="D187">
        <f>IFERROR(2*D186+QUOTIENT(C187,$D$179),0)</f>
        <v>0</v>
      </c>
      <c r="E187">
        <f>IFERROR(C187-$D$179*QUOTIENT(C187,$D$179),0)</f>
        <v>0</v>
      </c>
    </row>
    <row r="188" spans="1:8">
      <c r="A188">
        <v>45</v>
      </c>
      <c r="B188">
        <f>IFERROR(QUOTIENT($B$179,2^A188)-2*QUOTIENT($B$179,2^(A188+1)),0)</f>
        <v>0</v>
      </c>
      <c r="C188">
        <f>IFERROR(2*E187+B188*$C$179,0)</f>
        <v>0</v>
      </c>
      <c r="D188">
        <f>IFERROR(2*D187+QUOTIENT(C188,$D$179),0)</f>
        <v>0</v>
      </c>
      <c r="E188">
        <f>IFERROR(C188-$D$179*QUOTIENT(C188,$D$179),0)</f>
        <v>0</v>
      </c>
    </row>
    <row r="189" spans="1:8">
      <c r="A189">
        <v>44</v>
      </c>
      <c r="B189">
        <f>IFERROR(QUOTIENT($B$179,2^A189)-2*QUOTIENT($B$179,2^(A189+1)),0)</f>
        <v>0</v>
      </c>
      <c r="C189">
        <f>IFERROR(2*E188+B189*$C$179,0)</f>
        <v>0</v>
      </c>
      <c r="D189">
        <f>IFERROR(2*D188+QUOTIENT(C189,$D$179),0)</f>
        <v>0</v>
      </c>
      <c r="E189">
        <f>IFERROR(C189-$D$179*QUOTIENT(C189,$D$179),0)</f>
        <v>0</v>
      </c>
    </row>
    <row r="190" spans="1:8">
      <c r="A190">
        <v>43</v>
      </c>
      <c r="B190">
        <f>IFERROR(QUOTIENT($B$179,2^A190)-2*QUOTIENT($B$179,2^(A190+1)),0)</f>
        <v>0</v>
      </c>
      <c r="C190">
        <f>IFERROR(2*E189+B190*$C$179,0)</f>
        <v>0</v>
      </c>
      <c r="D190">
        <f>IFERROR(2*D189+QUOTIENT(C190,$D$179),0)</f>
        <v>0</v>
      </c>
      <c r="E190">
        <f>IFERROR(C190-$D$179*QUOTIENT(C190,$D$179),0)</f>
        <v>0</v>
      </c>
    </row>
    <row r="191" spans="1:8">
      <c r="A191">
        <v>42</v>
      </c>
      <c r="B191">
        <f>IFERROR(QUOTIENT($B$179,2^A191)-2*QUOTIENT($B$179,2^(A191+1)),0)</f>
        <v>0</v>
      </c>
      <c r="C191">
        <f>IFERROR(2*E190+B191*$C$179,0)</f>
        <v>0</v>
      </c>
      <c r="D191">
        <f>IFERROR(2*D190+QUOTIENT(C191,$D$179),0)</f>
        <v>0</v>
      </c>
      <c r="E191">
        <f>IFERROR(C191-$D$179*QUOTIENT(C191,$D$179),0)</f>
        <v>0</v>
      </c>
    </row>
    <row r="192" spans="1:8">
      <c r="A192">
        <v>41</v>
      </c>
      <c r="B192">
        <f>IFERROR(QUOTIENT($B$179,2^A192)-2*QUOTIENT($B$179,2^(A192+1)),0)</f>
        <v>0</v>
      </c>
      <c r="C192">
        <f>IFERROR(2*E191+B192*$C$179,0)</f>
        <v>0</v>
      </c>
      <c r="D192">
        <f>IFERROR(2*D191+QUOTIENT(C192,$D$179),0)</f>
        <v>0</v>
      </c>
      <c r="E192">
        <f>IFERROR(C192-$D$179*QUOTIENT(C192,$D$179),0)</f>
        <v>0</v>
      </c>
    </row>
    <row r="193" spans="1:5">
      <c r="A193">
        <v>40</v>
      </c>
      <c r="B193">
        <f>IFERROR(QUOTIENT($B$179,2^A193)-2*QUOTIENT($B$179,2^(A193+1)),0)</f>
        <v>0</v>
      </c>
      <c r="C193">
        <f>IFERROR(2*E192+B193*$C$179,0)</f>
        <v>0</v>
      </c>
      <c r="D193">
        <f>IFERROR(2*D192+QUOTIENT(C193,$D$179),0)</f>
        <v>0</v>
      </c>
      <c r="E193">
        <f>IFERROR(C193-$D$179*QUOTIENT(C193,$D$179),0)</f>
        <v>0</v>
      </c>
    </row>
    <row r="194" spans="1:5">
      <c r="A194">
        <v>39</v>
      </c>
      <c r="B194">
        <f>IFERROR(QUOTIENT($B$179,2^A194)-2*QUOTIENT($B$179,2^(A194+1)),0)</f>
        <v>0</v>
      </c>
      <c r="C194">
        <f>IFERROR(2*E193+B194*$C$179,0)</f>
        <v>0</v>
      </c>
      <c r="D194">
        <f>IFERROR(2*D193+QUOTIENT(C194,$D$179),0)</f>
        <v>0</v>
      </c>
      <c r="E194">
        <f>IFERROR(C194-$D$179*QUOTIENT(C194,$D$179),0)</f>
        <v>0</v>
      </c>
    </row>
    <row r="195" spans="1:5">
      <c r="A195">
        <v>38</v>
      </c>
      <c r="B195">
        <f>IFERROR(QUOTIENT($B$179,2^A195)-2*QUOTIENT($B$179,2^(A195+1)),0)</f>
        <v>0</v>
      </c>
      <c r="C195">
        <f>IFERROR(2*E194+B195*$C$179,0)</f>
        <v>0</v>
      </c>
      <c r="D195">
        <f>IFERROR(2*D194+QUOTIENT(C195,$D$179),0)</f>
        <v>0</v>
      </c>
      <c r="E195">
        <f>IFERROR(C195-$D$179*QUOTIENT(C195,$D$179),0)</f>
        <v>0</v>
      </c>
    </row>
    <row r="196" spans="1:5">
      <c r="A196">
        <v>37</v>
      </c>
      <c r="B196">
        <f>IFERROR(QUOTIENT($B$179,2^A196)-2*QUOTIENT($B$179,2^(A196+1)),0)</f>
        <v>0</v>
      </c>
      <c r="C196">
        <f>IFERROR(2*E195+B196*$C$179,0)</f>
        <v>0</v>
      </c>
      <c r="D196">
        <f>IFERROR(2*D195+QUOTIENT(C196,$D$179),0)</f>
        <v>0</v>
      </c>
      <c r="E196">
        <f>IFERROR(C196-$D$179*QUOTIENT(C196,$D$179),0)</f>
        <v>0</v>
      </c>
    </row>
    <row r="197" spans="1:5">
      <c r="A197">
        <v>36</v>
      </c>
      <c r="B197">
        <f>IFERROR(QUOTIENT($B$179,2^A197)-2*QUOTIENT($B$179,2^(A197+1)),0)</f>
        <v>0</v>
      </c>
      <c r="C197">
        <f>IFERROR(2*E196+B197*$C$179,0)</f>
        <v>0</v>
      </c>
      <c r="D197">
        <f>IFERROR(2*D196+QUOTIENT(C197,$D$179),0)</f>
        <v>0</v>
      </c>
      <c r="E197">
        <f>IFERROR(C197-$D$179*QUOTIENT(C197,$D$179),0)</f>
        <v>0</v>
      </c>
    </row>
    <row r="198" spans="1:5">
      <c r="A198">
        <v>35</v>
      </c>
      <c r="B198">
        <f>IFERROR(QUOTIENT($B$179,2^A198)-2*QUOTIENT($B$179,2^(A198+1)),0)</f>
        <v>0</v>
      </c>
      <c r="C198">
        <f>IFERROR(2*E197+B198*$C$179,0)</f>
        <v>0</v>
      </c>
      <c r="D198">
        <f>IFERROR(2*D197+QUOTIENT(C198,$D$179),0)</f>
        <v>0</v>
      </c>
      <c r="E198">
        <f>IFERROR(C198-$D$179*QUOTIENT(C198,$D$179),0)</f>
        <v>0</v>
      </c>
    </row>
    <row r="199" spans="1:5">
      <c r="A199">
        <v>34</v>
      </c>
      <c r="B199">
        <f>IFERROR(QUOTIENT($B$179,2^A199)-2*QUOTIENT($B$179,2^(A199+1)),0)</f>
        <v>0</v>
      </c>
      <c r="C199">
        <f>IFERROR(2*E198+B199*$C$179,0)</f>
        <v>0</v>
      </c>
      <c r="D199">
        <f>IFERROR(2*D198+QUOTIENT(C199,$D$179),0)</f>
        <v>0</v>
      </c>
      <c r="E199">
        <f>IFERROR(C199-$D$179*QUOTIENT(C199,$D$179),0)</f>
        <v>0</v>
      </c>
    </row>
    <row r="200" spans="1:5">
      <c r="A200">
        <v>33</v>
      </c>
      <c r="B200">
        <f>IFERROR(QUOTIENT($B$179,2^A200)-2*QUOTIENT($B$179,2^(A200+1)),0)</f>
        <v>0</v>
      </c>
      <c r="C200">
        <f>IFERROR(2*E199+B200*$C$179,0)</f>
        <v>0</v>
      </c>
      <c r="D200">
        <f>IFERROR(2*D199+QUOTIENT(C200,$D$179),0)</f>
        <v>0</v>
      </c>
      <c r="E200">
        <f>IFERROR(C200-$D$179*QUOTIENT(C200,$D$179),0)</f>
        <v>0</v>
      </c>
    </row>
    <row r="201" spans="1:5">
      <c r="A201">
        <v>32</v>
      </c>
      <c r="B201">
        <f>IFERROR(QUOTIENT($B$179,2^A201)-2*QUOTIENT($B$179,2^(A201+1)),0)</f>
        <v>0</v>
      </c>
      <c r="C201">
        <f>IFERROR(2*E200+B201*$C$179,0)</f>
        <v>0</v>
      </c>
      <c r="D201">
        <f>IFERROR(2*D200+QUOTIENT(C201,$D$179),0)</f>
        <v>0</v>
      </c>
      <c r="E201">
        <f>IFERROR(C201-$D$179*QUOTIENT(C201,$D$179),0)</f>
        <v>0</v>
      </c>
    </row>
    <row r="202" spans="1:5">
      <c r="A202">
        <v>31</v>
      </c>
      <c r="B202">
        <f>IFERROR(QUOTIENT($B$179,2^A202)-2*QUOTIENT($B$179,2^(A202+1)),0)</f>
        <v>0</v>
      </c>
      <c r="C202">
        <f>IFERROR(2*E201+B202*$C$179,0)</f>
        <v>0</v>
      </c>
      <c r="D202">
        <f>IFERROR(2*D201+QUOTIENT(C202,$D$179),0)</f>
        <v>0</v>
      </c>
      <c r="E202">
        <f>IFERROR(C202-$D$179*QUOTIENT(C202,$D$179),0)</f>
        <v>0</v>
      </c>
    </row>
    <row r="203" spans="1:5">
      <c r="A203">
        <v>30</v>
      </c>
      <c r="B203">
        <f>IFERROR(QUOTIENT($B$179,2^A203)-2*QUOTIENT($B$179,2^(A203+1)),0)</f>
        <v>0</v>
      </c>
      <c r="C203">
        <f>IFERROR(2*E202+B203*$C$179,0)</f>
        <v>0</v>
      </c>
      <c r="D203">
        <f>IFERROR(2*D202+QUOTIENT(C203,$D$179),0)</f>
        <v>0</v>
      </c>
      <c r="E203">
        <f>IFERROR(C203-$D$179*QUOTIENT(C203,$D$179),0)</f>
        <v>0</v>
      </c>
    </row>
    <row r="204" spans="1:5">
      <c r="A204">
        <v>29</v>
      </c>
      <c r="B204">
        <f>IFERROR(QUOTIENT($B$179,2^A204)-2*QUOTIENT($B$179,2^(A204+1)),0)</f>
        <v>0</v>
      </c>
      <c r="C204">
        <f>IFERROR(2*E203+B204*$C$179,0)</f>
        <v>0</v>
      </c>
      <c r="D204">
        <f>IFERROR(2*D203+QUOTIENT(C204,$D$179),0)</f>
        <v>0</v>
      </c>
      <c r="E204">
        <f>IFERROR(C204-$D$179*QUOTIENT(C204,$D$179),0)</f>
        <v>0</v>
      </c>
    </row>
    <row r="205" spans="1:5">
      <c r="A205">
        <v>28</v>
      </c>
      <c r="B205">
        <f>IFERROR(QUOTIENT($B$179,2^A205)-2*QUOTIENT($B$179,2^(A205+1)),0)</f>
        <v>0</v>
      </c>
      <c r="C205">
        <f>IFERROR(2*E204+B205*$C$179,0)</f>
        <v>0</v>
      </c>
      <c r="D205">
        <f>IFERROR(2*D204+QUOTIENT(C205,$D$179),0)</f>
        <v>0</v>
      </c>
      <c r="E205">
        <f>IFERROR(C205-$D$179*QUOTIENT(C205,$D$179),0)</f>
        <v>0</v>
      </c>
    </row>
    <row r="206" spans="1:5">
      <c r="A206">
        <v>27</v>
      </c>
      <c r="B206">
        <f>IFERROR(QUOTIENT($B$179,2^A206)-2*QUOTIENT($B$179,2^(A206+1)),0)</f>
        <v>0</v>
      </c>
      <c r="C206">
        <f>IFERROR(2*E205+B206*$C$179,0)</f>
        <v>0</v>
      </c>
      <c r="D206">
        <f>IFERROR(2*D205+QUOTIENT(C206,$D$179),0)</f>
        <v>0</v>
      </c>
      <c r="E206">
        <f>IFERROR(C206-$D$179*QUOTIENT(C206,$D$179),0)</f>
        <v>0</v>
      </c>
    </row>
    <row r="207" spans="1:5">
      <c r="A207">
        <v>26</v>
      </c>
      <c r="B207">
        <f>IFERROR(QUOTIENT($B$179,2^A207)-2*QUOTIENT($B$179,2^(A207+1)),0)</f>
        <v>0</v>
      </c>
      <c r="C207">
        <f>IFERROR(2*E206+B207*$C$179,0)</f>
        <v>0</v>
      </c>
      <c r="D207">
        <f>IFERROR(2*D206+QUOTIENT(C207,$D$179),0)</f>
        <v>0</v>
      </c>
      <c r="E207">
        <f>IFERROR(C207-$D$179*QUOTIENT(C207,$D$179),0)</f>
        <v>0</v>
      </c>
    </row>
    <row r="208" spans="1:5">
      <c r="A208">
        <v>25</v>
      </c>
      <c r="B208">
        <f>IFERROR(QUOTIENT($B$179,2^A208)-2*QUOTIENT($B$179,2^(A208+1)),0)</f>
        <v>0</v>
      </c>
      <c r="C208">
        <f>IFERROR(2*E207+B208*$C$179,0)</f>
        <v>0</v>
      </c>
      <c r="D208">
        <f>IFERROR(2*D207+QUOTIENT(C208,$D$179),0)</f>
        <v>0</v>
      </c>
      <c r="E208">
        <f>IFERROR(C208-$D$179*QUOTIENT(C208,$D$179),0)</f>
        <v>0</v>
      </c>
    </row>
    <row r="209" spans="1:5">
      <c r="A209">
        <v>24</v>
      </c>
      <c r="B209">
        <f>IFERROR(QUOTIENT($B$179,2^A209)-2*QUOTIENT($B$179,2^(A209+1)),0)</f>
        <v>0</v>
      </c>
      <c r="C209">
        <f>IFERROR(2*E208+B209*$C$179,0)</f>
        <v>0</v>
      </c>
      <c r="D209">
        <f>IFERROR(2*D208+QUOTIENT(C209,$D$179),0)</f>
        <v>0</v>
      </c>
      <c r="E209">
        <f>IFERROR(C209-$D$179*QUOTIENT(C209,$D$179),0)</f>
        <v>0</v>
      </c>
    </row>
    <row r="210" spans="1:5">
      <c r="A210">
        <v>23</v>
      </c>
      <c r="B210">
        <f>IFERROR(QUOTIENT($B$179,2^A210)-2*QUOTIENT($B$179,2^(A210+1)),0)</f>
        <v>0</v>
      </c>
      <c r="C210">
        <f>IFERROR(2*E209+B210*$C$179,0)</f>
        <v>0</v>
      </c>
      <c r="D210">
        <f>IFERROR(2*D209+QUOTIENT(C210,$D$179),0)</f>
        <v>0</v>
      </c>
      <c r="E210">
        <f>IFERROR(C210-$D$179*QUOTIENT(C210,$D$179),0)</f>
        <v>0</v>
      </c>
    </row>
    <row r="211" spans="1:5">
      <c r="A211">
        <v>22</v>
      </c>
      <c r="B211">
        <f>IFERROR(QUOTIENT($B$179,2^A211)-2*QUOTIENT($B$179,2^(A211+1)),0)</f>
        <v>0</v>
      </c>
      <c r="C211">
        <f>IFERROR(2*E210+B211*$C$179,0)</f>
        <v>0</v>
      </c>
      <c r="D211">
        <f>IFERROR(2*D210+QUOTIENT(C211,$D$179),0)</f>
        <v>0</v>
      </c>
      <c r="E211">
        <f>IFERROR(C211-$D$179*QUOTIENT(C211,$D$179),0)</f>
        <v>0</v>
      </c>
    </row>
    <row r="212" spans="1:5">
      <c r="A212">
        <v>21</v>
      </c>
      <c r="B212">
        <f>IFERROR(QUOTIENT($B$179,2^A212)-2*QUOTIENT($B$179,2^(A212+1)),0)</f>
        <v>0</v>
      </c>
      <c r="C212">
        <f>IFERROR(2*E211+B212*$C$179,0)</f>
        <v>0</v>
      </c>
      <c r="D212">
        <f>IFERROR(2*D211+QUOTIENT(C212,$D$179),0)</f>
        <v>0</v>
      </c>
      <c r="E212">
        <f>IFERROR(C212-$D$179*QUOTIENT(C212,$D$179),0)</f>
        <v>0</v>
      </c>
    </row>
    <row r="213" spans="1:5">
      <c r="A213">
        <v>20</v>
      </c>
      <c r="B213">
        <f>IFERROR(QUOTIENT($B$179,2^A213)-2*QUOTIENT($B$179,2^(A213+1)),0)</f>
        <v>0</v>
      </c>
      <c r="C213">
        <f>IFERROR(2*E212+B213*$C$179,0)</f>
        <v>0</v>
      </c>
      <c r="D213">
        <f>IFERROR(2*D212+QUOTIENT(C213,$D$179),0)</f>
        <v>0</v>
      </c>
      <c r="E213">
        <f>IFERROR(C213-$D$179*QUOTIENT(C213,$D$179),0)</f>
        <v>0</v>
      </c>
    </row>
    <row r="214" spans="1:5">
      <c r="A214">
        <v>19</v>
      </c>
      <c r="B214">
        <f>IFERROR(QUOTIENT($B$179,2^A214)-2*QUOTIENT($B$179,2^(A214+1)),0)</f>
        <v>0</v>
      </c>
      <c r="C214">
        <f>IFERROR(2*E213+B214*$C$179,0)</f>
        <v>0</v>
      </c>
      <c r="D214">
        <f>IFERROR(2*D213+QUOTIENT(C214,$D$179),0)</f>
        <v>0</v>
      </c>
      <c r="E214">
        <f>IFERROR(C214-$D$179*QUOTIENT(C214,$D$179),0)</f>
        <v>0</v>
      </c>
    </row>
    <row r="215" spans="1:5">
      <c r="A215">
        <v>18</v>
      </c>
      <c r="B215">
        <f>IFERROR(QUOTIENT($B$179,2^A215)-2*QUOTIENT($B$179,2^(A215+1)),0)</f>
        <v>0</v>
      </c>
      <c r="C215">
        <f>IFERROR(2*E214+B215*$C$179,0)</f>
        <v>0</v>
      </c>
      <c r="D215">
        <f>IFERROR(2*D214+QUOTIENT(C215,$D$179),0)</f>
        <v>0</v>
      </c>
      <c r="E215">
        <f>IFERROR(C215-$D$179*QUOTIENT(C215,$D$179),0)</f>
        <v>0</v>
      </c>
    </row>
    <row r="216" spans="1:5">
      <c r="A216">
        <v>17</v>
      </c>
      <c r="B216">
        <f>IFERROR(QUOTIENT($B$179,2^A216)-2*QUOTIENT($B$179,2^(A216+1)),0)</f>
        <v>0</v>
      </c>
      <c r="C216">
        <f>IFERROR(2*E215+B216*$C$179,0)</f>
        <v>0</v>
      </c>
      <c r="D216">
        <f>IFERROR(2*D215+QUOTIENT(C216,$D$179),0)</f>
        <v>0</v>
      </c>
      <c r="E216">
        <f>IFERROR(C216-$D$179*QUOTIENT(C216,$D$179),0)</f>
        <v>0</v>
      </c>
    </row>
    <row r="217" spans="1:5">
      <c r="A217">
        <v>16</v>
      </c>
      <c r="B217">
        <f>IFERROR(QUOTIENT($B$179,2^A217)-2*QUOTIENT($B$179,2^(A217+1)),0)</f>
        <v>0</v>
      </c>
      <c r="C217">
        <f>IFERROR(2*E216+B217*$C$179,0)</f>
        <v>0</v>
      </c>
      <c r="D217">
        <f>IFERROR(2*D216+QUOTIENT(C217,$D$179),0)</f>
        <v>0</v>
      </c>
      <c r="E217">
        <f>IFERROR(C217-$D$179*QUOTIENT(C217,$D$179),0)</f>
        <v>0</v>
      </c>
    </row>
    <row r="218" spans="1:5">
      <c r="A218">
        <v>15</v>
      </c>
      <c r="B218">
        <f>IFERROR(QUOTIENT($B$179,2^A218)-2*QUOTIENT($B$179,2^(A218+1)),0)</f>
        <v>0</v>
      </c>
      <c r="C218">
        <f>IFERROR(2*E217+B218*$C$179,0)</f>
        <v>0</v>
      </c>
      <c r="D218">
        <f>IFERROR(2*D217+QUOTIENT(C218,$D$179),0)</f>
        <v>0</v>
      </c>
      <c r="E218">
        <f>IFERROR(C218-$D$179*QUOTIENT(C218,$D$179),0)</f>
        <v>0</v>
      </c>
    </row>
    <row r="219" spans="1:5">
      <c r="A219">
        <v>14</v>
      </c>
      <c r="B219">
        <f>IFERROR(QUOTIENT($B$179,2^A219)-2*QUOTIENT($B$179,2^(A219+1)),0)</f>
        <v>0</v>
      </c>
      <c r="C219">
        <f>IFERROR(2*E218+B219*$C$179,0)</f>
        <v>0</v>
      </c>
      <c r="D219">
        <f>IFERROR(2*D218+QUOTIENT(C219,$D$179),0)</f>
        <v>0</v>
      </c>
      <c r="E219">
        <f>IFERROR(C219-$D$179*QUOTIENT(C219,$D$179),0)</f>
        <v>0</v>
      </c>
    </row>
    <row r="220" spans="1:5">
      <c r="A220">
        <v>13</v>
      </c>
      <c r="B220">
        <f>IFERROR(QUOTIENT($B$179,2^A220)-2*QUOTIENT($B$179,2^(A220+1)),0)</f>
        <v>0</v>
      </c>
      <c r="C220">
        <f>IFERROR(2*E219+B220*$C$179,0)</f>
        <v>0</v>
      </c>
      <c r="D220">
        <f>IFERROR(2*D219+QUOTIENT(C220,$D$179),0)</f>
        <v>0</v>
      </c>
      <c r="E220">
        <f>IFERROR(C220-$D$179*QUOTIENT(C220,$D$179),0)</f>
        <v>0</v>
      </c>
    </row>
    <row r="221" spans="1:5">
      <c r="A221">
        <v>12</v>
      </c>
      <c r="B221">
        <f>IFERROR(QUOTIENT($B$179,2^A221)-2*QUOTIENT($B$179,2^(A221+1)),0)</f>
        <v>0</v>
      </c>
      <c r="C221">
        <f>IFERROR(2*E220+B221*$C$179,0)</f>
        <v>0</v>
      </c>
      <c r="D221">
        <f>IFERROR(2*D220+QUOTIENT(C221,$D$179),0)</f>
        <v>0</v>
      </c>
      <c r="E221">
        <f>IFERROR(C221-$D$179*QUOTIENT(C221,$D$179),0)</f>
        <v>0</v>
      </c>
    </row>
    <row r="222" spans="1:5">
      <c r="A222">
        <v>11</v>
      </c>
      <c r="B222">
        <f>IFERROR(QUOTIENT($B$179,2^A222)-2*QUOTIENT($B$179,2^(A222+1)),0)</f>
        <v>0</v>
      </c>
      <c r="C222">
        <f>IFERROR(2*E221+B222*$C$179,0)</f>
        <v>0</v>
      </c>
      <c r="D222">
        <f>IFERROR(2*D221+QUOTIENT(C222,$D$179),0)</f>
        <v>0</v>
      </c>
      <c r="E222">
        <f>IFERROR(C222-$D$179*QUOTIENT(C222,$D$179),0)</f>
        <v>0</v>
      </c>
    </row>
    <row r="223" spans="1:5">
      <c r="A223">
        <v>10</v>
      </c>
      <c r="B223">
        <f>IFERROR(QUOTIENT($B$179,2^A223)-2*QUOTIENT($B$179,2^(A223+1)),0)</f>
        <v>0</v>
      </c>
      <c r="C223">
        <f>IFERROR(2*E222+B223*$C$179,0)</f>
        <v>0</v>
      </c>
      <c r="D223">
        <f>IFERROR(2*D222+QUOTIENT(C223,$D$179),0)</f>
        <v>0</v>
      </c>
      <c r="E223">
        <f>IFERROR(C223-$D$179*QUOTIENT(C223,$D$179),0)</f>
        <v>0</v>
      </c>
    </row>
    <row r="224" spans="1:5">
      <c r="A224">
        <v>9</v>
      </c>
      <c r="B224">
        <f>IFERROR(QUOTIENT($B$179,2^A224)-2*QUOTIENT($B$179,2^(A224+1)),0)</f>
        <v>0</v>
      </c>
      <c r="C224">
        <f>IFERROR(2*E223+B224*$C$179,0)</f>
        <v>0</v>
      </c>
      <c r="D224">
        <f>IFERROR(2*D223+QUOTIENT(C224,$D$179),0)</f>
        <v>0</v>
      </c>
      <c r="E224">
        <f>IFERROR(C224-$D$179*QUOTIENT(C224,$D$179),0)</f>
        <v>0</v>
      </c>
    </row>
    <row r="225" spans="1:8">
      <c r="A225">
        <v>8</v>
      </c>
      <c r="B225">
        <f>IFERROR(QUOTIENT($B$179,2^A225)-2*QUOTIENT($B$179,2^(A225+1)),0)</f>
        <v>0</v>
      </c>
      <c r="C225">
        <f>IFERROR(2*E224+B225*$C$179,0)</f>
        <v>0</v>
      </c>
      <c r="D225">
        <f>IFERROR(2*D224+QUOTIENT(C225,$D$179),0)</f>
        <v>0</v>
      </c>
      <c r="E225">
        <f>IFERROR(C225-$D$179*QUOTIENT(C225,$D$179),0)</f>
        <v>0</v>
      </c>
    </row>
    <row r="226" spans="1:8">
      <c r="A226">
        <v>7</v>
      </c>
      <c r="B226">
        <f>IFERROR(QUOTIENT($B$179,2^A226)-2*QUOTIENT($B$179,2^(A226+1)),0)</f>
        <v>0</v>
      </c>
      <c r="C226">
        <f>IFERROR(2*E225+B226*$C$179,0)</f>
        <v>0</v>
      </c>
      <c r="D226">
        <f>IFERROR(2*D225+QUOTIENT(C226,$D$179),0)</f>
        <v>0</v>
      </c>
      <c r="E226">
        <f>IFERROR(C226-$D$179*QUOTIENT(C226,$D$179),0)</f>
        <v>0</v>
      </c>
    </row>
    <row r="227" spans="1:8">
      <c r="A227">
        <v>6</v>
      </c>
      <c r="B227">
        <f>IFERROR(QUOTIENT($B$179,2^A227)-2*QUOTIENT($B$179,2^(A227+1)),0)</f>
        <v>0</v>
      </c>
      <c r="C227">
        <f>IFERROR(2*E226+B227*$C$179,0)</f>
        <v>0</v>
      </c>
      <c r="D227">
        <f>IFERROR(2*D226+QUOTIENT(C227,$D$179),0)</f>
        <v>0</v>
      </c>
      <c r="E227">
        <f>IFERROR(C227-$D$179*QUOTIENT(C227,$D$179),0)</f>
        <v>0</v>
      </c>
    </row>
    <row r="228" spans="1:8">
      <c r="A228">
        <v>5</v>
      </c>
      <c r="B228">
        <f>IFERROR(QUOTIENT($B$179,2^A228)-2*QUOTIENT($B$179,2^(A228+1)),0)</f>
        <v>0</v>
      </c>
      <c r="C228">
        <f>IFERROR(2*E227+B228*$C$179,0)</f>
        <v>0</v>
      </c>
      <c r="D228">
        <f>IFERROR(2*D227+QUOTIENT(C228,$D$179),0)</f>
        <v>0</v>
      </c>
      <c r="E228">
        <f>IFERROR(C228-$D$179*QUOTIENT(C228,$D$179),0)</f>
        <v>0</v>
      </c>
    </row>
    <row r="229" spans="1:8">
      <c r="A229">
        <v>4</v>
      </c>
      <c r="B229">
        <f>IFERROR(QUOTIENT($B$179,2^A229)-2*QUOTIENT($B$179,2^(A229+1)),0)</f>
        <v>0</v>
      </c>
      <c r="C229">
        <f>IFERROR(2*E228+B229*$C$179,0)</f>
        <v>0</v>
      </c>
      <c r="D229">
        <f>IFERROR(2*D228+QUOTIENT(C229,$D$179),0)</f>
        <v>0</v>
      </c>
      <c r="E229">
        <f>IFERROR(C229-$D$179*QUOTIENT(C229,$D$179),0)</f>
        <v>0</v>
      </c>
    </row>
    <row r="230" spans="1:8">
      <c r="A230">
        <v>3</v>
      </c>
      <c r="B230">
        <f>IFERROR(QUOTIENT($B$179,2^A230)-2*QUOTIENT($B$179,2^(A230+1)),0)</f>
        <v>0</v>
      </c>
      <c r="C230">
        <f>IFERROR(2*E229+B230*$C$179,0)</f>
        <v>0</v>
      </c>
      <c r="D230">
        <f>IFERROR(2*D229+QUOTIENT(C230,$D$179),0)</f>
        <v>0</v>
      </c>
      <c r="E230">
        <f>IFERROR(C230-$D$179*QUOTIENT(C230,$D$179),0)</f>
        <v>0</v>
      </c>
    </row>
    <row r="231" spans="1:8">
      <c r="A231">
        <v>2</v>
      </c>
      <c r="B231">
        <f>IFERROR(QUOTIENT($B$179,2^A231)-2*QUOTIENT($B$179,2^(A231+1)),0)</f>
        <v>0</v>
      </c>
      <c r="C231">
        <f>IFERROR(2*E230+B231*$C$179,0)</f>
        <v>0</v>
      </c>
      <c r="D231">
        <f>IFERROR(2*D230+QUOTIENT(C231,$D$179),0)</f>
        <v>0</v>
      </c>
      <c r="E231">
        <f>IFERROR(C231-$D$179*QUOTIENT(C231,$D$179),0)</f>
        <v>0</v>
      </c>
    </row>
    <row r="232" spans="1:8">
      <c r="A232">
        <v>1</v>
      </c>
      <c r="B232">
        <f>IFERROR(QUOTIENT($B$179,2^A232)-2*QUOTIENT($B$179,2^(A232+1)),0)</f>
        <v>0</v>
      </c>
      <c r="C232">
        <f>IFERROR(2*E231+B232*$C$179,0)</f>
        <v>0</v>
      </c>
      <c r="D232">
        <f>IFERROR(2*D231+QUOTIENT(C232,$D$179),0)</f>
        <v>0</v>
      </c>
      <c r="E232">
        <f>IFERROR(C232-$D$179*QUOTIENT(C232,$D$179),0)</f>
        <v>0</v>
      </c>
    </row>
    <row r="233" spans="1:8">
      <c r="A233">
        <v>0</v>
      </c>
      <c r="B233">
        <f>IFERROR(QUOTIENT($B$179,2^A233)-2*QUOTIENT($B$179,2^(A233+1)),0)</f>
        <v>0</v>
      </c>
      <c r="C233">
        <f>IFERROR(2*E232+B233*$C$179,0)</f>
        <v>0</v>
      </c>
      <c r="D233">
        <f>IFERROR(2*D232+QUOTIENT(C233,$D$179),0)</f>
        <v>0</v>
      </c>
      <c r="E233">
        <f>IFERROR(C233-$D$179*QUOTIENT(C233,$D$179),0)</f>
        <v>0</v>
      </c>
    </row>
    <row r="234" spans="1:8">
      <c r="A234" t="s">
        <v>452</v>
      </c>
      <c r="B234">
        <f>IFERROR(E179*D233,0)</f>
        <v>0</v>
      </c>
      <c r="C234">
        <f>IFERROR(E233,0)</f>
        <v>0</v>
      </c>
      <c r="D234">
        <f>IFERROR(B234-IF(E179&lt;0,IF(C234=0,0,1),0),0)</f>
        <v>0</v>
      </c>
      <c r="E234">
        <f>IFERROR(IF(E179&lt;0,IF(C234=0,0,D179-C234),C234),0)</f>
        <v>0</v>
      </c>
      <c r="F234" t="b">
        <f>IFERROR(AND(B179&lt;=9007199254740990,C179&lt;=9007199254740990,F179&gt;0,F179&lt;=9007199254740990,2*D179+C179&lt;=9007199254740990,ABS(B234)&lt;=9007199254740990),0)</f>
        <v>1</v>
      </c>
    </row>
    <row r="236" spans="1:8">
      <c r="A236" s="2" t="s">
        <v>445</v>
      </c>
      <c r="B236" s="2" t="s">
        <v>446</v>
      </c>
      <c r="C236" s="2" t="s">
        <v>447</v>
      </c>
      <c r="D236" s="2" t="s">
        <v>448</v>
      </c>
      <c r="E236" s="2" t="s">
        <v>449</v>
      </c>
      <c r="F236" s="2"/>
      <c r="G236" s="2"/>
      <c r="H236" s="2"/>
    </row>
    <row r="237" spans="1:8">
      <c r="A237" t="s">
        <v>459</v>
      </c>
      <c r="B237">
        <f>IFERROR(ABS((inp_b1_11+inp_b1_17-inp_adjust_local_credit)),0)</f>
        <v>0</v>
      </c>
      <c r="C237">
        <f>IFERROR(ABS(13),0)</f>
        <v>13</v>
      </c>
      <c r="D237">
        <f>IFERROR(MAX(1,IFERROR(ABS(625),0)),0)</f>
        <v>625</v>
      </c>
      <c r="E237">
        <f>IFERROR(SIGN((inp_b1_11+inp_b1_17-inp_adjust_local_credit))*SIGN(13)*SIGN(625),0)</f>
        <v>0</v>
      </c>
      <c r="F237">
        <f>IFERROR(ABS(625),0)</f>
        <v>625</v>
      </c>
      <c r="G237" t="b">
        <f>IFERROR(F292,0)</f>
        <v>1</v>
      </c>
      <c r="H237" s="3" t="s">
        <v>460</v>
      </c>
    </row>
    <row r="238" spans="1:8">
      <c r="D238">
        <v>0</v>
      </c>
      <c r="E238">
        <v>0</v>
      </c>
    </row>
    <row r="239" spans="1:8">
      <c r="A239">
        <v>52</v>
      </c>
      <c r="B239">
        <f>IFERROR(QUOTIENT($B$237,2^A239)-2*QUOTIENT($B$237,2^(A239+1)),0)</f>
        <v>0</v>
      </c>
      <c r="C239">
        <f>IFERROR(2*E238+B239*$C$237,0)</f>
        <v>0</v>
      </c>
      <c r="D239">
        <f>IFERROR(2*D238+QUOTIENT(C239,$D$237),0)</f>
        <v>0</v>
      </c>
      <c r="E239">
        <f>IFERROR(C239-$D$237*QUOTIENT(C239,$D$237),0)</f>
        <v>0</v>
      </c>
    </row>
    <row r="240" spans="1:8">
      <c r="A240">
        <v>51</v>
      </c>
      <c r="B240">
        <f>IFERROR(QUOTIENT($B$237,2^A240)-2*QUOTIENT($B$237,2^(A240+1)),0)</f>
        <v>0</v>
      </c>
      <c r="C240">
        <f>IFERROR(2*E239+B240*$C$237,0)</f>
        <v>0</v>
      </c>
      <c r="D240">
        <f>IFERROR(2*D239+QUOTIENT(C240,$D$237),0)</f>
        <v>0</v>
      </c>
      <c r="E240">
        <f>IFERROR(C240-$D$237*QUOTIENT(C240,$D$237),0)</f>
        <v>0</v>
      </c>
    </row>
    <row r="241" spans="1:5">
      <c r="A241">
        <v>50</v>
      </c>
      <c r="B241">
        <f>IFERROR(QUOTIENT($B$237,2^A241)-2*QUOTIENT($B$237,2^(A241+1)),0)</f>
        <v>0</v>
      </c>
      <c r="C241">
        <f>IFERROR(2*E240+B241*$C$237,0)</f>
        <v>0</v>
      </c>
      <c r="D241">
        <f>IFERROR(2*D240+QUOTIENT(C241,$D$237),0)</f>
        <v>0</v>
      </c>
      <c r="E241">
        <f>IFERROR(C241-$D$237*QUOTIENT(C241,$D$237),0)</f>
        <v>0</v>
      </c>
    </row>
    <row r="242" spans="1:5">
      <c r="A242">
        <v>49</v>
      </c>
      <c r="B242">
        <f>IFERROR(QUOTIENT($B$237,2^A242)-2*QUOTIENT($B$237,2^(A242+1)),0)</f>
        <v>0</v>
      </c>
      <c r="C242">
        <f>IFERROR(2*E241+B242*$C$237,0)</f>
        <v>0</v>
      </c>
      <c r="D242">
        <f>IFERROR(2*D241+QUOTIENT(C242,$D$237),0)</f>
        <v>0</v>
      </c>
      <c r="E242">
        <f>IFERROR(C242-$D$237*QUOTIENT(C242,$D$237),0)</f>
        <v>0</v>
      </c>
    </row>
    <row r="243" spans="1:5">
      <c r="A243">
        <v>48</v>
      </c>
      <c r="B243">
        <f>IFERROR(QUOTIENT($B$237,2^A243)-2*QUOTIENT($B$237,2^(A243+1)),0)</f>
        <v>0</v>
      </c>
      <c r="C243">
        <f>IFERROR(2*E242+B243*$C$237,0)</f>
        <v>0</v>
      </c>
      <c r="D243">
        <f>IFERROR(2*D242+QUOTIENT(C243,$D$237),0)</f>
        <v>0</v>
      </c>
      <c r="E243">
        <f>IFERROR(C243-$D$237*QUOTIENT(C243,$D$237),0)</f>
        <v>0</v>
      </c>
    </row>
    <row r="244" spans="1:5">
      <c r="A244">
        <v>47</v>
      </c>
      <c r="B244">
        <f>IFERROR(QUOTIENT($B$237,2^A244)-2*QUOTIENT($B$237,2^(A244+1)),0)</f>
        <v>0</v>
      </c>
      <c r="C244">
        <f>IFERROR(2*E243+B244*$C$237,0)</f>
        <v>0</v>
      </c>
      <c r="D244">
        <f>IFERROR(2*D243+QUOTIENT(C244,$D$237),0)</f>
        <v>0</v>
      </c>
      <c r="E244">
        <f>IFERROR(C244-$D$237*QUOTIENT(C244,$D$237),0)</f>
        <v>0</v>
      </c>
    </row>
    <row r="245" spans="1:5">
      <c r="A245">
        <v>46</v>
      </c>
      <c r="B245">
        <f>IFERROR(QUOTIENT($B$237,2^A245)-2*QUOTIENT($B$237,2^(A245+1)),0)</f>
        <v>0</v>
      </c>
      <c r="C245">
        <f>IFERROR(2*E244+B245*$C$237,0)</f>
        <v>0</v>
      </c>
      <c r="D245">
        <f>IFERROR(2*D244+QUOTIENT(C245,$D$237),0)</f>
        <v>0</v>
      </c>
      <c r="E245">
        <f>IFERROR(C245-$D$237*QUOTIENT(C245,$D$237),0)</f>
        <v>0</v>
      </c>
    </row>
    <row r="246" spans="1:5">
      <c r="A246">
        <v>45</v>
      </c>
      <c r="B246">
        <f>IFERROR(QUOTIENT($B$237,2^A246)-2*QUOTIENT($B$237,2^(A246+1)),0)</f>
        <v>0</v>
      </c>
      <c r="C246">
        <f>IFERROR(2*E245+B246*$C$237,0)</f>
        <v>0</v>
      </c>
      <c r="D246">
        <f>IFERROR(2*D245+QUOTIENT(C246,$D$237),0)</f>
        <v>0</v>
      </c>
      <c r="E246">
        <f>IFERROR(C246-$D$237*QUOTIENT(C246,$D$237),0)</f>
        <v>0</v>
      </c>
    </row>
    <row r="247" spans="1:5">
      <c r="A247">
        <v>44</v>
      </c>
      <c r="B247">
        <f>IFERROR(QUOTIENT($B$237,2^A247)-2*QUOTIENT($B$237,2^(A247+1)),0)</f>
        <v>0</v>
      </c>
      <c r="C247">
        <f>IFERROR(2*E246+B247*$C$237,0)</f>
        <v>0</v>
      </c>
      <c r="D247">
        <f>IFERROR(2*D246+QUOTIENT(C247,$D$237),0)</f>
        <v>0</v>
      </c>
      <c r="E247">
        <f>IFERROR(C247-$D$237*QUOTIENT(C247,$D$237),0)</f>
        <v>0</v>
      </c>
    </row>
    <row r="248" spans="1:5">
      <c r="A248">
        <v>43</v>
      </c>
      <c r="B248">
        <f>IFERROR(QUOTIENT($B$237,2^A248)-2*QUOTIENT($B$237,2^(A248+1)),0)</f>
        <v>0</v>
      </c>
      <c r="C248">
        <f>IFERROR(2*E247+B248*$C$237,0)</f>
        <v>0</v>
      </c>
      <c r="D248">
        <f>IFERROR(2*D247+QUOTIENT(C248,$D$237),0)</f>
        <v>0</v>
      </c>
      <c r="E248">
        <f>IFERROR(C248-$D$237*QUOTIENT(C248,$D$237),0)</f>
        <v>0</v>
      </c>
    </row>
    <row r="249" spans="1:5">
      <c r="A249">
        <v>42</v>
      </c>
      <c r="B249">
        <f>IFERROR(QUOTIENT($B$237,2^A249)-2*QUOTIENT($B$237,2^(A249+1)),0)</f>
        <v>0</v>
      </c>
      <c r="C249">
        <f>IFERROR(2*E248+B249*$C$237,0)</f>
        <v>0</v>
      </c>
      <c r="D249">
        <f>IFERROR(2*D248+QUOTIENT(C249,$D$237),0)</f>
        <v>0</v>
      </c>
      <c r="E249">
        <f>IFERROR(C249-$D$237*QUOTIENT(C249,$D$237),0)</f>
        <v>0</v>
      </c>
    </row>
    <row r="250" spans="1:5">
      <c r="A250">
        <v>41</v>
      </c>
      <c r="B250">
        <f>IFERROR(QUOTIENT($B$237,2^A250)-2*QUOTIENT($B$237,2^(A250+1)),0)</f>
        <v>0</v>
      </c>
      <c r="C250">
        <f>IFERROR(2*E249+B250*$C$237,0)</f>
        <v>0</v>
      </c>
      <c r="D250">
        <f>IFERROR(2*D249+QUOTIENT(C250,$D$237),0)</f>
        <v>0</v>
      </c>
      <c r="E250">
        <f>IFERROR(C250-$D$237*QUOTIENT(C250,$D$237),0)</f>
        <v>0</v>
      </c>
    </row>
    <row r="251" spans="1:5">
      <c r="A251">
        <v>40</v>
      </c>
      <c r="B251">
        <f>IFERROR(QUOTIENT($B$237,2^A251)-2*QUOTIENT($B$237,2^(A251+1)),0)</f>
        <v>0</v>
      </c>
      <c r="C251">
        <f>IFERROR(2*E250+B251*$C$237,0)</f>
        <v>0</v>
      </c>
      <c r="D251">
        <f>IFERROR(2*D250+QUOTIENT(C251,$D$237),0)</f>
        <v>0</v>
      </c>
      <c r="E251">
        <f>IFERROR(C251-$D$237*QUOTIENT(C251,$D$237),0)</f>
        <v>0</v>
      </c>
    </row>
    <row r="252" spans="1:5">
      <c r="A252">
        <v>39</v>
      </c>
      <c r="B252">
        <f>IFERROR(QUOTIENT($B$237,2^A252)-2*QUOTIENT($B$237,2^(A252+1)),0)</f>
        <v>0</v>
      </c>
      <c r="C252">
        <f>IFERROR(2*E251+B252*$C$237,0)</f>
        <v>0</v>
      </c>
      <c r="D252">
        <f>IFERROR(2*D251+QUOTIENT(C252,$D$237),0)</f>
        <v>0</v>
      </c>
      <c r="E252">
        <f>IFERROR(C252-$D$237*QUOTIENT(C252,$D$237),0)</f>
        <v>0</v>
      </c>
    </row>
    <row r="253" spans="1:5">
      <c r="A253">
        <v>38</v>
      </c>
      <c r="B253">
        <f>IFERROR(QUOTIENT($B$237,2^A253)-2*QUOTIENT($B$237,2^(A253+1)),0)</f>
        <v>0</v>
      </c>
      <c r="C253">
        <f>IFERROR(2*E252+B253*$C$237,0)</f>
        <v>0</v>
      </c>
      <c r="D253">
        <f>IFERROR(2*D252+QUOTIENT(C253,$D$237),0)</f>
        <v>0</v>
      </c>
      <c r="E253">
        <f>IFERROR(C253-$D$237*QUOTIENT(C253,$D$237),0)</f>
        <v>0</v>
      </c>
    </row>
    <row r="254" spans="1:5">
      <c r="A254">
        <v>37</v>
      </c>
      <c r="B254">
        <f>IFERROR(QUOTIENT($B$237,2^A254)-2*QUOTIENT($B$237,2^(A254+1)),0)</f>
        <v>0</v>
      </c>
      <c r="C254">
        <f>IFERROR(2*E253+B254*$C$237,0)</f>
        <v>0</v>
      </c>
      <c r="D254">
        <f>IFERROR(2*D253+QUOTIENT(C254,$D$237),0)</f>
        <v>0</v>
      </c>
      <c r="E254">
        <f>IFERROR(C254-$D$237*QUOTIENT(C254,$D$237),0)</f>
        <v>0</v>
      </c>
    </row>
    <row r="255" spans="1:5">
      <c r="A255">
        <v>36</v>
      </c>
      <c r="B255">
        <f>IFERROR(QUOTIENT($B$237,2^A255)-2*QUOTIENT($B$237,2^(A255+1)),0)</f>
        <v>0</v>
      </c>
      <c r="C255">
        <f>IFERROR(2*E254+B255*$C$237,0)</f>
        <v>0</v>
      </c>
      <c r="D255">
        <f>IFERROR(2*D254+QUOTIENT(C255,$D$237),0)</f>
        <v>0</v>
      </c>
      <c r="E255">
        <f>IFERROR(C255-$D$237*QUOTIENT(C255,$D$237),0)</f>
        <v>0</v>
      </c>
    </row>
    <row r="256" spans="1:5">
      <c r="A256">
        <v>35</v>
      </c>
      <c r="B256">
        <f>IFERROR(QUOTIENT($B$237,2^A256)-2*QUOTIENT($B$237,2^(A256+1)),0)</f>
        <v>0</v>
      </c>
      <c r="C256">
        <f>IFERROR(2*E255+B256*$C$237,0)</f>
        <v>0</v>
      </c>
      <c r="D256">
        <f>IFERROR(2*D255+QUOTIENT(C256,$D$237),0)</f>
        <v>0</v>
      </c>
      <c r="E256">
        <f>IFERROR(C256-$D$237*QUOTIENT(C256,$D$237),0)</f>
        <v>0</v>
      </c>
    </row>
    <row r="257" spans="1:5">
      <c r="A257">
        <v>34</v>
      </c>
      <c r="B257">
        <f>IFERROR(QUOTIENT($B$237,2^A257)-2*QUOTIENT($B$237,2^(A257+1)),0)</f>
        <v>0</v>
      </c>
      <c r="C257">
        <f>IFERROR(2*E256+B257*$C$237,0)</f>
        <v>0</v>
      </c>
      <c r="D257">
        <f>IFERROR(2*D256+QUOTIENT(C257,$D$237),0)</f>
        <v>0</v>
      </c>
      <c r="E257">
        <f>IFERROR(C257-$D$237*QUOTIENT(C257,$D$237),0)</f>
        <v>0</v>
      </c>
    </row>
    <row r="258" spans="1:5">
      <c r="A258">
        <v>33</v>
      </c>
      <c r="B258">
        <f>IFERROR(QUOTIENT($B$237,2^A258)-2*QUOTIENT($B$237,2^(A258+1)),0)</f>
        <v>0</v>
      </c>
      <c r="C258">
        <f>IFERROR(2*E257+B258*$C$237,0)</f>
        <v>0</v>
      </c>
      <c r="D258">
        <f>IFERROR(2*D257+QUOTIENT(C258,$D$237),0)</f>
        <v>0</v>
      </c>
      <c r="E258">
        <f>IFERROR(C258-$D$237*QUOTIENT(C258,$D$237),0)</f>
        <v>0</v>
      </c>
    </row>
    <row r="259" spans="1:5">
      <c r="A259">
        <v>32</v>
      </c>
      <c r="B259">
        <f>IFERROR(QUOTIENT($B$237,2^A259)-2*QUOTIENT($B$237,2^(A259+1)),0)</f>
        <v>0</v>
      </c>
      <c r="C259">
        <f>IFERROR(2*E258+B259*$C$237,0)</f>
        <v>0</v>
      </c>
      <c r="D259">
        <f>IFERROR(2*D258+QUOTIENT(C259,$D$237),0)</f>
        <v>0</v>
      </c>
      <c r="E259">
        <f>IFERROR(C259-$D$237*QUOTIENT(C259,$D$237),0)</f>
        <v>0</v>
      </c>
    </row>
    <row r="260" spans="1:5">
      <c r="A260">
        <v>31</v>
      </c>
      <c r="B260">
        <f>IFERROR(QUOTIENT($B$237,2^A260)-2*QUOTIENT($B$237,2^(A260+1)),0)</f>
        <v>0</v>
      </c>
      <c r="C260">
        <f>IFERROR(2*E259+B260*$C$237,0)</f>
        <v>0</v>
      </c>
      <c r="D260">
        <f>IFERROR(2*D259+QUOTIENT(C260,$D$237),0)</f>
        <v>0</v>
      </c>
      <c r="E260">
        <f>IFERROR(C260-$D$237*QUOTIENT(C260,$D$237),0)</f>
        <v>0</v>
      </c>
    </row>
    <row r="261" spans="1:5">
      <c r="A261">
        <v>30</v>
      </c>
      <c r="B261">
        <f>IFERROR(QUOTIENT($B$237,2^A261)-2*QUOTIENT($B$237,2^(A261+1)),0)</f>
        <v>0</v>
      </c>
      <c r="C261">
        <f>IFERROR(2*E260+B261*$C$237,0)</f>
        <v>0</v>
      </c>
      <c r="D261">
        <f>IFERROR(2*D260+QUOTIENT(C261,$D$237),0)</f>
        <v>0</v>
      </c>
      <c r="E261">
        <f>IFERROR(C261-$D$237*QUOTIENT(C261,$D$237),0)</f>
        <v>0</v>
      </c>
    </row>
    <row r="262" spans="1:5">
      <c r="A262">
        <v>29</v>
      </c>
      <c r="B262">
        <f>IFERROR(QUOTIENT($B$237,2^A262)-2*QUOTIENT($B$237,2^(A262+1)),0)</f>
        <v>0</v>
      </c>
      <c r="C262">
        <f>IFERROR(2*E261+B262*$C$237,0)</f>
        <v>0</v>
      </c>
      <c r="D262">
        <f>IFERROR(2*D261+QUOTIENT(C262,$D$237),0)</f>
        <v>0</v>
      </c>
      <c r="E262">
        <f>IFERROR(C262-$D$237*QUOTIENT(C262,$D$237),0)</f>
        <v>0</v>
      </c>
    </row>
    <row r="263" spans="1:5">
      <c r="A263">
        <v>28</v>
      </c>
      <c r="B263">
        <f>IFERROR(QUOTIENT($B$237,2^A263)-2*QUOTIENT($B$237,2^(A263+1)),0)</f>
        <v>0</v>
      </c>
      <c r="C263">
        <f>IFERROR(2*E262+B263*$C$237,0)</f>
        <v>0</v>
      </c>
      <c r="D263">
        <f>IFERROR(2*D262+QUOTIENT(C263,$D$237),0)</f>
        <v>0</v>
      </c>
      <c r="E263">
        <f>IFERROR(C263-$D$237*QUOTIENT(C263,$D$237),0)</f>
        <v>0</v>
      </c>
    </row>
    <row r="264" spans="1:5">
      <c r="A264">
        <v>27</v>
      </c>
      <c r="B264">
        <f>IFERROR(QUOTIENT($B$237,2^A264)-2*QUOTIENT($B$237,2^(A264+1)),0)</f>
        <v>0</v>
      </c>
      <c r="C264">
        <f>IFERROR(2*E263+B264*$C$237,0)</f>
        <v>0</v>
      </c>
      <c r="D264">
        <f>IFERROR(2*D263+QUOTIENT(C264,$D$237),0)</f>
        <v>0</v>
      </c>
      <c r="E264">
        <f>IFERROR(C264-$D$237*QUOTIENT(C264,$D$237),0)</f>
        <v>0</v>
      </c>
    </row>
    <row r="265" spans="1:5">
      <c r="A265">
        <v>26</v>
      </c>
      <c r="B265">
        <f>IFERROR(QUOTIENT($B$237,2^A265)-2*QUOTIENT($B$237,2^(A265+1)),0)</f>
        <v>0</v>
      </c>
      <c r="C265">
        <f>IFERROR(2*E264+B265*$C$237,0)</f>
        <v>0</v>
      </c>
      <c r="D265">
        <f>IFERROR(2*D264+QUOTIENT(C265,$D$237),0)</f>
        <v>0</v>
      </c>
      <c r="E265">
        <f>IFERROR(C265-$D$237*QUOTIENT(C265,$D$237),0)</f>
        <v>0</v>
      </c>
    </row>
    <row r="266" spans="1:5">
      <c r="A266">
        <v>25</v>
      </c>
      <c r="B266">
        <f>IFERROR(QUOTIENT($B$237,2^A266)-2*QUOTIENT($B$237,2^(A266+1)),0)</f>
        <v>0</v>
      </c>
      <c r="C266">
        <f>IFERROR(2*E265+B266*$C$237,0)</f>
        <v>0</v>
      </c>
      <c r="D266">
        <f>IFERROR(2*D265+QUOTIENT(C266,$D$237),0)</f>
        <v>0</v>
      </c>
      <c r="E266">
        <f>IFERROR(C266-$D$237*QUOTIENT(C266,$D$237),0)</f>
        <v>0</v>
      </c>
    </row>
    <row r="267" spans="1:5">
      <c r="A267">
        <v>24</v>
      </c>
      <c r="B267">
        <f>IFERROR(QUOTIENT($B$237,2^A267)-2*QUOTIENT($B$237,2^(A267+1)),0)</f>
        <v>0</v>
      </c>
      <c r="C267">
        <f>IFERROR(2*E266+B267*$C$237,0)</f>
        <v>0</v>
      </c>
      <c r="D267">
        <f>IFERROR(2*D266+QUOTIENT(C267,$D$237),0)</f>
        <v>0</v>
      </c>
      <c r="E267">
        <f>IFERROR(C267-$D$237*QUOTIENT(C267,$D$237),0)</f>
        <v>0</v>
      </c>
    </row>
    <row r="268" spans="1:5">
      <c r="A268">
        <v>23</v>
      </c>
      <c r="B268">
        <f>IFERROR(QUOTIENT($B$237,2^A268)-2*QUOTIENT($B$237,2^(A268+1)),0)</f>
        <v>0</v>
      </c>
      <c r="C268">
        <f>IFERROR(2*E267+B268*$C$237,0)</f>
        <v>0</v>
      </c>
      <c r="D268">
        <f>IFERROR(2*D267+QUOTIENT(C268,$D$237),0)</f>
        <v>0</v>
      </c>
      <c r="E268">
        <f>IFERROR(C268-$D$237*QUOTIENT(C268,$D$237),0)</f>
        <v>0</v>
      </c>
    </row>
    <row r="269" spans="1:5">
      <c r="A269">
        <v>22</v>
      </c>
      <c r="B269">
        <f>IFERROR(QUOTIENT($B$237,2^A269)-2*QUOTIENT($B$237,2^(A269+1)),0)</f>
        <v>0</v>
      </c>
      <c r="C269">
        <f>IFERROR(2*E268+B269*$C$237,0)</f>
        <v>0</v>
      </c>
      <c r="D269">
        <f>IFERROR(2*D268+QUOTIENT(C269,$D$237),0)</f>
        <v>0</v>
      </c>
      <c r="E269">
        <f>IFERROR(C269-$D$237*QUOTIENT(C269,$D$237),0)</f>
        <v>0</v>
      </c>
    </row>
    <row r="270" spans="1:5">
      <c r="A270">
        <v>21</v>
      </c>
      <c r="B270">
        <f>IFERROR(QUOTIENT($B$237,2^A270)-2*QUOTIENT($B$237,2^(A270+1)),0)</f>
        <v>0</v>
      </c>
      <c r="C270">
        <f>IFERROR(2*E269+B270*$C$237,0)</f>
        <v>0</v>
      </c>
      <c r="D270">
        <f>IFERROR(2*D269+QUOTIENT(C270,$D$237),0)</f>
        <v>0</v>
      </c>
      <c r="E270">
        <f>IFERROR(C270-$D$237*QUOTIENT(C270,$D$237),0)</f>
        <v>0</v>
      </c>
    </row>
    <row r="271" spans="1:5">
      <c r="A271">
        <v>20</v>
      </c>
      <c r="B271">
        <f>IFERROR(QUOTIENT($B$237,2^A271)-2*QUOTIENT($B$237,2^(A271+1)),0)</f>
        <v>0</v>
      </c>
      <c r="C271">
        <f>IFERROR(2*E270+B271*$C$237,0)</f>
        <v>0</v>
      </c>
      <c r="D271">
        <f>IFERROR(2*D270+QUOTIENT(C271,$D$237),0)</f>
        <v>0</v>
      </c>
      <c r="E271">
        <f>IFERROR(C271-$D$237*QUOTIENT(C271,$D$237),0)</f>
        <v>0</v>
      </c>
    </row>
    <row r="272" spans="1:5">
      <c r="A272">
        <v>19</v>
      </c>
      <c r="B272">
        <f>IFERROR(QUOTIENT($B$237,2^A272)-2*QUOTIENT($B$237,2^(A272+1)),0)</f>
        <v>0</v>
      </c>
      <c r="C272">
        <f>IFERROR(2*E271+B272*$C$237,0)</f>
        <v>0</v>
      </c>
      <c r="D272">
        <f>IFERROR(2*D271+QUOTIENT(C272,$D$237),0)</f>
        <v>0</v>
      </c>
      <c r="E272">
        <f>IFERROR(C272-$D$237*QUOTIENT(C272,$D$237),0)</f>
        <v>0</v>
      </c>
    </row>
    <row r="273" spans="1:5">
      <c r="A273">
        <v>18</v>
      </c>
      <c r="B273">
        <f>IFERROR(QUOTIENT($B$237,2^A273)-2*QUOTIENT($B$237,2^(A273+1)),0)</f>
        <v>0</v>
      </c>
      <c r="C273">
        <f>IFERROR(2*E272+B273*$C$237,0)</f>
        <v>0</v>
      </c>
      <c r="D273">
        <f>IFERROR(2*D272+QUOTIENT(C273,$D$237),0)</f>
        <v>0</v>
      </c>
      <c r="E273">
        <f>IFERROR(C273-$D$237*QUOTIENT(C273,$D$237),0)</f>
        <v>0</v>
      </c>
    </row>
    <row r="274" spans="1:5">
      <c r="A274">
        <v>17</v>
      </c>
      <c r="B274">
        <f>IFERROR(QUOTIENT($B$237,2^A274)-2*QUOTIENT($B$237,2^(A274+1)),0)</f>
        <v>0</v>
      </c>
      <c r="C274">
        <f>IFERROR(2*E273+B274*$C$237,0)</f>
        <v>0</v>
      </c>
      <c r="D274">
        <f>IFERROR(2*D273+QUOTIENT(C274,$D$237),0)</f>
        <v>0</v>
      </c>
      <c r="E274">
        <f>IFERROR(C274-$D$237*QUOTIENT(C274,$D$237),0)</f>
        <v>0</v>
      </c>
    </row>
    <row r="275" spans="1:5">
      <c r="A275">
        <v>16</v>
      </c>
      <c r="B275">
        <f>IFERROR(QUOTIENT($B$237,2^A275)-2*QUOTIENT($B$237,2^(A275+1)),0)</f>
        <v>0</v>
      </c>
      <c r="C275">
        <f>IFERROR(2*E274+B275*$C$237,0)</f>
        <v>0</v>
      </c>
      <c r="D275">
        <f>IFERROR(2*D274+QUOTIENT(C275,$D$237),0)</f>
        <v>0</v>
      </c>
      <c r="E275">
        <f>IFERROR(C275-$D$237*QUOTIENT(C275,$D$237),0)</f>
        <v>0</v>
      </c>
    </row>
    <row r="276" spans="1:5">
      <c r="A276">
        <v>15</v>
      </c>
      <c r="B276">
        <f>IFERROR(QUOTIENT($B$237,2^A276)-2*QUOTIENT($B$237,2^(A276+1)),0)</f>
        <v>0</v>
      </c>
      <c r="C276">
        <f>IFERROR(2*E275+B276*$C$237,0)</f>
        <v>0</v>
      </c>
      <c r="D276">
        <f>IFERROR(2*D275+QUOTIENT(C276,$D$237),0)</f>
        <v>0</v>
      </c>
      <c r="E276">
        <f>IFERROR(C276-$D$237*QUOTIENT(C276,$D$237),0)</f>
        <v>0</v>
      </c>
    </row>
    <row r="277" spans="1:5">
      <c r="A277">
        <v>14</v>
      </c>
      <c r="B277">
        <f>IFERROR(QUOTIENT($B$237,2^A277)-2*QUOTIENT($B$237,2^(A277+1)),0)</f>
        <v>0</v>
      </c>
      <c r="C277">
        <f>IFERROR(2*E276+B277*$C$237,0)</f>
        <v>0</v>
      </c>
      <c r="D277">
        <f>IFERROR(2*D276+QUOTIENT(C277,$D$237),0)</f>
        <v>0</v>
      </c>
      <c r="E277">
        <f>IFERROR(C277-$D$237*QUOTIENT(C277,$D$237),0)</f>
        <v>0</v>
      </c>
    </row>
    <row r="278" spans="1:5">
      <c r="A278">
        <v>13</v>
      </c>
      <c r="B278">
        <f>IFERROR(QUOTIENT($B$237,2^A278)-2*QUOTIENT($B$237,2^(A278+1)),0)</f>
        <v>0</v>
      </c>
      <c r="C278">
        <f>IFERROR(2*E277+B278*$C$237,0)</f>
        <v>0</v>
      </c>
      <c r="D278">
        <f>IFERROR(2*D277+QUOTIENT(C278,$D$237),0)</f>
        <v>0</v>
      </c>
      <c r="E278">
        <f>IFERROR(C278-$D$237*QUOTIENT(C278,$D$237),0)</f>
        <v>0</v>
      </c>
    </row>
    <row r="279" spans="1:5">
      <c r="A279">
        <v>12</v>
      </c>
      <c r="B279">
        <f>IFERROR(QUOTIENT($B$237,2^A279)-2*QUOTIENT($B$237,2^(A279+1)),0)</f>
        <v>0</v>
      </c>
      <c r="C279">
        <f>IFERROR(2*E278+B279*$C$237,0)</f>
        <v>0</v>
      </c>
      <c r="D279">
        <f>IFERROR(2*D278+QUOTIENT(C279,$D$237),0)</f>
        <v>0</v>
      </c>
      <c r="E279">
        <f>IFERROR(C279-$D$237*QUOTIENT(C279,$D$237),0)</f>
        <v>0</v>
      </c>
    </row>
    <row r="280" spans="1:5">
      <c r="A280">
        <v>11</v>
      </c>
      <c r="B280">
        <f>IFERROR(QUOTIENT($B$237,2^A280)-2*QUOTIENT($B$237,2^(A280+1)),0)</f>
        <v>0</v>
      </c>
      <c r="C280">
        <f>IFERROR(2*E279+B280*$C$237,0)</f>
        <v>0</v>
      </c>
      <c r="D280">
        <f>IFERROR(2*D279+QUOTIENT(C280,$D$237),0)</f>
        <v>0</v>
      </c>
      <c r="E280">
        <f>IFERROR(C280-$D$237*QUOTIENT(C280,$D$237),0)</f>
        <v>0</v>
      </c>
    </row>
    <row r="281" spans="1:5">
      <c r="A281">
        <v>10</v>
      </c>
      <c r="B281">
        <f>IFERROR(QUOTIENT($B$237,2^A281)-2*QUOTIENT($B$237,2^(A281+1)),0)</f>
        <v>0</v>
      </c>
      <c r="C281">
        <f>IFERROR(2*E280+B281*$C$237,0)</f>
        <v>0</v>
      </c>
      <c r="D281">
        <f>IFERROR(2*D280+QUOTIENT(C281,$D$237),0)</f>
        <v>0</v>
      </c>
      <c r="E281">
        <f>IFERROR(C281-$D$237*QUOTIENT(C281,$D$237),0)</f>
        <v>0</v>
      </c>
    </row>
    <row r="282" spans="1:5">
      <c r="A282">
        <v>9</v>
      </c>
      <c r="B282">
        <f>IFERROR(QUOTIENT($B$237,2^A282)-2*QUOTIENT($B$237,2^(A282+1)),0)</f>
        <v>0</v>
      </c>
      <c r="C282">
        <f>IFERROR(2*E281+B282*$C$237,0)</f>
        <v>0</v>
      </c>
      <c r="D282">
        <f>IFERROR(2*D281+QUOTIENT(C282,$D$237),0)</f>
        <v>0</v>
      </c>
      <c r="E282">
        <f>IFERROR(C282-$D$237*QUOTIENT(C282,$D$237),0)</f>
        <v>0</v>
      </c>
    </row>
    <row r="283" spans="1:5">
      <c r="A283">
        <v>8</v>
      </c>
      <c r="B283">
        <f>IFERROR(QUOTIENT($B$237,2^A283)-2*QUOTIENT($B$237,2^(A283+1)),0)</f>
        <v>0</v>
      </c>
      <c r="C283">
        <f>IFERROR(2*E282+B283*$C$237,0)</f>
        <v>0</v>
      </c>
      <c r="D283">
        <f>IFERROR(2*D282+QUOTIENT(C283,$D$237),0)</f>
        <v>0</v>
      </c>
      <c r="E283">
        <f>IFERROR(C283-$D$237*QUOTIENT(C283,$D$237),0)</f>
        <v>0</v>
      </c>
    </row>
    <row r="284" spans="1:5">
      <c r="A284">
        <v>7</v>
      </c>
      <c r="B284">
        <f>IFERROR(QUOTIENT($B$237,2^A284)-2*QUOTIENT($B$237,2^(A284+1)),0)</f>
        <v>0</v>
      </c>
      <c r="C284">
        <f>IFERROR(2*E283+B284*$C$237,0)</f>
        <v>0</v>
      </c>
      <c r="D284">
        <f>IFERROR(2*D283+QUOTIENT(C284,$D$237),0)</f>
        <v>0</v>
      </c>
      <c r="E284">
        <f>IFERROR(C284-$D$237*QUOTIENT(C284,$D$237),0)</f>
        <v>0</v>
      </c>
    </row>
    <row r="285" spans="1:5">
      <c r="A285">
        <v>6</v>
      </c>
      <c r="B285">
        <f>IFERROR(QUOTIENT($B$237,2^A285)-2*QUOTIENT($B$237,2^(A285+1)),0)</f>
        <v>0</v>
      </c>
      <c r="C285">
        <f>IFERROR(2*E284+B285*$C$237,0)</f>
        <v>0</v>
      </c>
      <c r="D285">
        <f>IFERROR(2*D284+QUOTIENT(C285,$D$237),0)</f>
        <v>0</v>
      </c>
      <c r="E285">
        <f>IFERROR(C285-$D$237*QUOTIENT(C285,$D$237),0)</f>
        <v>0</v>
      </c>
    </row>
    <row r="286" spans="1:5">
      <c r="A286">
        <v>5</v>
      </c>
      <c r="B286">
        <f>IFERROR(QUOTIENT($B$237,2^A286)-2*QUOTIENT($B$237,2^(A286+1)),0)</f>
        <v>0</v>
      </c>
      <c r="C286">
        <f>IFERROR(2*E285+B286*$C$237,0)</f>
        <v>0</v>
      </c>
      <c r="D286">
        <f>IFERROR(2*D285+QUOTIENT(C286,$D$237),0)</f>
        <v>0</v>
      </c>
      <c r="E286">
        <f>IFERROR(C286-$D$237*QUOTIENT(C286,$D$237),0)</f>
        <v>0</v>
      </c>
    </row>
    <row r="287" spans="1:5">
      <c r="A287">
        <v>4</v>
      </c>
      <c r="B287">
        <f>IFERROR(QUOTIENT($B$237,2^A287)-2*QUOTIENT($B$237,2^(A287+1)),0)</f>
        <v>0</v>
      </c>
      <c r="C287">
        <f>IFERROR(2*E286+B287*$C$237,0)</f>
        <v>0</v>
      </c>
      <c r="D287">
        <f>IFERROR(2*D286+QUOTIENT(C287,$D$237),0)</f>
        <v>0</v>
      </c>
      <c r="E287">
        <f>IFERROR(C287-$D$237*QUOTIENT(C287,$D$237),0)</f>
        <v>0</v>
      </c>
    </row>
    <row r="288" spans="1:5">
      <c r="A288">
        <v>3</v>
      </c>
      <c r="B288">
        <f>IFERROR(QUOTIENT($B$237,2^A288)-2*QUOTIENT($B$237,2^(A288+1)),0)</f>
        <v>0</v>
      </c>
      <c r="C288">
        <f>IFERROR(2*E287+B288*$C$237,0)</f>
        <v>0</v>
      </c>
      <c r="D288">
        <f>IFERROR(2*D287+QUOTIENT(C288,$D$237),0)</f>
        <v>0</v>
      </c>
      <c r="E288">
        <f>IFERROR(C288-$D$237*QUOTIENT(C288,$D$237),0)</f>
        <v>0</v>
      </c>
    </row>
    <row r="289" spans="1:6">
      <c r="A289">
        <v>2</v>
      </c>
      <c r="B289">
        <f>IFERROR(QUOTIENT($B$237,2^A289)-2*QUOTIENT($B$237,2^(A289+1)),0)</f>
        <v>0</v>
      </c>
      <c r="C289">
        <f>IFERROR(2*E288+B289*$C$237,0)</f>
        <v>0</v>
      </c>
      <c r="D289">
        <f>IFERROR(2*D288+QUOTIENT(C289,$D$237),0)</f>
        <v>0</v>
      </c>
      <c r="E289">
        <f>IFERROR(C289-$D$237*QUOTIENT(C289,$D$237),0)</f>
        <v>0</v>
      </c>
    </row>
    <row r="290" spans="1:6">
      <c r="A290">
        <v>1</v>
      </c>
      <c r="B290">
        <f>IFERROR(QUOTIENT($B$237,2^A290)-2*QUOTIENT($B$237,2^(A290+1)),0)</f>
        <v>0</v>
      </c>
      <c r="C290">
        <f>IFERROR(2*E289+B290*$C$237,0)</f>
        <v>0</v>
      </c>
      <c r="D290">
        <f>IFERROR(2*D289+QUOTIENT(C290,$D$237),0)</f>
        <v>0</v>
      </c>
      <c r="E290">
        <f>IFERROR(C290-$D$237*QUOTIENT(C290,$D$237),0)</f>
        <v>0</v>
      </c>
    </row>
    <row r="291" spans="1:6">
      <c r="A291">
        <v>0</v>
      </c>
      <c r="B291">
        <f>IFERROR(QUOTIENT($B$237,2^A291)-2*QUOTIENT($B$237,2^(A291+1)),0)</f>
        <v>0</v>
      </c>
      <c r="C291">
        <f>IFERROR(2*E290+B291*$C$237,0)</f>
        <v>0</v>
      </c>
      <c r="D291">
        <f>IFERROR(2*D290+QUOTIENT(C291,$D$237),0)</f>
        <v>0</v>
      </c>
      <c r="E291">
        <f>IFERROR(C291-$D$237*QUOTIENT(C291,$D$237),0)</f>
        <v>0</v>
      </c>
    </row>
    <row r="292" spans="1:6">
      <c r="A292" t="s">
        <v>452</v>
      </c>
      <c r="B292">
        <f>IFERROR(E237*D291,0)</f>
        <v>0</v>
      </c>
      <c r="C292">
        <f>IFERROR(E291,0)</f>
        <v>0</v>
      </c>
      <c r="D292">
        <f>IFERROR(B292-IF(E237&lt;0,IF(C292=0,0,1),0),0)</f>
        <v>0</v>
      </c>
      <c r="E292">
        <f>IFERROR(IF(E237&lt;0,IF(C292=0,0,D237-C292),C292),0)</f>
        <v>0</v>
      </c>
      <c r="F292" t="b">
        <f>IFERROR(AND(B237&lt;=9007199254740990,C237&lt;=9007199254740990,F237&gt;0,F237&lt;=9007199254740990,2*D237+C237&lt;=9007199254740990,ABS(B292)&lt;=9007199254740990),0)</f>
        <v>1</v>
      </c>
    </row>
  </sheetData>
  <sheetProtection sheet="1" objects="1" scenarios="1"/>
  <mergeCells count="1">
    <mergeCell ref="A1:H1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206</vt:i4>
      </vt:variant>
    </vt:vector>
  </HeadingPairs>
  <TitlesOfParts>
    <vt:vector size="216" baseType="lpstr">
      <vt:lpstr>使い方</vt:lpstr>
      <vt:lpstr>入力</vt:lpstr>
      <vt:lpstr>別表三一_計算</vt:lpstr>
      <vt:lpstr>付表一_計算</vt:lpstr>
      <vt:lpstr>付表二_計算</vt:lpstr>
      <vt:lpstr>別表三(一)</vt:lpstr>
      <vt:lpstr>別表三(一)付表一</vt:lpstr>
      <vt:lpstr>別表三(一)付表二</vt:lpstr>
      <vt:lpstr>検算</vt:lpstr>
      <vt:lpstr>根拠・出典</vt:lpstr>
      <vt:lpstr>cfg_applicable</vt:lpstr>
      <vt:lpstr>cfg_calculation_ready</vt:lpstr>
      <vt:lpstr>cfg_class_selected</vt:lpstr>
      <vt:lpstr>cfg_donation_rate</vt:lpstr>
      <vt:lpstr>cfg_exact_domain_ok</vt:lpstr>
      <vt:lpstr>cfg_exact_math_valid</vt:lpstr>
      <vt:lpstr>cfg_f2_input_valid</vt:lpstr>
      <vt:lpstr>cfg_f2_period_ok</vt:lpstr>
      <vt:lpstr>cfg_group_selected</vt:lpstr>
      <vt:lpstr>cfg_period_input_valid</vt:lpstr>
      <vt:lpstr>cfg_resident_rate</vt:lpstr>
      <vt:lpstr>cfg_special_applicable</vt:lpstr>
      <vt:lpstr>exact_r5_f1_32_income_absrem</vt:lpstr>
      <vt:lpstr>exact_r5_f1_32_income_floor</vt:lpstr>
      <vt:lpstr>exact_r5_f1_32_income_q</vt:lpstr>
      <vt:lpstr>exact_r5_f1_32_income_rem</vt:lpstr>
      <vt:lpstr>exact_r5_f1_32_income_valid</vt:lpstr>
      <vt:lpstr>exact_r5_f2_26_ratio_absrem</vt:lpstr>
      <vt:lpstr>exact_r5_f2_26_ratio_floor</vt:lpstr>
      <vt:lpstr>exact_r5_f2_26_ratio_q</vt:lpstr>
      <vt:lpstr>exact_r5_f2_26_ratio_rem</vt:lpstr>
      <vt:lpstr>exact_r5_f2_26_ratio_valid</vt:lpstr>
      <vt:lpstr>exact_r5_m_24_resident_absrem</vt:lpstr>
      <vt:lpstr>exact_r5_m_24_resident_floor</vt:lpstr>
      <vt:lpstr>exact_r5_m_24_resident_q</vt:lpstr>
      <vt:lpstr>exact_r5_m_24_resident_rem</vt:lpstr>
      <vt:lpstr>exact_r5_m_24_resident_valid</vt:lpstr>
      <vt:lpstr>exact_r5_m_26_delta_absrem</vt:lpstr>
      <vt:lpstr>exact_r5_m_26_delta_floor</vt:lpstr>
      <vt:lpstr>exact_r5_m_26_delta_q</vt:lpstr>
      <vt:lpstr>exact_r5_m_26_delta_rem</vt:lpstr>
      <vt:lpstr>exact_r5_m_26_delta_valid</vt:lpstr>
      <vt:lpstr>exact_r5_m_26_municipal_absrem</vt:lpstr>
      <vt:lpstr>exact_r5_m_26_municipal_floor</vt:lpstr>
      <vt:lpstr>exact_r5_m_26_municipal_q</vt:lpstr>
      <vt:lpstr>exact_r5_m_26_municipal_rem</vt:lpstr>
      <vt:lpstr>exact_r5_m_26_municipal_valid</vt:lpstr>
      <vt:lpstr>f1_01</vt:lpstr>
      <vt:lpstr>f1_02</vt:lpstr>
      <vt:lpstr>f1_03</vt:lpstr>
      <vt:lpstr>f1_04</vt:lpstr>
      <vt:lpstr>f1_05</vt:lpstr>
      <vt:lpstr>f1_06</vt:lpstr>
      <vt:lpstr>f1_07</vt:lpstr>
      <vt:lpstr>f1_08</vt:lpstr>
      <vt:lpstr>f1_09</vt:lpstr>
      <vt:lpstr>f1_10</vt:lpstr>
      <vt:lpstr>f1_11</vt:lpstr>
      <vt:lpstr>f1_12</vt:lpstr>
      <vt:lpstr>f1_13</vt:lpstr>
      <vt:lpstr>f1_14</vt:lpstr>
      <vt:lpstr>f1_15</vt:lpstr>
      <vt:lpstr>f1_16</vt:lpstr>
      <vt:lpstr>f1_17</vt:lpstr>
      <vt:lpstr>f1_18</vt:lpstr>
      <vt:lpstr>f1_19</vt:lpstr>
      <vt:lpstr>f1_20</vt:lpstr>
      <vt:lpstr>f1_21</vt:lpstr>
      <vt:lpstr>f1_22</vt:lpstr>
      <vt:lpstr>f1_23</vt:lpstr>
      <vt:lpstr>f1_24</vt:lpstr>
      <vt:lpstr>f1_25</vt:lpstr>
      <vt:lpstr>f1_26</vt:lpstr>
      <vt:lpstr>f1_27</vt:lpstr>
      <vt:lpstr>f1_28</vt:lpstr>
      <vt:lpstr>f1_29</vt:lpstr>
      <vt:lpstr>f1_30</vt:lpstr>
      <vt:lpstr>f1_31</vt:lpstr>
      <vt:lpstr>f1_32</vt:lpstr>
      <vt:lpstr>f1_33</vt:lpstr>
      <vt:lpstr>f2_01</vt:lpstr>
      <vt:lpstr>f2_02</vt:lpstr>
      <vt:lpstr>f2_03</vt:lpstr>
      <vt:lpstr>f2_04</vt:lpstr>
      <vt:lpstr>f2_05</vt:lpstr>
      <vt:lpstr>f2_06</vt:lpstr>
      <vt:lpstr>f2_07</vt:lpstr>
      <vt:lpstr>f2_08</vt:lpstr>
      <vt:lpstr>f2_09</vt:lpstr>
      <vt:lpstr>f2_10</vt:lpstr>
      <vt:lpstr>f2_11</vt:lpstr>
      <vt:lpstr>f2_12</vt:lpstr>
      <vt:lpstr>f2_13</vt:lpstr>
      <vt:lpstr>f2_14</vt:lpstr>
      <vt:lpstr>f2_15</vt:lpstr>
      <vt:lpstr>f2_16</vt:lpstr>
      <vt:lpstr>f2_17</vt:lpstr>
      <vt:lpstr>f2_18</vt:lpstr>
      <vt:lpstr>f2_19</vt:lpstr>
      <vt:lpstr>f2_20</vt:lpstr>
      <vt:lpstr>f2_21</vt:lpstr>
      <vt:lpstr>f2_22</vt:lpstr>
      <vt:lpstr>f2_23</vt:lpstr>
      <vt:lpstr>f2_24</vt:lpstr>
      <vt:lpstr>f2_25</vt:lpstr>
      <vt:lpstr>f2_26</vt:lpstr>
      <vt:lpstr>inp_adjust_local_credit</vt:lpstr>
      <vt:lpstr>inp_b1_11</vt:lpstr>
      <vt:lpstr>inp_b1_17</vt:lpstr>
      <vt:lpstr>inp_b1_18</vt:lpstr>
      <vt:lpstr>inp_b1_2</vt:lpstr>
      <vt:lpstr>inp_b1_3</vt:lpstr>
      <vt:lpstr>inp_b1_31</vt:lpstr>
      <vt:lpstr>inp_b1_32</vt:lpstr>
      <vt:lpstr>inp_b1_36</vt:lpstr>
      <vt:lpstr>inp_b1_4</vt:lpstr>
      <vt:lpstr>inp_b1_6</vt:lpstr>
      <vt:lpstr>inp_b1_65</vt:lpstr>
      <vt:lpstr>inp_b1_9out</vt:lpstr>
      <vt:lpstr>inp_b6_5_2_5_3</vt:lpstr>
      <vt:lpstr>inp_class</vt:lpstr>
      <vt:lpstr>inp_corp</vt:lpstr>
      <vt:lpstr>inp_curr_div</vt:lpstr>
      <vt:lpstr>inp_end</vt:lpstr>
      <vt:lpstr>inp_f1_09</vt:lpstr>
      <vt:lpstr>inp_f1_10</vt:lpstr>
      <vt:lpstr>inp_f1_11</vt:lpstr>
      <vt:lpstr>inp_f1_12</vt:lpstr>
      <vt:lpstr>inp_f1_13</vt:lpstr>
      <vt:lpstr>inp_f1_14</vt:lpstr>
      <vt:lpstr>inp_f1_15</vt:lpstr>
      <vt:lpstr>inp_f1_16</vt:lpstr>
      <vt:lpstr>inp_f1_19</vt:lpstr>
      <vt:lpstr>inp_f1_20</vt:lpstr>
      <vt:lpstr>inp_f1_21</vt:lpstr>
      <vt:lpstr>inp_f1_22</vt:lpstr>
      <vt:lpstr>inp_f1_23</vt:lpstr>
      <vt:lpstr>inp_f1_24</vt:lpstr>
      <vt:lpstr>inp_f1_25</vt:lpstr>
      <vt:lpstr>inp_f1_26</vt:lpstr>
      <vt:lpstr>inp_f1_27</vt:lpstr>
      <vt:lpstr>inp_f1_28</vt:lpstr>
      <vt:lpstr>inp_f1_29</vt:lpstr>
      <vt:lpstr>inp_f1_30</vt:lpstr>
      <vt:lpstr>inp_f1_capital</vt:lpstr>
      <vt:lpstr>inp_f1_merger_inc</vt:lpstr>
      <vt:lpstr>inp_f1_opening_profit</vt:lpstr>
      <vt:lpstr>inp_f1_split_dec</vt:lpstr>
      <vt:lpstr>inp_f2_01</vt:lpstr>
      <vt:lpstr>inp_f2_02</vt:lpstr>
      <vt:lpstr>inp_f2_03</vt:lpstr>
      <vt:lpstr>inp_f2_04</vt:lpstr>
      <vt:lpstr>inp_f2_06</vt:lpstr>
      <vt:lpstr>inp_f2_07</vt:lpstr>
      <vt:lpstr>inp_f2_08</vt:lpstr>
      <vt:lpstr>inp_f2_12</vt:lpstr>
      <vt:lpstr>inp_f2_15</vt:lpstr>
      <vt:lpstr>inp_f2_16</vt:lpstr>
      <vt:lpstr>inp_f2_21</vt:lpstr>
      <vt:lpstr>inp_f2_23</vt:lpstr>
      <vt:lpstr>inp_group</vt:lpstr>
      <vt:lpstr>inp_m14_foreign</vt:lpstr>
      <vt:lpstr>inp_m22_b1_4_adjust</vt:lpstr>
      <vt:lpstr>inp_m22_credits</vt:lpstr>
      <vt:lpstr>inp_m23_b1_4_adjust</vt:lpstr>
      <vt:lpstr>inp_m23_credits</vt:lpstr>
      <vt:lpstr>inp_m9_base</vt:lpstr>
      <vt:lpstr>inp_m9_extra</vt:lpstr>
      <vt:lpstr>inp_m9_inner</vt:lpstr>
      <vt:lpstr>inp_months</vt:lpstr>
      <vt:lpstr>inp_prev_div</vt:lpstr>
      <vt:lpstr>inp_special</vt:lpstr>
      <vt:lpstr>inp_specific_donation_total</vt:lpstr>
      <vt:lpstr>inp_start</vt:lpstr>
      <vt:lpstr>m_01</vt:lpstr>
      <vt:lpstr>m_02</vt:lpstr>
      <vt:lpstr>m_03</vt:lpstr>
      <vt:lpstr>m_04</vt:lpstr>
      <vt:lpstr>m_05</vt:lpstr>
      <vt:lpstr>m_06</vt:lpstr>
      <vt:lpstr>m_07</vt:lpstr>
      <vt:lpstr>m_08</vt:lpstr>
      <vt:lpstr>m_09</vt:lpstr>
      <vt:lpstr>m_10</vt:lpstr>
      <vt:lpstr>m_11</vt:lpstr>
      <vt:lpstr>m_12</vt:lpstr>
      <vt:lpstr>m_13</vt:lpstr>
      <vt:lpstr>m_14</vt:lpstr>
      <vt:lpstr>m_15</vt:lpstr>
      <vt:lpstr>m_16</vt:lpstr>
      <vt:lpstr>m_17</vt:lpstr>
      <vt:lpstr>m_18</vt:lpstr>
      <vt:lpstr>m_19</vt:lpstr>
      <vt:lpstr>m_20</vt:lpstr>
      <vt:lpstr>m_21</vt:lpstr>
      <vt:lpstr>m_22</vt:lpstr>
      <vt:lpstr>m_23</vt:lpstr>
      <vt:lpstr>m_24</vt:lpstr>
      <vt:lpstr>m_25</vt:lpstr>
      <vt:lpstr>m_26</vt:lpstr>
      <vt:lpstr>m_27</vt:lpstr>
      <vt:lpstr>m_28</vt:lpstr>
      <vt:lpstr>out_municipal_tax</vt:lpstr>
      <vt:lpstr>out_retained_tax</vt:lpstr>
      <vt:lpstr>out_retention_allowance</vt:lpstr>
      <vt:lpstr>out_taxable_retained</vt:lpstr>
      <vt:lpstr>検算!Print_Area</vt:lpstr>
      <vt:lpstr>根拠・出典!Print_Area</vt:lpstr>
      <vt:lpstr>使い方!Print_Area</vt:lpstr>
      <vt:lpstr>入力!Print_Area</vt:lpstr>
      <vt:lpstr>付表一_計算!Print_Area</vt:lpstr>
      <vt:lpstr>付表二_計算!Print_Area</vt:lpstr>
      <vt:lpstr>'別表三(一)'!Print_Area</vt:lpstr>
      <vt:lpstr>'別表三(一)付表一'!Print_Area</vt:lpstr>
      <vt:lpstr>'別表三(一)付表二'!Print_Area</vt:lpstr>
      <vt:lpstr>別表三一_計算!Print_Area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2026-07-16T15:00:18Z</dcterms:created>
  <dcterms:modified xsi:type="dcterms:W3CDTF">2026-07-16T15:02:32Z</dcterms:modified>
</cp:coreProperties>
</file>