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03FF46AF-1055-4D92-9D37-A19E84D39146}" xr6:coauthVersionLast="47" xr6:coauthVersionMax="47" xr10:uidLastSave="{00000000-0000-0000-0000-000000000000}"/>
  <bookViews>
    <workbookView xWindow="-108" yWindow="-108" windowWidth="23256" windowHeight="12456" xr2:uid="{F30A8A95-3309-4830-8BDD-28008D9E60C3}"/>
  </bookViews>
  <sheets>
    <sheet name="使い方" sheetId="1" r:id="rId1"/>
    <sheet name="入力" sheetId="2" r:id="rId2"/>
    <sheet name="別表三一_計算" sheetId="3" r:id="rId3"/>
    <sheet name="付表_計算" sheetId="4" r:id="rId4"/>
    <sheet name="別表三(一)" sheetId="5" r:id="rId5"/>
    <sheet name="別表三(一)付表" sheetId="6" r:id="rId6"/>
    <sheet name="検算" sheetId="7" r:id="rId7"/>
    <sheet name="根拠・出典" sheetId="8" r:id="rId8"/>
    <sheet name="印字値" sheetId="9" state="veryHidden" r:id="rId9"/>
    <sheet name="厳密整数計算" sheetId="10" state="veryHidden" r:id="rId10"/>
  </sheets>
  <definedNames>
    <definedName name="cfg_applicable">入力!$H$5</definedName>
    <definedName name="cfg_calculation_ready">厳密整数計算!$I$8</definedName>
    <definedName name="cfg_class_selected">厳密整数計算!$I$6</definedName>
    <definedName name="cfg_donation_rate">入力!$H$7</definedName>
    <definedName name="cfg_exact_domain_ok">厳密整数計算!$I$2</definedName>
    <definedName name="cfg_exact_math_valid">厳密整数計算!$I$1</definedName>
    <definedName name="cfg_f2_input_valid">厳密整数計算!$I$4</definedName>
    <definedName name="cfg_f2_period_ok">厳密整数計算!$I$3</definedName>
    <definedName name="cfg_group_selected">厳密整数計算!$I$7</definedName>
    <definedName name="cfg_period_input_valid">厳密整数計算!$I$9</definedName>
    <definedName name="cfg_resident_rate">入力!$H$6</definedName>
    <definedName name="cfg_special_applicable">厳密整数計算!$I$5</definedName>
    <definedName name="exact_r3_f1_31_income_absrem">厳密整数計算!$C$60</definedName>
    <definedName name="exact_r3_f1_31_income_floor">厳密整数計算!$D$60</definedName>
    <definedName name="exact_r3_f1_31_income_q">厳密整数計算!$B$60</definedName>
    <definedName name="exact_r3_f1_31_income_rem">厳密整数計算!$E$60</definedName>
    <definedName name="exact_r3_f1_31_income_valid">厳密整数計算!$F$60</definedName>
    <definedName name="exact_r3_m_24_resident_absrem">厳密整数計算!$C$118</definedName>
    <definedName name="exact_r3_m_24_resident_floor">厳密整数計算!$D$118</definedName>
    <definedName name="exact_r3_m_24_resident_q">厳密整数計算!$B$118</definedName>
    <definedName name="exact_r3_m_24_resident_rem">厳密整数計算!$E$118</definedName>
    <definedName name="exact_r3_m_24_resident_valid">厳密整数計算!$F$118</definedName>
    <definedName name="exact_r3_m_26_delta_absrem">厳密整数計算!$C$234</definedName>
    <definedName name="exact_r3_m_26_delta_floor">厳密整数計算!$D$234</definedName>
    <definedName name="exact_r3_m_26_delta_q">厳密整数計算!$B$234</definedName>
    <definedName name="exact_r3_m_26_delta_rem">厳密整数計算!$E$234</definedName>
    <definedName name="exact_r3_m_26_delta_valid">厳密整数計算!$F$234</definedName>
    <definedName name="exact_r3_m_26_municipal_absrem">厳密整数計算!$C$176</definedName>
    <definedName name="exact_r3_m_26_municipal_floor">厳密整数計算!$D$176</definedName>
    <definedName name="exact_r3_m_26_municipal_q">厳密整数計算!$B$176</definedName>
    <definedName name="exact_r3_m_26_municipal_rem">厳密整数計算!$E$176</definedName>
    <definedName name="exact_r3_m_26_municipal_valid">厳密整数計算!$F$176</definedName>
    <definedName name="f1_01">付表_計算!$D$5</definedName>
    <definedName name="f1_02">付表_計算!$D$6</definedName>
    <definedName name="f1_03">付表_計算!$D$7</definedName>
    <definedName name="f1_04">付表_計算!$D$8</definedName>
    <definedName name="f1_05">付表_計算!$D$9</definedName>
    <definedName name="f1_06">付表_計算!$D$10</definedName>
    <definedName name="f1_07">付表_計算!$D$11</definedName>
    <definedName name="f1_08">付表_計算!$D$12</definedName>
    <definedName name="f1_09">付表_計算!$D$13</definedName>
    <definedName name="f1_10">付表_計算!$D$14</definedName>
    <definedName name="f1_11">付表_計算!$D$15</definedName>
    <definedName name="f1_12">付表_計算!$D$16</definedName>
    <definedName name="f1_13">付表_計算!$D$17</definedName>
    <definedName name="f1_14">付表_計算!$D$18</definedName>
    <definedName name="f1_15">付表_計算!$D$19</definedName>
    <definedName name="f1_16">付表_計算!$D$20</definedName>
    <definedName name="f1_17">付表_計算!$D$21</definedName>
    <definedName name="f1_18">付表_計算!$D$22</definedName>
    <definedName name="f1_19">付表_計算!$D$23</definedName>
    <definedName name="f1_20">付表_計算!$D$24</definedName>
    <definedName name="f1_21">付表_計算!$D$25</definedName>
    <definedName name="f1_22">付表_計算!$D$26</definedName>
    <definedName name="f1_23">付表_計算!$D$27</definedName>
    <definedName name="f1_24">付表_計算!$D$28</definedName>
    <definedName name="f1_25">付表_計算!$D$29</definedName>
    <definedName name="f1_26">付表_計算!$D$30</definedName>
    <definedName name="f1_27">付表_計算!$D$31</definedName>
    <definedName name="f1_28">付表_計算!$D$32</definedName>
    <definedName name="f1_29">付表_計算!$D$33</definedName>
    <definedName name="f1_30">付表_計算!$D$34</definedName>
    <definedName name="f1_31">付表_計算!$D$35</definedName>
    <definedName name="f1_32">付表_計算!$D$36</definedName>
    <definedName name="inp_b1_10out">入力!$D$27</definedName>
    <definedName name="inp_b1_12">入力!$D$28</definedName>
    <definedName name="inp_b1_18">入力!$D$29</definedName>
    <definedName name="inp_b1_19">入力!$D$30</definedName>
    <definedName name="inp_b1_2">入力!$D$23</definedName>
    <definedName name="inp_b1_36">入力!$D$31</definedName>
    <definedName name="inp_b1_4">入力!$D$24</definedName>
    <definedName name="inp_b1_40">入力!$D$32</definedName>
    <definedName name="inp_b1_41">入力!$D$33</definedName>
    <definedName name="inp_b1_5">入力!$D$25</definedName>
    <definedName name="inp_b1_7">入力!$D$26</definedName>
    <definedName name="inp_b6_5_2_5_3">入力!$D$34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入力!$D$46</definedName>
    <definedName name="inp_f1_10">入力!$D$47</definedName>
    <definedName name="inp_f1_11">入力!$D$48</definedName>
    <definedName name="inp_f1_12">入力!$D$49</definedName>
    <definedName name="inp_f1_13">入力!$D$50</definedName>
    <definedName name="inp_f1_14">入力!$D$51</definedName>
    <definedName name="inp_f1_15">入力!$D$52</definedName>
    <definedName name="inp_f1_16">入力!$D$53</definedName>
    <definedName name="inp_f1_17">入力!$D$54</definedName>
    <definedName name="inp_f1_18">入力!$D$55</definedName>
    <definedName name="inp_f1_19">入力!$D$56</definedName>
    <definedName name="inp_f1_20">入力!$D$57</definedName>
    <definedName name="inp_f1_21">入力!$D$58</definedName>
    <definedName name="inp_f1_22">入力!$D$59</definedName>
    <definedName name="inp_f1_23">入力!$D$60</definedName>
    <definedName name="inp_f1_24">入力!$D$61</definedName>
    <definedName name="inp_f1_25">入力!$D$62</definedName>
    <definedName name="inp_f1_26">入力!$D$63</definedName>
    <definedName name="inp_f1_27">入力!$D$64</definedName>
    <definedName name="inp_f1_28">入力!$D$65</definedName>
    <definedName name="inp_f1_29">入力!$D$66</definedName>
    <definedName name="inp_f1_capital">入力!$D$42</definedName>
    <definedName name="inp_f1_merger_inc">入力!$D$44</definedName>
    <definedName name="inp_f1_opening_profit">入力!$D$43</definedName>
    <definedName name="inp_f1_split_dec">入力!$D$45</definedName>
    <definedName name="inp_m14_foreign">入力!$D$37</definedName>
    <definedName name="inp_m16">入力!$D$20</definedName>
    <definedName name="inp_m17">入力!$D$21</definedName>
    <definedName name="inp_m18">入力!$D$22</definedName>
    <definedName name="inp_m22_credits">入力!$D$35</definedName>
    <definedName name="inp_m23_credits">入力!$D$36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入力!$D$10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付表_計算!$D$36</definedName>
    <definedName name="out_taxable_retained">別表三一_計算!$D$25</definedName>
    <definedName name="_xlnm.Print_Area" localSheetId="6">検算!$A$1:$D$28</definedName>
    <definedName name="_xlnm.Print_Area" localSheetId="7">根拠・出典!$A$1:$E$13</definedName>
    <definedName name="_xlnm.Print_Area" localSheetId="0">使い方!$A$1:$H$40</definedName>
    <definedName name="_xlnm.Print_Area" localSheetId="1">入力!$A$1:$H$66</definedName>
    <definedName name="_xlnm.Print_Area" localSheetId="3">付表_計算!$A$1:$E$36</definedName>
    <definedName name="_xlnm.Print_Area" localSheetId="4">'別表三(一)'!$A$1:$L$3</definedName>
    <definedName name="_xlnm.Print_Area" localSheetId="5">'別表三(一)付表'!$A$1:$L$3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9" i="10" l="1"/>
  <c r="D121" i="10"/>
  <c r="D63" i="10"/>
  <c r="I7" i="10"/>
  <c r="I6" i="10"/>
  <c r="I5" i="10"/>
  <c r="D5" i="10"/>
  <c r="I4" i="10"/>
  <c r="I3" i="10"/>
  <c r="H7" i="2"/>
  <c r="H6" i="2"/>
  <c r="H5" i="2"/>
  <c r="F12" i="1"/>
  <c r="F179" i="10"/>
  <c r="E179" i="10"/>
  <c r="C179" i="10"/>
  <c r="B179" i="10"/>
  <c r="B233" i="10" s="1"/>
  <c r="F121" i="10"/>
  <c r="C121" i="10"/>
  <c r="F63" i="10"/>
  <c r="C63" i="10"/>
  <c r="F5" i="10"/>
  <c r="C5" i="10"/>
  <c r="L52" i="10"/>
  <c r="K52" i="10"/>
  <c r="L51" i="10"/>
  <c r="K51" i="10"/>
  <c r="L50" i="10"/>
  <c r="K50" i="10"/>
  <c r="L49" i="10"/>
  <c r="K49" i="10"/>
  <c r="L48" i="10"/>
  <c r="K48" i="10"/>
  <c r="L47" i="10"/>
  <c r="K47" i="10"/>
  <c r="L46" i="10"/>
  <c r="K46" i="10"/>
  <c r="L45" i="10"/>
  <c r="K45" i="10"/>
  <c r="L44" i="10"/>
  <c r="K44" i="10"/>
  <c r="L43" i="10"/>
  <c r="K43" i="10"/>
  <c r="L42" i="10"/>
  <c r="K42" i="10"/>
  <c r="L41" i="10"/>
  <c r="K41" i="10"/>
  <c r="L40" i="10"/>
  <c r="K40" i="10"/>
  <c r="L39" i="10"/>
  <c r="K39" i="10"/>
  <c r="L38" i="10"/>
  <c r="K38" i="10"/>
  <c r="L37" i="10"/>
  <c r="K37" i="10"/>
  <c r="L36" i="10"/>
  <c r="K36" i="10"/>
  <c r="L35" i="10"/>
  <c r="K35" i="10"/>
  <c r="L34" i="10"/>
  <c r="K34" i="10"/>
  <c r="L33" i="10"/>
  <c r="K33" i="10"/>
  <c r="L32" i="10"/>
  <c r="K32" i="10"/>
  <c r="L31" i="10"/>
  <c r="K31" i="10"/>
  <c r="L30" i="10"/>
  <c r="K30" i="10"/>
  <c r="L29" i="10"/>
  <c r="K29" i="10"/>
  <c r="L28" i="10"/>
  <c r="K28" i="10"/>
  <c r="L27" i="10"/>
  <c r="K27" i="10"/>
  <c r="L26" i="10"/>
  <c r="K26" i="10"/>
  <c r="L25" i="10"/>
  <c r="K25" i="10"/>
  <c r="L24" i="10"/>
  <c r="K24" i="10"/>
  <c r="L23" i="10"/>
  <c r="K23" i="10"/>
  <c r="L22" i="10"/>
  <c r="K22" i="10"/>
  <c r="L21" i="10"/>
  <c r="K21" i="10"/>
  <c r="L20" i="10"/>
  <c r="K20" i="10"/>
  <c r="L19" i="10"/>
  <c r="K19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L11" i="10"/>
  <c r="K11" i="10"/>
  <c r="L10" i="10"/>
  <c r="K10" i="10"/>
  <c r="L9" i="10"/>
  <c r="K9" i="10"/>
  <c r="L8" i="10"/>
  <c r="K8" i="10"/>
  <c r="L7" i="10"/>
  <c r="K7" i="10"/>
  <c r="L6" i="10"/>
  <c r="K6" i="10"/>
  <c r="L5" i="10"/>
  <c r="K5" i="10"/>
  <c r="L4" i="10"/>
  <c r="K4" i="10"/>
  <c r="D8" i="2"/>
  <c r="G7" i="3" s="1"/>
  <c r="B188" i="10" l="1"/>
  <c r="B194" i="10"/>
  <c r="B206" i="10"/>
  <c r="B212" i="10"/>
  <c r="B227" i="10"/>
  <c r="B230" i="10"/>
  <c r="B192" i="10"/>
  <c r="B210" i="10"/>
  <c r="B195" i="10"/>
  <c r="B213" i="10"/>
  <c r="B197" i="10"/>
  <c r="B215" i="10"/>
  <c r="B198" i="10"/>
  <c r="B216" i="10"/>
  <c r="B182" i="10"/>
  <c r="B200" i="10"/>
  <c r="B218" i="10"/>
  <c r="B183" i="10"/>
  <c r="B201" i="10"/>
  <c r="B219" i="10"/>
  <c r="B185" i="10"/>
  <c r="B203" i="10"/>
  <c r="B221" i="10"/>
  <c r="B186" i="10"/>
  <c r="B204" i="10"/>
  <c r="B224" i="10"/>
  <c r="B189" i="10"/>
  <c r="B207" i="10"/>
  <c r="B191" i="10"/>
  <c r="B209" i="10"/>
  <c r="F13" i="1"/>
  <c r="B222" i="10"/>
  <c r="B225" i="10"/>
  <c r="B228" i="10"/>
  <c r="B231" i="10"/>
  <c r="I2" i="10"/>
  <c r="D14" i="4" s="1"/>
  <c r="B181" i="10"/>
  <c r="C181" i="10" s="1"/>
  <c r="B184" i="10"/>
  <c r="B187" i="10"/>
  <c r="B190" i="10"/>
  <c r="B193" i="10"/>
  <c r="B196" i="10"/>
  <c r="B199" i="10"/>
  <c r="B202" i="10"/>
  <c r="B205" i="10"/>
  <c r="B208" i="10"/>
  <c r="B211" i="10"/>
  <c r="B214" i="10"/>
  <c r="B217" i="10"/>
  <c r="B220" i="10"/>
  <c r="B223" i="10"/>
  <c r="B226" i="10"/>
  <c r="B229" i="10"/>
  <c r="B232" i="10"/>
  <c r="I9" i="10"/>
  <c r="F11" i="1" s="1"/>
  <c r="F15" i="1"/>
  <c r="D30" i="4" l="1"/>
  <c r="D16" i="4"/>
  <c r="D28" i="4"/>
  <c r="D13" i="4"/>
  <c r="D23" i="4"/>
  <c r="D14" i="3"/>
  <c r="D26" i="3"/>
  <c r="D27" i="4"/>
  <c r="D17" i="4"/>
  <c r="D27" i="3"/>
  <c r="B63" i="10" s="1"/>
  <c r="D20" i="3"/>
  <c r="D7" i="4"/>
  <c r="D10" i="4" s="1"/>
  <c r="D8" i="4"/>
  <c r="D18" i="3"/>
  <c r="D21" i="4"/>
  <c r="D32" i="4"/>
  <c r="D20" i="4"/>
  <c r="D22" i="3"/>
  <c r="D31" i="4"/>
  <c r="D22" i="4"/>
  <c r="D9" i="4"/>
  <c r="D21" i="3"/>
  <c r="D19" i="4"/>
  <c r="D24" i="4"/>
  <c r="D15" i="3"/>
  <c r="D16" i="3"/>
  <c r="D181" i="10"/>
  <c r="E181" i="10"/>
  <c r="C182" i="10" s="1"/>
  <c r="E182" i="10" s="1"/>
  <c r="C183" i="10" s="1"/>
  <c r="E183" i="10" s="1"/>
  <c r="C184" i="10" s="1"/>
  <c r="E184" i="10" s="1"/>
  <c r="C185" i="10" s="1"/>
  <c r="E185" i="10" s="1"/>
  <c r="C186" i="10" s="1"/>
  <c r="E186" i="10" s="1"/>
  <c r="C187" i="10" s="1"/>
  <c r="E187" i="10" s="1"/>
  <c r="C188" i="10" s="1"/>
  <c r="E188" i="10" s="1"/>
  <c r="C189" i="10" s="1"/>
  <c r="E189" i="10" s="1"/>
  <c r="C190" i="10" s="1"/>
  <c r="E190" i="10" s="1"/>
  <c r="C191" i="10" s="1"/>
  <c r="E191" i="10" s="1"/>
  <c r="C192" i="10" s="1"/>
  <c r="E192" i="10" s="1"/>
  <c r="C193" i="10" s="1"/>
  <c r="E193" i="10" s="1"/>
  <c r="C194" i="10" s="1"/>
  <c r="E194" i="10" s="1"/>
  <c r="C195" i="10" s="1"/>
  <c r="E195" i="10" s="1"/>
  <c r="C196" i="10" s="1"/>
  <c r="E196" i="10" s="1"/>
  <c r="C197" i="10" s="1"/>
  <c r="E197" i="10" s="1"/>
  <c r="C198" i="10" s="1"/>
  <c r="E198" i="10" s="1"/>
  <c r="C199" i="10" s="1"/>
  <c r="E199" i="10" s="1"/>
  <c r="C200" i="10" s="1"/>
  <c r="E200" i="10" s="1"/>
  <c r="C201" i="10" s="1"/>
  <c r="E201" i="10" s="1"/>
  <c r="C202" i="10" s="1"/>
  <c r="E202" i="10" s="1"/>
  <c r="C203" i="10" s="1"/>
  <c r="E203" i="10" s="1"/>
  <c r="C204" i="10" s="1"/>
  <c r="E204" i="10" s="1"/>
  <c r="C205" i="10" s="1"/>
  <c r="E205" i="10" s="1"/>
  <c r="C206" i="10" s="1"/>
  <c r="E206" i="10" s="1"/>
  <c r="C207" i="10" s="1"/>
  <c r="E207" i="10" s="1"/>
  <c r="C208" i="10" s="1"/>
  <c r="E208" i="10" s="1"/>
  <c r="C209" i="10" s="1"/>
  <c r="E209" i="10" s="1"/>
  <c r="C210" i="10" s="1"/>
  <c r="E210" i="10" s="1"/>
  <c r="C211" i="10" s="1"/>
  <c r="E211" i="10" s="1"/>
  <c r="C212" i="10" s="1"/>
  <c r="E212" i="10" s="1"/>
  <c r="C213" i="10" s="1"/>
  <c r="E213" i="10" s="1"/>
  <c r="C214" i="10" s="1"/>
  <c r="E214" i="10" s="1"/>
  <c r="C215" i="10" s="1"/>
  <c r="E215" i="10" s="1"/>
  <c r="C216" i="10" s="1"/>
  <c r="E216" i="10" s="1"/>
  <c r="C217" i="10" s="1"/>
  <c r="E217" i="10" s="1"/>
  <c r="C218" i="10" s="1"/>
  <c r="E218" i="10" s="1"/>
  <c r="C219" i="10" s="1"/>
  <c r="E219" i="10" s="1"/>
  <c r="C220" i="10" s="1"/>
  <c r="E220" i="10" s="1"/>
  <c r="C221" i="10" s="1"/>
  <c r="E221" i="10" s="1"/>
  <c r="C222" i="10" s="1"/>
  <c r="E222" i="10" s="1"/>
  <c r="C223" i="10" s="1"/>
  <c r="E223" i="10" s="1"/>
  <c r="C224" i="10" s="1"/>
  <c r="E224" i="10" s="1"/>
  <c r="C225" i="10" s="1"/>
  <c r="E225" i="10" s="1"/>
  <c r="C226" i="10" s="1"/>
  <c r="E226" i="10" s="1"/>
  <c r="C227" i="10" s="1"/>
  <c r="E227" i="10" s="1"/>
  <c r="C228" i="10" s="1"/>
  <c r="E228" i="10" s="1"/>
  <c r="C229" i="10" s="1"/>
  <c r="E229" i="10" s="1"/>
  <c r="C230" i="10" s="1"/>
  <c r="E230" i="10" s="1"/>
  <c r="C231" i="10" s="1"/>
  <c r="E231" i="10" s="1"/>
  <c r="C232" i="10" s="1"/>
  <c r="E232" i="10" s="1"/>
  <c r="C233" i="10" s="1"/>
  <c r="E233" i="10" s="1"/>
  <c r="C234" i="10" s="1"/>
  <c r="E234" i="10" s="1"/>
  <c r="D29" i="4"/>
  <c r="D12" i="4"/>
  <c r="D26" i="4"/>
  <c r="D15" i="4"/>
  <c r="D29" i="3"/>
  <c r="D33" i="4"/>
  <c r="D5" i="4"/>
  <c r="D6" i="4" s="1"/>
  <c r="D13" i="3"/>
  <c r="D18" i="4"/>
  <c r="D25" i="4"/>
  <c r="D11" i="4" l="1"/>
  <c r="E63" i="10"/>
  <c r="D182" i="10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D205" i="10" s="1"/>
  <c r="D206" i="10" s="1"/>
  <c r="D207" i="10" s="1"/>
  <c r="D208" i="10" s="1"/>
  <c r="D209" i="10" s="1"/>
  <c r="D210" i="10" s="1"/>
  <c r="D211" i="10" s="1"/>
  <c r="D212" i="10" s="1"/>
  <c r="D213" i="10" s="1"/>
  <c r="D214" i="10" s="1"/>
  <c r="D215" i="10" s="1"/>
  <c r="D216" i="10" s="1"/>
  <c r="D217" i="10" s="1"/>
  <c r="D218" i="10" s="1"/>
  <c r="D219" i="10" s="1"/>
  <c r="D220" i="10" s="1"/>
  <c r="D221" i="10" s="1"/>
  <c r="D222" i="10" s="1"/>
  <c r="D223" i="10" s="1"/>
  <c r="D224" i="10" s="1"/>
  <c r="D225" i="10" s="1"/>
  <c r="D226" i="10" s="1"/>
  <c r="D227" i="10" s="1"/>
  <c r="D228" i="10" s="1"/>
  <c r="D229" i="10" s="1"/>
  <c r="D230" i="10" s="1"/>
  <c r="D231" i="10" s="1"/>
  <c r="D232" i="10" s="1"/>
  <c r="D233" i="10" s="1"/>
  <c r="B234" i="10" s="1"/>
  <c r="D34" i="4"/>
  <c r="B117" i="10"/>
  <c r="B114" i="10"/>
  <c r="B111" i="10"/>
  <c r="B108" i="10"/>
  <c r="B105" i="10"/>
  <c r="B102" i="10"/>
  <c r="B99" i="10"/>
  <c r="B96" i="10"/>
  <c r="B93" i="10"/>
  <c r="B90" i="10"/>
  <c r="B87" i="10"/>
  <c r="B84" i="10"/>
  <c r="B81" i="10"/>
  <c r="B78" i="10"/>
  <c r="B75" i="10"/>
  <c r="B72" i="10"/>
  <c r="B69" i="10"/>
  <c r="B66" i="10"/>
  <c r="B74" i="10"/>
  <c r="B68" i="10"/>
  <c r="B110" i="10"/>
  <c r="B95" i="10"/>
  <c r="B89" i="10"/>
  <c r="B83" i="10"/>
  <c r="B77" i="10"/>
  <c r="B65" i="10"/>
  <c r="C65" i="10" s="1"/>
  <c r="B116" i="10"/>
  <c r="B113" i="10"/>
  <c r="B107" i="10"/>
  <c r="B104" i="10"/>
  <c r="B101" i="10"/>
  <c r="B98" i="10"/>
  <c r="B92" i="10"/>
  <c r="B86" i="10"/>
  <c r="B80" i="10"/>
  <c r="B71" i="10"/>
  <c r="B115" i="10"/>
  <c r="B103" i="10"/>
  <c r="B91" i="10"/>
  <c r="B79" i="10"/>
  <c r="B67" i="10"/>
  <c r="B100" i="10"/>
  <c r="B76" i="10"/>
  <c r="B82" i="10"/>
  <c r="B88" i="10"/>
  <c r="B70" i="10"/>
  <c r="B112" i="10"/>
  <c r="B106" i="10"/>
  <c r="B109" i="10"/>
  <c r="B97" i="10"/>
  <c r="B85" i="10"/>
  <c r="B73" i="10"/>
  <c r="B94" i="10"/>
  <c r="D234" i="10" l="1"/>
  <c r="F234" i="10"/>
  <c r="G179" i="10" s="1"/>
  <c r="E5" i="10"/>
  <c r="B5" i="10"/>
  <c r="E65" i="10"/>
  <c r="C66" i="10" s="1"/>
  <c r="E66" i="10" s="1"/>
  <c r="C67" i="10" s="1"/>
  <c r="E67" i="10" s="1"/>
  <c r="C68" i="10" s="1"/>
  <c r="E68" i="10" s="1"/>
  <c r="C69" i="10" s="1"/>
  <c r="E69" i="10" s="1"/>
  <c r="C70" i="10" s="1"/>
  <c r="E70" i="10" s="1"/>
  <c r="C71" i="10" s="1"/>
  <c r="E71" i="10" s="1"/>
  <c r="C72" i="10" s="1"/>
  <c r="E72" i="10" s="1"/>
  <c r="C73" i="10" s="1"/>
  <c r="E73" i="10" s="1"/>
  <c r="C74" i="10" s="1"/>
  <c r="E74" i="10" s="1"/>
  <c r="C75" i="10" s="1"/>
  <c r="E75" i="10" s="1"/>
  <c r="C76" i="10" s="1"/>
  <c r="E76" i="10" s="1"/>
  <c r="C77" i="10" s="1"/>
  <c r="E77" i="10" s="1"/>
  <c r="C78" i="10" s="1"/>
  <c r="E78" i="10" s="1"/>
  <c r="C79" i="10" s="1"/>
  <c r="E79" i="10" s="1"/>
  <c r="C80" i="10" s="1"/>
  <c r="E80" i="10" s="1"/>
  <c r="C81" i="10" s="1"/>
  <c r="E81" i="10" s="1"/>
  <c r="C82" i="10" s="1"/>
  <c r="E82" i="10" s="1"/>
  <c r="C83" i="10" s="1"/>
  <c r="E83" i="10" s="1"/>
  <c r="C84" i="10" s="1"/>
  <c r="E84" i="10" s="1"/>
  <c r="C85" i="10" s="1"/>
  <c r="E85" i="10" s="1"/>
  <c r="C86" i="10" s="1"/>
  <c r="E86" i="10" s="1"/>
  <c r="C87" i="10" s="1"/>
  <c r="E87" i="10" s="1"/>
  <c r="C88" i="10" s="1"/>
  <c r="E88" i="10" s="1"/>
  <c r="C89" i="10" s="1"/>
  <c r="E89" i="10" s="1"/>
  <c r="C90" i="10" s="1"/>
  <c r="E90" i="10" s="1"/>
  <c r="C91" i="10" s="1"/>
  <c r="E91" i="10" s="1"/>
  <c r="C92" i="10" s="1"/>
  <c r="E92" i="10" s="1"/>
  <c r="C93" i="10" s="1"/>
  <c r="E93" i="10" s="1"/>
  <c r="C94" i="10" s="1"/>
  <c r="E94" i="10" s="1"/>
  <c r="C95" i="10" s="1"/>
  <c r="E95" i="10" s="1"/>
  <c r="C96" i="10" s="1"/>
  <c r="E96" i="10" s="1"/>
  <c r="C97" i="10" s="1"/>
  <c r="E97" i="10" s="1"/>
  <c r="C98" i="10" s="1"/>
  <c r="E98" i="10" s="1"/>
  <c r="C99" i="10" s="1"/>
  <c r="E99" i="10" s="1"/>
  <c r="C100" i="10" s="1"/>
  <c r="E100" i="10" s="1"/>
  <c r="C101" i="10" s="1"/>
  <c r="E101" i="10" s="1"/>
  <c r="C102" i="10" s="1"/>
  <c r="E102" i="10" s="1"/>
  <c r="C103" i="10" s="1"/>
  <c r="E103" i="10" s="1"/>
  <c r="C104" i="10" s="1"/>
  <c r="E104" i="10" s="1"/>
  <c r="C105" i="10" s="1"/>
  <c r="E105" i="10" s="1"/>
  <c r="C106" i="10" s="1"/>
  <c r="E106" i="10" s="1"/>
  <c r="C107" i="10" s="1"/>
  <c r="E107" i="10" s="1"/>
  <c r="C108" i="10" s="1"/>
  <c r="E108" i="10" s="1"/>
  <c r="C109" i="10" s="1"/>
  <c r="E109" i="10" s="1"/>
  <c r="C110" i="10" s="1"/>
  <c r="E110" i="10" s="1"/>
  <c r="C111" i="10" s="1"/>
  <c r="E111" i="10" s="1"/>
  <c r="C112" i="10" s="1"/>
  <c r="E112" i="10" s="1"/>
  <c r="C113" i="10" s="1"/>
  <c r="E113" i="10" s="1"/>
  <c r="C114" i="10" s="1"/>
  <c r="E114" i="10" s="1"/>
  <c r="C115" i="10" s="1"/>
  <c r="E115" i="10" s="1"/>
  <c r="C116" i="10" s="1"/>
  <c r="E116" i="10" s="1"/>
  <c r="C117" i="10" s="1"/>
  <c r="E117" i="10" s="1"/>
  <c r="C118" i="10" s="1"/>
  <c r="E118" i="10" s="1"/>
  <c r="D65" i="10"/>
  <c r="D66" i="10" l="1"/>
  <c r="D67" i="10" s="1"/>
  <c r="D68" i="10" s="1"/>
  <c r="D69" i="10" s="1"/>
  <c r="D70" i="10" s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D89" i="10" s="1"/>
  <c r="D90" i="10" s="1"/>
  <c r="D91" i="10" s="1"/>
  <c r="D92" i="10" s="1"/>
  <c r="D93" i="10" s="1"/>
  <c r="D94" i="10" s="1"/>
  <c r="D95" i="10" s="1"/>
  <c r="D96" i="10" s="1"/>
  <c r="D97" i="10" s="1"/>
  <c r="D98" i="10" s="1"/>
  <c r="D99" i="10" s="1"/>
  <c r="D100" i="10" s="1"/>
  <c r="D101" i="10" s="1"/>
  <c r="D102" i="10" s="1"/>
  <c r="D103" i="10" s="1"/>
  <c r="D104" i="10" s="1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B118" i="10" s="1"/>
  <c r="B8" i="10"/>
  <c r="B20" i="10"/>
  <c r="B46" i="10"/>
  <c r="B54" i="10"/>
  <c r="B45" i="10"/>
  <c r="B53" i="10"/>
  <c r="B34" i="10"/>
  <c r="B37" i="10"/>
  <c r="B10" i="10"/>
  <c r="B35" i="10"/>
  <c r="B13" i="10"/>
  <c r="B38" i="10"/>
  <c r="B59" i="10"/>
  <c r="B17" i="10"/>
  <c r="B43" i="10"/>
  <c r="B33" i="10"/>
  <c r="B36" i="10"/>
  <c r="B56" i="10"/>
  <c r="B40" i="10"/>
  <c r="B51" i="10"/>
  <c r="B21" i="10"/>
  <c r="B55" i="10"/>
  <c r="B11" i="10"/>
  <c r="B49" i="10"/>
  <c r="B15" i="10"/>
  <c r="B9" i="10"/>
  <c r="B30" i="10"/>
  <c r="B50" i="10"/>
  <c r="B41" i="10"/>
  <c r="B39" i="10"/>
  <c r="B32" i="10"/>
  <c r="B29" i="10"/>
  <c r="B24" i="10"/>
  <c r="B14" i="10"/>
  <c r="B18" i="10"/>
  <c r="B28" i="10"/>
  <c r="B19" i="10"/>
  <c r="B42" i="10"/>
  <c r="B26" i="10"/>
  <c r="B48" i="10"/>
  <c r="B47" i="10"/>
  <c r="B31" i="10"/>
  <c r="B22" i="10"/>
  <c r="B57" i="10"/>
  <c r="B44" i="10"/>
  <c r="B25" i="10"/>
  <c r="B16" i="10"/>
  <c r="B27" i="10"/>
  <c r="B7" i="10"/>
  <c r="C7" i="10" s="1"/>
  <c r="B12" i="10"/>
  <c r="B52" i="10"/>
  <c r="B58" i="10"/>
  <c r="B23" i="10"/>
  <c r="E7" i="10" l="1"/>
  <c r="C8" i="10" s="1"/>
  <c r="E8" i="10" s="1"/>
  <c r="C9" i="10" s="1"/>
  <c r="E9" i="10" s="1"/>
  <c r="C10" i="10" s="1"/>
  <c r="E10" i="10" s="1"/>
  <c r="C11" i="10" s="1"/>
  <c r="E11" i="10" s="1"/>
  <c r="C12" i="10" s="1"/>
  <c r="E12" i="10" s="1"/>
  <c r="C13" i="10" s="1"/>
  <c r="E13" i="10" s="1"/>
  <c r="C14" i="10" s="1"/>
  <c r="E14" i="10" s="1"/>
  <c r="C15" i="10" s="1"/>
  <c r="E15" i="10" s="1"/>
  <c r="C16" i="10" s="1"/>
  <c r="E16" i="10" s="1"/>
  <c r="C17" i="10" s="1"/>
  <c r="E17" i="10" s="1"/>
  <c r="C18" i="10" s="1"/>
  <c r="E18" i="10" s="1"/>
  <c r="C19" i="10" s="1"/>
  <c r="E19" i="10" s="1"/>
  <c r="C20" i="10" s="1"/>
  <c r="E20" i="10" s="1"/>
  <c r="C21" i="10" s="1"/>
  <c r="E21" i="10" s="1"/>
  <c r="C22" i="10" s="1"/>
  <c r="E22" i="10" s="1"/>
  <c r="C23" i="10" s="1"/>
  <c r="E23" i="10" s="1"/>
  <c r="C24" i="10" s="1"/>
  <c r="E24" i="10" s="1"/>
  <c r="C25" i="10" s="1"/>
  <c r="E25" i="10" s="1"/>
  <c r="C26" i="10" s="1"/>
  <c r="E26" i="10" s="1"/>
  <c r="C27" i="10" s="1"/>
  <c r="E27" i="10" s="1"/>
  <c r="C28" i="10" s="1"/>
  <c r="E28" i="10" s="1"/>
  <c r="C29" i="10" s="1"/>
  <c r="E29" i="10" s="1"/>
  <c r="C30" i="10" s="1"/>
  <c r="E30" i="10" s="1"/>
  <c r="C31" i="10" s="1"/>
  <c r="E31" i="10" s="1"/>
  <c r="C32" i="10" s="1"/>
  <c r="E32" i="10" s="1"/>
  <c r="C33" i="10" s="1"/>
  <c r="E33" i="10" s="1"/>
  <c r="C34" i="10" s="1"/>
  <c r="E34" i="10" s="1"/>
  <c r="C35" i="10" s="1"/>
  <c r="E35" i="10" s="1"/>
  <c r="C36" i="10" s="1"/>
  <c r="E36" i="10" s="1"/>
  <c r="C37" i="10" s="1"/>
  <c r="E37" i="10" s="1"/>
  <c r="C38" i="10" s="1"/>
  <c r="E38" i="10" s="1"/>
  <c r="C39" i="10" s="1"/>
  <c r="E39" i="10" s="1"/>
  <c r="C40" i="10" s="1"/>
  <c r="E40" i="10" s="1"/>
  <c r="C41" i="10" s="1"/>
  <c r="E41" i="10" s="1"/>
  <c r="C42" i="10" s="1"/>
  <c r="E42" i="10" s="1"/>
  <c r="C43" i="10" s="1"/>
  <c r="E43" i="10" s="1"/>
  <c r="C44" i="10" s="1"/>
  <c r="E44" i="10" s="1"/>
  <c r="C45" i="10" s="1"/>
  <c r="E45" i="10" s="1"/>
  <c r="C46" i="10" s="1"/>
  <c r="E46" i="10" s="1"/>
  <c r="C47" i="10" s="1"/>
  <c r="E47" i="10" s="1"/>
  <c r="C48" i="10" s="1"/>
  <c r="E48" i="10" s="1"/>
  <c r="C49" i="10" s="1"/>
  <c r="E49" i="10" s="1"/>
  <c r="C50" i="10" s="1"/>
  <c r="E50" i="10" s="1"/>
  <c r="C51" i="10" s="1"/>
  <c r="E51" i="10" s="1"/>
  <c r="C52" i="10" s="1"/>
  <c r="E52" i="10" s="1"/>
  <c r="C53" i="10" s="1"/>
  <c r="E53" i="10" s="1"/>
  <c r="C54" i="10" s="1"/>
  <c r="E54" i="10" s="1"/>
  <c r="C55" i="10" s="1"/>
  <c r="E55" i="10" s="1"/>
  <c r="C56" i="10" s="1"/>
  <c r="E56" i="10" s="1"/>
  <c r="C57" i="10" s="1"/>
  <c r="E57" i="10" s="1"/>
  <c r="C58" i="10" s="1"/>
  <c r="E58" i="10" s="1"/>
  <c r="C59" i="10" s="1"/>
  <c r="E59" i="10" s="1"/>
  <c r="C60" i="10" s="1"/>
  <c r="E60" i="10" s="1"/>
  <c r="D7" i="10"/>
  <c r="D118" i="10"/>
  <c r="F118" i="10"/>
  <c r="G63" i="10" s="1"/>
  <c r="D28" i="3"/>
  <c r="D8" i="10" l="1"/>
  <c r="D9" i="10" s="1"/>
  <c r="D10" i="10" s="1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28" i="10" s="1"/>
  <c r="D29" i="10" s="1"/>
  <c r="D30" i="10" s="1"/>
  <c r="D31" i="10" s="1"/>
  <c r="D32" i="10" s="1"/>
  <c r="D33" i="10" s="1"/>
  <c r="D34" i="10" s="1"/>
  <c r="D35" i="10" s="1"/>
  <c r="D36" i="10" s="1"/>
  <c r="D37" i="10" s="1"/>
  <c r="D38" i="10" s="1"/>
  <c r="D39" i="10" s="1"/>
  <c r="D40" i="10" s="1"/>
  <c r="D41" i="10" s="1"/>
  <c r="D42" i="10" s="1"/>
  <c r="D43" i="10" s="1"/>
  <c r="D44" i="10" s="1"/>
  <c r="D45" i="10" s="1"/>
  <c r="D46" i="10" s="1"/>
  <c r="D47" i="10" s="1"/>
  <c r="D48" i="10" s="1"/>
  <c r="D49" i="10" s="1"/>
  <c r="D50" i="10" s="1"/>
  <c r="D51" i="10" s="1"/>
  <c r="D52" i="10" s="1"/>
  <c r="D53" i="10" s="1"/>
  <c r="D54" i="10" s="1"/>
  <c r="D55" i="10" s="1"/>
  <c r="D56" i="10" s="1"/>
  <c r="D57" i="10" s="1"/>
  <c r="D58" i="10" s="1"/>
  <c r="D59" i="10" s="1"/>
  <c r="B60" i="10" s="1"/>
  <c r="B121" i="10"/>
  <c r="E121" i="10"/>
  <c r="D60" i="10" l="1"/>
  <c r="F60" i="10"/>
  <c r="G5" i="10" s="1"/>
  <c r="D35" i="4"/>
  <c r="D36" i="4" s="1"/>
  <c r="D24" i="3" s="1"/>
  <c r="B174" i="10"/>
  <c r="B171" i="10"/>
  <c r="B168" i="10"/>
  <c r="B165" i="10"/>
  <c r="B162" i="10"/>
  <c r="B159" i="10"/>
  <c r="B156" i="10"/>
  <c r="B153" i="10"/>
  <c r="B150" i="10"/>
  <c r="B147" i="10"/>
  <c r="B144" i="10"/>
  <c r="B141" i="10"/>
  <c r="B138" i="10"/>
  <c r="B135" i="10"/>
  <c r="B132" i="10"/>
  <c r="B129" i="10"/>
  <c r="B126" i="10"/>
  <c r="B123" i="10"/>
  <c r="C123" i="10" s="1"/>
  <c r="B173" i="10"/>
  <c r="B170" i="10"/>
  <c r="B167" i="10"/>
  <c r="B164" i="10"/>
  <c r="B161" i="10"/>
  <c r="B158" i="10"/>
  <c r="B155" i="10"/>
  <c r="B152" i="10"/>
  <c r="B149" i="10"/>
  <c r="B146" i="10"/>
  <c r="B143" i="10"/>
  <c r="B140" i="10"/>
  <c r="B137" i="10"/>
  <c r="B134" i="10"/>
  <c r="B131" i="10"/>
  <c r="B128" i="10"/>
  <c r="B125" i="10"/>
  <c r="B175" i="10"/>
  <c r="B139" i="10"/>
  <c r="B169" i="10"/>
  <c r="B166" i="10"/>
  <c r="B154" i="10"/>
  <c r="B142" i="10"/>
  <c r="B130" i="10"/>
  <c r="B151" i="10"/>
  <c r="B163" i="10"/>
  <c r="B127" i="10"/>
  <c r="B133" i="10"/>
  <c r="B157" i="10"/>
  <c r="B145" i="10"/>
  <c r="B172" i="10"/>
  <c r="B160" i="10"/>
  <c r="B148" i="10"/>
  <c r="B136" i="10"/>
  <c r="B124" i="10"/>
  <c r="D123" i="10" l="1"/>
  <c r="E123" i="10"/>
  <c r="C124" i="10" s="1"/>
  <c r="E124" i="10" s="1"/>
  <c r="C125" i="10" s="1"/>
  <c r="E125" i="10" s="1"/>
  <c r="C126" i="10" s="1"/>
  <c r="E126" i="10" s="1"/>
  <c r="C127" i="10" s="1"/>
  <c r="E127" i="10" s="1"/>
  <c r="C128" i="10" s="1"/>
  <c r="E128" i="10" s="1"/>
  <c r="C129" i="10" s="1"/>
  <c r="E129" i="10" s="1"/>
  <c r="C130" i="10" s="1"/>
  <c r="E130" i="10" s="1"/>
  <c r="C131" i="10" s="1"/>
  <c r="E131" i="10" s="1"/>
  <c r="C132" i="10" s="1"/>
  <c r="E132" i="10" s="1"/>
  <c r="C133" i="10" s="1"/>
  <c r="E133" i="10" s="1"/>
  <c r="C134" i="10" s="1"/>
  <c r="E134" i="10" s="1"/>
  <c r="C135" i="10" s="1"/>
  <c r="E135" i="10" s="1"/>
  <c r="C136" i="10" s="1"/>
  <c r="E136" i="10" s="1"/>
  <c r="C137" i="10" s="1"/>
  <c r="E137" i="10" s="1"/>
  <c r="C138" i="10" s="1"/>
  <c r="E138" i="10" s="1"/>
  <c r="C139" i="10" s="1"/>
  <c r="E139" i="10" s="1"/>
  <c r="C140" i="10" s="1"/>
  <c r="E140" i="10" s="1"/>
  <c r="C141" i="10" s="1"/>
  <c r="E141" i="10" s="1"/>
  <c r="C142" i="10" s="1"/>
  <c r="E142" i="10" s="1"/>
  <c r="C143" i="10" s="1"/>
  <c r="E143" i="10" s="1"/>
  <c r="C144" i="10" s="1"/>
  <c r="E144" i="10" s="1"/>
  <c r="C145" i="10" s="1"/>
  <c r="E145" i="10" s="1"/>
  <c r="C146" i="10" s="1"/>
  <c r="E146" i="10" s="1"/>
  <c r="C147" i="10" s="1"/>
  <c r="E147" i="10" s="1"/>
  <c r="C148" i="10" s="1"/>
  <c r="E148" i="10" s="1"/>
  <c r="C149" i="10" s="1"/>
  <c r="E149" i="10" s="1"/>
  <c r="C150" i="10" s="1"/>
  <c r="E150" i="10" s="1"/>
  <c r="C151" i="10" s="1"/>
  <c r="E151" i="10" s="1"/>
  <c r="C152" i="10" s="1"/>
  <c r="E152" i="10" s="1"/>
  <c r="C153" i="10" s="1"/>
  <c r="E153" i="10" s="1"/>
  <c r="C154" i="10" s="1"/>
  <c r="E154" i="10" s="1"/>
  <c r="C155" i="10" s="1"/>
  <c r="E155" i="10" s="1"/>
  <c r="C156" i="10" s="1"/>
  <c r="E156" i="10" s="1"/>
  <c r="C157" i="10" s="1"/>
  <c r="E157" i="10" s="1"/>
  <c r="C158" i="10" s="1"/>
  <c r="E158" i="10" s="1"/>
  <c r="C159" i="10" s="1"/>
  <c r="E159" i="10" s="1"/>
  <c r="C160" i="10" s="1"/>
  <c r="E160" i="10" s="1"/>
  <c r="C161" i="10" s="1"/>
  <c r="E161" i="10" s="1"/>
  <c r="C162" i="10" s="1"/>
  <c r="E162" i="10" s="1"/>
  <c r="C163" i="10" s="1"/>
  <c r="E163" i="10" s="1"/>
  <c r="C164" i="10" s="1"/>
  <c r="E164" i="10" s="1"/>
  <c r="C165" i="10" s="1"/>
  <c r="E165" i="10" s="1"/>
  <c r="C166" i="10" s="1"/>
  <c r="E166" i="10" s="1"/>
  <c r="C167" i="10" s="1"/>
  <c r="E167" i="10" s="1"/>
  <c r="C168" i="10" s="1"/>
  <c r="E168" i="10" s="1"/>
  <c r="C169" i="10" s="1"/>
  <c r="E169" i="10" s="1"/>
  <c r="C170" i="10" s="1"/>
  <c r="E170" i="10" s="1"/>
  <c r="C171" i="10" s="1"/>
  <c r="E171" i="10" s="1"/>
  <c r="C172" i="10" s="1"/>
  <c r="E172" i="10" s="1"/>
  <c r="C173" i="10" s="1"/>
  <c r="E173" i="10" s="1"/>
  <c r="C174" i="10" s="1"/>
  <c r="E174" i="10" s="1"/>
  <c r="C175" i="10" s="1"/>
  <c r="E175" i="10" s="1"/>
  <c r="C176" i="10" s="1"/>
  <c r="E176" i="10" s="1"/>
  <c r="D124" i="10" l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B176" i="10" s="1"/>
  <c r="D176" i="10" l="1"/>
  <c r="D30" i="3" s="1"/>
  <c r="D31" i="3" s="1"/>
  <c r="D32" i="3" s="1"/>
  <c r="D17" i="3" s="1"/>
  <c r="D19" i="3" s="1"/>
  <c r="D23" i="3" s="1"/>
  <c r="F176" i="10"/>
  <c r="G121" i="10" l="1"/>
  <c r="I1" i="10"/>
  <c r="D25" i="3"/>
  <c r="G5" i="3"/>
  <c r="D5" i="3" l="1"/>
  <c r="G6" i="3"/>
  <c r="F14" i="1"/>
  <c r="I8" i="10"/>
  <c r="C27" i="9" l="1"/>
  <c r="A22" i="9"/>
  <c r="A28" i="9"/>
  <c r="C10" i="9"/>
  <c r="A21" i="9"/>
  <c r="C14" i="9"/>
  <c r="A27" i="9"/>
  <c r="A31" i="9"/>
  <c r="C15" i="9"/>
  <c r="C8" i="9"/>
  <c r="F6" i="1"/>
  <c r="C36" i="9"/>
  <c r="C22" i="9"/>
  <c r="A16" i="9"/>
  <c r="C7" i="9"/>
  <c r="C6" i="9"/>
  <c r="F7" i="1"/>
  <c r="A19" i="9"/>
  <c r="C17" i="9"/>
  <c r="A2" i="9"/>
  <c r="A25" i="9"/>
  <c r="A20" i="9"/>
  <c r="C31" i="9"/>
  <c r="A32" i="9"/>
  <c r="A30" i="9"/>
  <c r="A26" i="9"/>
  <c r="C28" i="9"/>
  <c r="A18" i="9"/>
  <c r="A14" i="9"/>
  <c r="C5" i="9"/>
  <c r="F8" i="1"/>
  <c r="C25" i="9"/>
  <c r="A23" i="9"/>
  <c r="C16" i="9"/>
  <c r="C9" i="9"/>
  <c r="C18" i="9"/>
  <c r="C24" i="9"/>
  <c r="C12" i="9"/>
  <c r="A17" i="9"/>
  <c r="C33" i="9"/>
  <c r="C19" i="9"/>
  <c r="C35" i="9"/>
  <c r="C29" i="9"/>
  <c r="C21" i="9"/>
  <c r="C20" i="9"/>
  <c r="C32" i="9"/>
  <c r="A13" i="9"/>
  <c r="A1" i="9"/>
  <c r="A29" i="9"/>
  <c r="C13" i="9"/>
  <c r="B5" i="9"/>
  <c r="A5" i="9"/>
  <c r="A15" i="9"/>
  <c r="C30" i="9"/>
  <c r="A24" i="9"/>
  <c r="C23" i="9"/>
  <c r="C34" i="9"/>
  <c r="C11" i="9"/>
  <c r="C26" i="9"/>
  <c r="G8" i="3"/>
  <c r="G9" i="3" s="1"/>
  <c r="G10" i="3" s="1"/>
  <c r="D6" i="3" s="1"/>
  <c r="A6" i="9" s="1"/>
  <c r="D9" i="3"/>
  <c r="A9" i="9" s="1"/>
  <c r="D10" i="3" l="1"/>
  <c r="A10" i="9" s="1"/>
  <c r="D7" i="3"/>
  <c r="A7" i="9" s="1"/>
  <c r="D11" i="3" l="1"/>
  <c r="D8" i="3"/>
  <c r="A8" i="9" s="1"/>
  <c r="D12" i="3" l="1"/>
  <c r="A11" i="9"/>
  <c r="A12" i="9" l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8" authorId="0" shapeId="0" xr:uid="{BA94D814-67DD-4BDA-9E5F-89890DC02E2B}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9" authorId="0" shapeId="0" xr:uid="{D3002765-9D83-4435-8C19-60A956A942D4}">
      <text>
        <r>
          <rPr>
            <b/>
            <sz val="9"/>
            <color indexed="81"/>
            <rFont val="MS P ゴシック"/>
            <family val="3"/>
            <charset val="128"/>
          </rPr>
          <t>措置法42条の4第4項</t>
        </r>
      </text>
    </comment>
    <comment ref="D10" authorId="0" shapeId="0" xr:uid="{23E8C8B6-7DBA-4620-B1FA-4AE5506474D7}">
      <text>
        <r>
          <rPr>
            <b/>
            <sz val="9"/>
            <color indexed="81"/>
            <rFont val="MS P ゴシック"/>
            <family val="3"/>
            <charset val="128"/>
          </rPr>
          <t>別表二「同族会社等の判定に関する明細書」の判定結果18を転記。未確認・いいえの間は最終結果と帳票印字を停止します。</t>
        </r>
      </text>
    </comment>
    <comment ref="D15" authorId="0" shapeId="0" xr:uid="{C4B58BDC-AED5-4D2A-A400-4A038E8D7614}">
      <text>
        <r>
          <rPr>
            <b/>
            <sz val="9"/>
            <color indexed="81"/>
            <rFont val="MS P ゴシック"/>
            <family val="3"/>
            <charset val="128"/>
          </rPr>
          <t>別表四「48の②」
別表四の留保所得金額又は欠損金額を符号付きで転記（欠損は負数可）</t>
        </r>
      </text>
    </comment>
    <comment ref="D16" authorId="0" shapeId="0" xr:uid="{8DB68626-4F13-4790-86D1-80D2BD25ABCD}">
      <text>
        <r>
          <rPr>
            <b/>
            <sz val="9"/>
            <color indexed="81"/>
            <rFont val="MS P ゴシック"/>
            <family val="3"/>
            <charset val="128"/>
          </rPr>
          <t>別表十(六)「12」
該当がなければ0</t>
        </r>
      </text>
    </comment>
    <comment ref="D17" authorId="0" shapeId="0" xr:uid="{5FDE918F-CA64-40CB-B9E8-6D7180FB397B}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 xr:uid="{EAAA3667-3286-4CF1-B3BA-E47FBB289A75}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 xr:uid="{38E95928-2D93-43CB-AFFA-30A5FE61F269}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 xr:uid="{C07699C0-48B1-4D2A-98C9-B14E5109B294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1" authorId="0" shapeId="0" xr:uid="{F460D21D-58BA-43B8-A53D-34E1B2765FAB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2" authorId="0" shapeId="0" xr:uid="{34F2A57F-CF27-4C65-B1C4-1EA0C02166AA}">
      <text>
        <r>
          <rPr>
            <b/>
            <sz val="9"/>
            <color indexed="81"/>
            <rFont val="MS P ゴシック"/>
            <family val="3"/>
            <charset val="128"/>
          </rPr>
          <t>旧付表「18」</t>
        </r>
      </text>
    </comment>
    <comment ref="D23" authorId="0" shapeId="0" xr:uid="{5B171EED-81D5-4F4F-AD36-D471E04A70DF}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4" authorId="0" shapeId="0" xr:uid="{F1FC1370-9883-40AF-9F73-83E65A737B7E}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5" authorId="0" shapeId="0" xr:uid="{97655A03-E38E-4AB8-95DF-153C580C0425}">
      <text>
        <r>
          <rPr>
            <b/>
            <sz val="9"/>
            <color indexed="81"/>
            <rFont val="MS P ゴシック"/>
            <family val="3"/>
            <charset val="128"/>
          </rPr>
          <t>別表一「5」</t>
        </r>
      </text>
    </comment>
    <comment ref="D26" authorId="0" shapeId="0" xr:uid="{D91A8C28-602C-4018-B275-190DEE1F90EA}">
      <text>
        <r>
          <rPr>
            <b/>
            <sz val="9"/>
            <color indexed="81"/>
            <rFont val="MS P ゴシック"/>
            <family val="3"/>
            <charset val="128"/>
          </rPr>
          <t>別表一「7」</t>
        </r>
      </text>
    </comment>
    <comment ref="D27" authorId="0" shapeId="0" xr:uid="{A6EC30FB-66FD-48D1-9C1A-8C353F263C60}">
      <text>
        <r>
          <rPr>
            <b/>
            <sz val="9"/>
            <color indexed="81"/>
            <rFont val="MS P ゴシック"/>
            <family val="3"/>
            <charset val="128"/>
          </rPr>
          <t>別表一「10の外書」</t>
        </r>
      </text>
    </comment>
    <comment ref="D28" authorId="0" shapeId="0" xr:uid="{DD765870-DBB4-4392-8F4C-994F93775AC1}">
      <text>
        <r>
          <rPr>
            <b/>
            <sz val="9"/>
            <color indexed="81"/>
            <rFont val="MS P ゴシック"/>
            <family val="3"/>
            <charset val="128"/>
          </rPr>
          <t>別表一「12」</t>
        </r>
      </text>
    </comment>
    <comment ref="D29" authorId="0" shapeId="0" xr:uid="{D40DD96E-C26F-4A2B-B872-0BEAF8D29B8A}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30" authorId="0" shapeId="0" xr:uid="{730424EE-DA0F-4A92-895D-0221DD360575}">
      <text>
        <r>
          <rPr>
            <b/>
            <sz val="9"/>
            <color indexed="81"/>
            <rFont val="MS P ゴシック"/>
            <family val="3"/>
            <charset val="128"/>
          </rPr>
          <t>別表一「19」</t>
        </r>
      </text>
    </comment>
    <comment ref="D31" authorId="0" shapeId="0" xr:uid="{70E5B6E5-96E9-4A32-A3D8-1DF6537B62FD}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2" authorId="0" shapeId="0" xr:uid="{DACDAF29-B345-4342-A959-57E672705324}">
      <text>
        <r>
          <rPr>
            <b/>
            <sz val="9"/>
            <color indexed="81"/>
            <rFont val="MS P ゴシック"/>
            <family val="3"/>
            <charset val="128"/>
          </rPr>
          <t>別表一「40」</t>
        </r>
      </text>
    </comment>
    <comment ref="D33" authorId="0" shapeId="0" xr:uid="{7141B755-14BD-4D52-B215-786C0E158177}">
      <text>
        <r>
          <rPr>
            <b/>
            <sz val="9"/>
            <color indexed="81"/>
            <rFont val="MS P ゴシック"/>
            <family val="3"/>
            <charset val="128"/>
          </rPr>
          <t>別表一「41」</t>
        </r>
      </text>
    </comment>
    <comment ref="D34" authorId="0" shapeId="0" xr:uid="{9C7F5332-D69D-4FBB-83AF-FF2D3723F9E3}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5" authorId="0" shapeId="0" xr:uid="{3E7953EA-B14E-49E2-ADCE-437B978179CF}">
      <text>
        <r>
          <rPr>
            <b/>
            <sz val="9"/>
            <color indexed="81"/>
            <rFont val="MS P ゴシック"/>
            <family val="3"/>
            <charset val="128"/>
          </rPr>
          <t>別表六(十三)17、(十四)22、(十五)24、(二十二)22、(二十三)23、(三十三)28、(三十四)13の合計</t>
        </r>
      </text>
    </comment>
    <comment ref="D36" authorId="0" shapeId="0" xr:uid="{F10A173D-3624-4A9B-88AB-8068FEEE5A06}">
      <text>
        <r>
          <rPr>
            <b/>
            <sz val="9"/>
            <color indexed="81"/>
            <rFont val="MS P ゴシック"/>
            <family val="3"/>
            <charset val="128"/>
          </rPr>
          <t>別表六(九)21、(十二)11、(十三)17、(十四)22、(十五)24、(十八)19、(十九)18、(二十)39、(二十二)22、(二十三)23、(二十四)24、(二十五)21、(二十七)22、(二十八)21、(三十)16、(三十一)22、(三十二)35、(三十三)28、(三十四)13の合計</t>
        </r>
      </text>
    </comment>
    <comment ref="D37" authorId="0" shapeId="0" xr:uid="{4AFCED8D-D439-4347-8041-B3F552B70EE4}">
      <text>
        <r>
          <rPr>
            <b/>
            <sz val="9"/>
            <color indexed="81"/>
            <rFont val="MS P ゴシック"/>
            <family val="3"/>
            <charset val="128"/>
          </rPr>
          <t>別表十七(三の六)「1」</t>
        </r>
      </text>
    </comment>
    <comment ref="D38" authorId="0" shapeId="0" xr:uid="{27657A65-BD4E-4406-B06F-27BF73CAA767}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42" authorId="0" shapeId="0" xr:uid="{C09A0EB1-E4AB-41C4-8C22-EC983008FF37}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3" authorId="0" shapeId="0" xr:uid="{D3575B11-A244-44C0-A0E3-50BFDF975F2D}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4" authorId="0" shapeId="0" xr:uid="{62C543DE-85C1-4FCD-9A11-3972791182E9}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5" authorId="0" shapeId="0" xr:uid="{DCADE4FB-7CEA-4232-AB3A-F2C57CB00305}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6" authorId="0" shapeId="0" xr:uid="{C3CBAFE4-601B-476C-A2C9-3B8F5BAF56B0}">
      <text>
        <r>
          <rPr>
            <b/>
            <sz val="9"/>
            <color indexed="81"/>
            <rFont val="MS P ゴシック"/>
            <family val="3"/>
            <charset val="128"/>
          </rPr>
          <t>別表四「48の①」
別表四の所得金額又は欠損金額を符号付きで転記（欠損は負数可）</t>
        </r>
      </text>
    </comment>
    <comment ref="D47" authorId="0" shapeId="0" xr:uid="{2874B2FC-285C-4FE4-B0B0-6B5BE93A2118}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8" authorId="0" shapeId="0" xr:uid="{9E5FA912-6E1C-4A3F-9B7B-8A228BDDAE72}">
      <text>
        <r>
          <rPr>
            <b/>
            <sz val="9"/>
            <color indexed="81"/>
            <rFont val="MS P ゴシック"/>
            <family val="3"/>
            <charset val="128"/>
          </rPr>
          <t>別表八(一)「13」又は「26」から連結法人間配当等を除いた額</t>
        </r>
      </text>
    </comment>
    <comment ref="D49" authorId="0" shapeId="0" xr:uid="{6F100D88-D87C-475C-9EAF-4AE6CD329C77}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別表八(二)「26」＋別表十七(三の七)「27の計」</t>
        </r>
      </text>
    </comment>
    <comment ref="D50" authorId="0" shapeId="0" xr:uid="{A457DEA3-FDE3-428D-91C3-8AA08F87054E}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1" authorId="0" shapeId="0" xr:uid="{3705AC08-B3C8-493E-A19D-3CBA62B3DA0F}">
      <text>
        <r>
          <rPr>
            <b/>
            <sz val="9"/>
            <color indexed="81"/>
            <rFont val="MS P ゴシック"/>
            <family val="3"/>
            <charset val="128"/>
          </rPr>
          <t>別表四「19」＋益金不算入附帯税（利子税を除く。）</t>
        </r>
      </text>
    </comment>
    <comment ref="D52" authorId="0" shapeId="0" xr:uid="{8134AA5C-F92D-4CFA-AB52-1F7926441EF3}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3" authorId="0" shapeId="0" xr:uid="{62BED9A8-784D-4903-B3BA-0BA10FF97C64}">
      <text>
        <r>
          <rPr>
            <b/>
            <sz val="9"/>
            <color indexed="81"/>
            <rFont val="MS P ゴシック"/>
            <family val="3"/>
            <charset val="128"/>
          </rPr>
          <t>別表四「26」</t>
        </r>
      </text>
    </comment>
    <comment ref="D54" authorId="0" shapeId="0" xr:uid="{00B8050E-4EF7-4D74-A0A2-774E0AF63823}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 xr:uid="{9A801E04-70FF-457B-8A05-B3FF99511291}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 xr:uid="{92735D34-F1B0-472E-A6FB-D87D485408F6}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 xr:uid="{085F835A-957C-4105-B540-B0A786407C7A}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 xr:uid="{B2C0D507-2F7C-45AC-80D4-E3E01F05F2E2}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 xr:uid="{DCDDD93A-5B8E-4F5D-9AF4-B90716F030A3}">
      <text>
        <r>
          <rPr>
            <b/>
            <sz val="9"/>
            <color indexed="81"/>
            <rFont val="MS P ゴシック"/>
            <family val="3"/>
            <charset val="128"/>
          </rPr>
          <t>別表十(一)「9」又は「13」</t>
        </r>
      </text>
    </comment>
    <comment ref="D60" authorId="0" shapeId="0" xr:uid="{6D991C39-ACCB-4E0B-B942-AF5571C5A07A}">
      <text>
        <r>
          <rPr>
            <b/>
            <sz val="9"/>
            <color indexed="81"/>
            <rFont val="MS P ゴシック"/>
            <family val="3"/>
            <charset val="128"/>
          </rPr>
          <t>別表十(二)「8」</t>
        </r>
      </text>
    </comment>
    <comment ref="D61" authorId="0" shapeId="0" xr:uid="{9FA1A2CE-AA1A-41E8-9A42-BC3CA9E8B483}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62" authorId="0" shapeId="0" xr:uid="{0C07AF96-F00F-406A-BC13-7ADE7E9EA574}">
      <text>
        <r>
          <rPr>
            <b/>
            <sz val="9"/>
            <color indexed="81"/>
            <rFont val="MS P ゴシック"/>
            <family val="3"/>
            <charset val="128"/>
          </rPr>
          <t>別表十(六)「11」</t>
        </r>
      </text>
    </comment>
    <comment ref="D63" authorId="0" shapeId="0" xr:uid="{CBF11FF5-6232-411B-9280-A923D50D2A31}">
      <text>
        <r>
          <rPr>
            <b/>
            <sz val="9"/>
            <color indexed="81"/>
            <rFont val="MS P ゴシック"/>
            <family val="3"/>
            <charset val="128"/>
          </rPr>
          <t>別表十(六)「13」</t>
        </r>
      </text>
    </comment>
    <comment ref="D64" authorId="0" shapeId="0" xr:uid="{D23EB8CE-5F55-4114-859A-2C89785F07E5}">
      <text>
        <r>
          <rPr>
            <b/>
            <sz val="9"/>
            <color indexed="81"/>
            <rFont val="MS P ゴシック"/>
            <family val="3"/>
            <charset val="128"/>
          </rPr>
          <t>別表十(七)「22」</t>
        </r>
      </text>
    </comment>
    <comment ref="D65" authorId="0" shapeId="0" xr:uid="{33DAA430-C9B6-46DA-BD57-00DA7AB31569}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6" authorId="0" shapeId="0" xr:uid="{7FDD9A19-525D-4F06-A0D0-E6ED85BB2478}">
      <text>
        <r>
          <rPr>
            <b/>
            <sz val="9"/>
            <color indexed="81"/>
            <rFont val="MS P ゴシック"/>
            <family val="3"/>
            <charset val="128"/>
          </rPr>
          <t>別表十七の様式列挙額（当該年版）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10" authorId="0" shapeId="0" xr:uid="{37E2B734-67D5-47C7-BEDD-1FD928D0EFB4}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<sst xmlns="http://schemas.openxmlformats.org/spreadsheetml/2006/main" count="633" uniqueCount="475">
  <si>
    <t>厳密整数計算ヘルパー（IEEE-754安全域内の二進長除算）</t>
  </si>
  <si>
    <t>演算ID</t>
  </si>
  <si>
    <t>被乗数絶対値</t>
  </si>
  <si>
    <t>乗数絶対値</t>
  </si>
  <si>
    <t>安全除数</t>
  </si>
  <si>
    <t>符号</t>
  </si>
  <si>
    <t>実除数</t>
  </si>
  <si>
    <t>安全域</t>
  </si>
  <si>
    <t>説明</t>
  </si>
  <si>
    <t>特定同族会社の留保金課税 - 入力（令和3年版）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</si>
  <si>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</si>
  <si>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</si>
  <si>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</si>
  <si>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</si>
  <si>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</si>
  <si>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</si>
  <si>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別表二「判定結果18」：特定同族会社</t>
  </si>
  <si>
    <t>基本情報</t>
    <phoneticPr fontId="3"/>
  </si>
  <si>
    <t>年度版チェック</t>
  </si>
  <si>
    <t>事業年度が対象範囲内</t>
  </si>
  <si>
    <t>住民税率</t>
  </si>
  <si>
    <t>特定寄附金控除率</t>
  </si>
  <si>
    <t>令和3年4月1日から令和4年3月31日までに終了する事業年度の年次版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</si>
  <si>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</si>
  <si>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</si>
  <si>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</si>
  <si>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</si>
  <si>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</si>
  <si>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</si>
  <si>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</si>
  <si>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別表四「48の②」</t>
  </si>
  <si>
    <t>留保所得金額（主表9）の基礎額</t>
  </si>
  <si>
    <t>別表四の留保所得金額又は欠損金額を符号付きで転記（欠損は負数可）</t>
  </si>
  <si>
    <t>m9_extra</t>
  </si>
  <si>
    <t>別表十(六)「12」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</si>
  <si>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</si>
  <si>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</si>
  <si>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</si>
  <si>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</si>
  <si>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</si>
  <si>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</si>
  <si>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</si>
  <si>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</si>
  <si>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</si>
  <si>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</si>
  <si>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</si>
  <si>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</si>
  <si>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m16</t>
  </si>
  <si>
    <t>連結法人間配当等</t>
  </si>
  <si>
    <t>主表16：当期支払額</t>
  </si>
  <si>
    <t>m17</t>
  </si>
  <si>
    <t>主表17：当期受取額</t>
  </si>
  <si>
    <t>m18</t>
  </si>
  <si>
    <t>旧付表「18」</t>
  </si>
  <si>
    <t>主表18：他法人株式等の帳簿価額から減算される金額</t>
  </si>
  <si>
    <t>b1_2</t>
  </si>
  <si>
    <t>別表一「2」</t>
  </si>
  <si>
    <t>主表12・住民税計算用：別表一「2」</t>
  </si>
  <si>
    <t>b1_4</t>
  </si>
  <si>
    <t>別表一「4」</t>
  </si>
  <si>
    <t>主表12・住民税計算用：別表一「4」</t>
  </si>
  <si>
    <t>b1_5</t>
  </si>
  <si>
    <t>別表一「5」</t>
  </si>
  <si>
    <t>主表12・住民税計算用：別表一「5」</t>
  </si>
  <si>
    <t>b1_7</t>
  </si>
  <si>
    <t>別表一「7」</t>
  </si>
  <si>
    <t>主表12・住民税計算用：別表一「7」</t>
  </si>
  <si>
    <t>b1_10out</t>
  </si>
  <si>
    <t>別表一「10の外書」</t>
  </si>
  <si>
    <t>主表12・住民税計算用：別表一「10の外書」</t>
  </si>
  <si>
    <t>b1_12</t>
  </si>
  <si>
    <t>別表一「12」</t>
  </si>
  <si>
    <t>主表12・住民税計算用：別表一「12」</t>
  </si>
  <si>
    <t>b1_18</t>
  </si>
  <si>
    <t>別表一「18」</t>
  </si>
  <si>
    <t>主表12・住民税計算用：別表一「18」</t>
  </si>
  <si>
    <t>b1_19</t>
  </si>
  <si>
    <t>別表一「19」</t>
  </si>
  <si>
    <t>主表12・住民税計算用：別表一「19」</t>
  </si>
  <si>
    <t>b1_36</t>
  </si>
  <si>
    <t>別表一「36」</t>
  </si>
  <si>
    <t>主表12・住民税計算用：別表一「36」</t>
  </si>
  <si>
    <t>b1_40</t>
  </si>
  <si>
    <t>別表一「40」</t>
  </si>
  <si>
    <t>主表12・住民税計算用：別表一「40」</t>
  </si>
  <si>
    <t>b1_41</t>
  </si>
  <si>
    <t>別表一「41」</t>
  </si>
  <si>
    <t>主表12・住民税計算用：別表一「41」</t>
  </si>
  <si>
    <t>b6_5_2_5_3</t>
  </si>
  <si>
    <t>別表六(五の二)「5の③」</t>
  </si>
  <si>
    <t>主表12の分配時調整外国税相当額</t>
  </si>
  <si>
    <t>m22_credits</t>
  </si>
  <si>
    <t>別表六(十三)17、(十四)22、(十五)24、(二十二)22、(二十三)23、(三十三)28、(三十四)13の合計</t>
  </si>
  <si>
    <t>主表22で差し引く税額控除等の合計</t>
  </si>
  <si>
    <t>m23_credits</t>
  </si>
  <si>
    <t>別表六(九)21、(十二)11、(十三)17、(十四)22、(十五)24、(十八)19、(十九)18、(二十)39、(二十二)22、(二十三)23、(二十四)24、(二十五)21、(二十七)22、(二十八)21、(三十)16、(三十一)22、(三十二)35、(三十三)28、(三十四)13の合計</t>
  </si>
  <si>
    <t>主表23で差し引く税額控除等の合計</t>
  </si>
  <si>
    <t>m14_foreign</t>
  </si>
  <si>
    <t>別表十七(三の六)「1」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</si>
  <si>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</si>
  <si>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</si>
  <si>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</si>
  <si>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</si>
  <si>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</si>
  <si>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</si>
  <si>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</si>
  <si>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</si>
  <si>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</si>
  <si>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</si>
  <si>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</si>
  <si>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</si>
  <si>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</si>
  <si>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</si>
  <si>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</si>
  <si>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</si>
  <si>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</si>
  <si>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</si>
  <si>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</si>
  <si>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</si>
  <si>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別表四「48の①」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</si>
  <si>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</si>
  <si>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</si>
  <si>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</si>
  <si>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</si>
  <si>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</si>
  <si>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</si>
  <si>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</si>
  <si>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別表八(一)「13」又は「26」から連結法人間配当等を除いた額</t>
  </si>
  <si>
    <t>付表の11欄：受取配当等の益金不算入額</t>
  </si>
  <si>
    <t>f1_12</t>
  </si>
  <si>
    <t>別表八(二)「26」＋別表十七(三の七)「27の計」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</si>
  <si>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</si>
  <si>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</si>
  <si>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</si>
  <si>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</si>
  <si>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</si>
  <si>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別表四「19」＋益金不算入附帯税（利子税を除く。）</t>
  </si>
  <si>
    <t>付表の14欄：法人税額の還付金等</t>
  </si>
  <si>
    <t>f1_15</t>
  </si>
  <si>
    <t>別表七の当該年版様式列挙額</t>
  </si>
  <si>
    <t>付表の15欄：欠損金又は災害損失金等の当期控除額</t>
  </si>
  <si>
    <t>f1_16</t>
  </si>
  <si>
    <t>別表四「26」</t>
  </si>
  <si>
    <t>付表の16欄：被合併法人等の最終事業年度の欠損金の損金算入額</t>
  </si>
  <si>
    <t>f1_17</t>
  </si>
  <si>
    <t>別表四「37」</t>
  </si>
  <si>
    <t>付表の17欄：災害損失欠損金額の益金算入額</t>
  </si>
  <si>
    <t>f1_18</t>
  </si>
  <si>
    <t>別表八(三)「13」の合計額</t>
  </si>
  <si>
    <t>付表の18欄：他法人株式等の帳簿価額から減算される金額</t>
  </si>
  <si>
    <t>f1_19</t>
  </si>
  <si>
    <t>別表十(三)「43」</t>
  </si>
  <si>
    <t>付表の19欄：新鉱床探鉱費又は海外新鉱床探鉱費の特別控除額</t>
  </si>
  <si>
    <t>f1_20</t>
  </si>
  <si>
    <t>別表十(四)「20」</t>
  </si>
  <si>
    <t>付表の20欄：日本船舶による収入金額に係る所得の損金算入額</t>
  </si>
  <si>
    <t>f1_21</t>
  </si>
  <si>
    <t>別表十(四)「21」又は「23」</t>
  </si>
  <si>
    <t>付表の21欄：日本船舶による収入金額に係る所得の益金算入額</t>
  </si>
  <si>
    <t>f1_22</t>
  </si>
  <si>
    <t>別表十(一)「9」又は「13」</t>
  </si>
  <si>
    <t>付表の22欄：沖縄の認定法人の所得の特別控除額</t>
  </si>
  <si>
    <t>f1_23</t>
  </si>
  <si>
    <t>別表十(二)「8」</t>
  </si>
  <si>
    <t>付表の23欄：国家戦略特別区域の指定法人の所得の特別控除額</t>
  </si>
  <si>
    <t>f1_24</t>
  </si>
  <si>
    <t>別表十(五)「22+37+42+47+52」</t>
  </si>
  <si>
    <t>付表の24欄：収用等の場合等の所得の特別控除額</t>
  </si>
  <si>
    <t>f1_25</t>
  </si>
  <si>
    <t>別表十(六)「11」</t>
  </si>
  <si>
    <t>付表の25欄：特別新事業開拓事業者関係の特別勘定繰入額</t>
  </si>
  <si>
    <t>f1_26</t>
  </si>
  <si>
    <t>別表十(六)「13」</t>
  </si>
  <si>
    <t>付表の26欄：特別新事業開拓事業者関係の特別勘定取崩額</t>
  </si>
  <si>
    <t>f1_27</t>
  </si>
  <si>
    <t>別表十(七)「22」</t>
  </si>
  <si>
    <t>付表の27欄：肉用牛の売却に係る所得の特別控除額</t>
  </si>
  <si>
    <t>f1_28</t>
  </si>
  <si>
    <t>別表十七(二の三)「10」</t>
  </si>
  <si>
    <t>付表の28欄：超過利子額の損金算入額</t>
  </si>
  <si>
    <t>f1_29</t>
  </si>
  <si>
    <t>別表十七の様式列挙額（当該年版）</t>
  </si>
  <si>
    <t>付表の29欄：課税対象金額等の益金算入額</t>
  </si>
  <si>
    <t>入力別有効性</t>
  </si>
  <si>
    <t>絶対値</t>
  </si>
  <si>
    <t>入力名</t>
  </si>
  <si>
    <t>inp_m9_base</t>
  </si>
  <si>
    <t>inp_m9_extra</t>
  </si>
  <si>
    <t>inp_m9_inner</t>
  </si>
  <si>
    <t>inp_prev_div</t>
  </si>
  <si>
    <t>inp_curr_div</t>
  </si>
  <si>
    <t>inp_m16</t>
  </si>
  <si>
    <t>inp_m17</t>
  </si>
  <si>
    <t>inp_m18</t>
  </si>
  <si>
    <t>inp_b1_2</t>
  </si>
  <si>
    <t>inp_b1_4</t>
  </si>
  <si>
    <t>inp_b1_5</t>
  </si>
  <si>
    <t>inp_b1_7</t>
  </si>
  <si>
    <t>inp_b1_10out</t>
  </si>
  <si>
    <t>inp_b1_12</t>
  </si>
  <si>
    <t>inp_b1_18</t>
  </si>
  <si>
    <t>inp_b1_19</t>
  </si>
  <si>
    <t>inp_b1_36</t>
  </si>
  <si>
    <t>inp_b1_40</t>
  </si>
  <si>
    <t>inp_b1_41</t>
  </si>
  <si>
    <t>inp_b6_5_2_5_3</t>
  </si>
  <si>
    <t>inp_m22_credits</t>
  </si>
  <si>
    <t>inp_m23_credits</t>
  </si>
  <si>
    <t>inp_m14_foreign</t>
  </si>
  <si>
    <t>inp_specific_donation_total</t>
  </si>
  <si>
    <t>inp_f1_capital</t>
  </si>
  <si>
    <t>inp_f1_opening_profit</t>
  </si>
  <si>
    <t>inp_f1_merger_inc</t>
  </si>
  <si>
    <t>inp_f1_split_dec</t>
  </si>
  <si>
    <t>inp_f1_09</t>
  </si>
  <si>
    <t>inp_f1_10</t>
  </si>
  <si>
    <t>inp_f1_11</t>
  </si>
  <si>
    <t>inp_f1_12</t>
  </si>
  <si>
    <t>inp_f1_13</t>
  </si>
  <si>
    <t>inp_f1_14</t>
  </si>
  <si>
    <t>inp_f1_15</t>
  </si>
  <si>
    <t>inp_f1_16</t>
  </si>
  <si>
    <t>inp_f1_17</t>
  </si>
  <si>
    <t>inp_f1_18</t>
  </si>
  <si>
    <t>inp_f1_19</t>
  </si>
  <si>
    <t>inp_f1_20</t>
  </si>
  <si>
    <t>inp_f1_21</t>
  </si>
  <si>
    <t>inp_f1_22</t>
  </si>
  <si>
    <t>inp_f1_23</t>
  </si>
  <si>
    <t>inp_f1_24</t>
  </si>
  <si>
    <t>inp_f1_25</t>
  </si>
  <si>
    <t>inp_f1_26</t>
  </si>
  <si>
    <t>inp_f1_27</t>
  </si>
  <si>
    <t>inp_f1_28</t>
  </si>
  <si>
    <t>inp_f1_29</t>
  </si>
  <si>
    <t>全金額入力の絶対値合計が1000000000000000 円以下かつ整数入力</t>
  </si>
  <si>
    <t>付表二の制度開始日条件</t>
  </si>
  <si>
    <t>別表三(一) - 留保金額に対する税額の計算</t>
  </si>
  <si>
    <t>令和3年版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</si>
  <si>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</si>
  <si>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</si>
  <si>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</si>
  <si>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</si>
  <si>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</si>
  <si>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</si>
  <si>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</si>
  <si>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</si>
  <si>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</si>
  <si>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</si>
  <si>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</si>
  <si>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</si>
  <si>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</si>
  <si>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</si>
  <si>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</si>
  <si>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</si>
  <si>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</si>
  <si>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</si>
  <si>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</si>
  <si>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</si>
  <si>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</si>
  <si>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</si>
  <si>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</si>
  <si>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</si>
  <si>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</si>
  <si>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</si>
  <si>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</si>
  <si>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別表四48②＋記載要領上の追加額</t>
  </si>
  <si>
    <t>内書額は別入力</t>
  </si>
  <si>
    <t>前期の主表11</t>
  </si>
  <si>
    <t>法人税額及び地方法人税額の合計額</t>
  </si>
  <si>
    <t>R3公式様式算式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</si>
  <si>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</si>
  <si>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</si>
  <si>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</si>
  <si>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</si>
  <si>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</si>
  <si>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</si>
  <si>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連結法人間配当等の当期支払額</t>
  </si>
  <si>
    <t>入力値</t>
  </si>
  <si>
    <t>連結法人間配当等の当期受取額</t>
  </si>
  <si>
    <t>他法人株式等の帳簿価額から減算される金額</t>
  </si>
  <si>
    <t>旧付表18</t>
  </si>
  <si>
    <t>当期留保金額</t>
  </si>
  <si>
    <t>(9)-9内書+(10)-(11)-(15)+(16)-(17)-(18)</t>
  </si>
  <si>
    <t>留保控除額</t>
  </si>
  <si>
    <t>付表32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</si>
  <si>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</si>
  <si>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</si>
  <si>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</si>
  <si>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</si>
  <si>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R3様式列挙額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</si>
  <si>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</si>
  <si>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</si>
  <si>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</si>
  <si>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</si>
  <si>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</si>
  <si>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((24)+(別表一12+18)×適用率)×20％</t>
  </si>
  <si>
    <t>住民税額から控除される金額</t>
  </si>
  <si>
    <t>(25)又は(26)の少ない金額</t>
  </si>
  <si>
    <t>(24)-(27)</t>
  </si>
  <si>
    <t>主表13へ</t>
  </si>
  <si>
    <t>別表三(一)付表 - 留保控除額の計算</t>
  </si>
  <si>
    <t>期末資本金の額又は出資金の額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</si>
  <si>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</si>
  <si>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</si>
  <si>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</si>
  <si>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</si>
  <si>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</si>
  <si>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</si>
  <si>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</si>
  <si>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</si>
  <si>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(2)-(6)</t>
  </si>
  <si>
    <t>記載要領により差額がマイナスの場合は0。期末利益積立金額が負ならその正数分だけ増加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</si>
  <si>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</si>
  <si>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</si>
  <si>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</si>
  <si>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</si>
  <si>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</si>
  <si>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</si>
  <si>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</si>
  <si>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</si>
  <si>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欠損金又は災害損失金等の当期控除額</t>
  </si>
  <si>
    <t>被合併法人等の最終事業年度の欠損金の損金算入額</t>
  </si>
  <si>
    <t>災害損失欠損金額の益金算入額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</si>
  <si>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</si>
  <si>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</si>
  <si>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</si>
  <si>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沖縄の認定法人の所得の特別控除額</t>
  </si>
  <si>
    <t>国家戦略特別区域の指定法人の所得の特別控除額</t>
  </si>
  <si>
    <t>収用等の場合等の所得の特別控除額</t>
  </si>
  <si>
    <t>特別新事業開拓事業者関係の特別勘定繰入額</t>
  </si>
  <si>
    <t>特別新事業開拓事業者関係の特別勘定取崩額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</si>
  <si>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</si>
  <si>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</si>
  <si>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</si>
  <si>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</si>
  <si>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(9)-(10)+(11)+(12)+(13)+(14)+(15)+(16)-(17)-(18)+(19)+(20)-(21)+(22)+(23)+(24)+(25)-(26)+(27)+(28)-(29)</t>
  </si>
  <si>
    <t>所得基準額</t>
  </si>
  <si>
    <t>(30)×40％</t>
  </si>
  <si>
    <t>(7)、(8)、(31)のいずれか多い金額</t>
  </si>
  <si>
    <t>主表20へ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</si>
  <si>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</si>
  <si>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</si>
  <si>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</si>
  <si>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</si>
  <si>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</si>
  <si>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</si>
  <si>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</si>
  <si>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</si>
  <si>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bit</t>
  </si>
  <si>
    <t>bit値</t>
  </si>
  <si>
    <t>倍加後値</t>
  </si>
  <si>
    <t>商</t>
  </si>
  <si>
    <t>剰余</t>
  </si>
  <si>
    <t>r3_f1_31_income</t>
  </si>
  <si>
    <t>所得基準額40％を厳密計算</t>
  </si>
  <si>
    <t>出力</t>
  </si>
  <si>
    <t>r3_m_24_resident</t>
  </si>
  <si>
    <t>住民税率を1円未満切捨てで厳密計算</t>
  </si>
  <si>
    <t>r3_m_26_municipal</t>
  </si>
  <si>
    <t>調整地方税額：住民税項</t>
  </si>
  <si>
    <t>r3_m_26_delta</t>
  </si>
  <si>
    <t>調整地方税額：加減算項</t>
  </si>
  <si>
    <t>全演算が2^53未満の整数安全域</t>
  </si>
  <si>
    <t>付表二なし</t>
  </si>
  <si>
    <t>別表二判定結果18</t>
  </si>
  <si>
    <t>中小企業者等区分の選択</t>
  </si>
  <si>
    <t>通算法人区分の選択</t>
  </si>
  <si>
    <t>開始日・終了日・事業年度月数の有効性（1900～2100年・12か月以内）</t>
  </si>
  <si>
    <t>最終結果・帳票印字の準備完了</t>
  </si>
  <si>
    <t>特定同族会社の留保金課税 計算シート（令和3年版）</t>
  </si>
  <si>
    <t>令和3年4月1日から令和4年3月31日までに終了する事業年度の年次版／国税庁の当該年公式別表を背景として再現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</si>
  <si>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</si>
  <si>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</si>
  <si>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</si>
  <si>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留保控除額（別表三(一)付表「32」）</t>
  </si>
  <si>
    <t>住民税額（別表三(一)「28」）</t>
  </si>
  <si>
    <t>適用・入力チェック</t>
  </si>
  <si>
    <t>事業年度・年度版・制度開始日の適用期間</t>
  </si>
  <si>
    <t>特定同族会社の判定</t>
  </si>
  <si>
    <t>必須区分の選択</t>
  </si>
  <si>
    <t>入力域・厳密整数演算</t>
  </si>
  <si>
    <t>事業年度月数</t>
  </si>
  <si>
    <t>操作手順</t>
  </si>
  <si>
    <t>1. 「入力」シートの黄色セルへ、各別表から円単位で入力し、別表二「判定結果18」と必須区分を明示選択します。</t>
  </si>
  <si>
    <t>2. 青色の計算シートで主表・付表の算式と転記元を確認します。全金額入力の絶対値合計1,000兆円が保証入力域です。</t>
  </si>
  <si>
    <t>3. 緑色タブの国税庁様式に自動転記された金額を確認し、申告用データと突合します。準備未完了時は印字しません。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</si>
  <si>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</si>
  <si>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</si>
  <si>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</si>
  <si>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</si>
  <si>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付表_計算</t>
  </si>
  <si>
    <t>公式様式</t>
  </si>
  <si>
    <t>検算</t>
  </si>
  <si>
    <t>根拠・出典</t>
  </si>
  <si>
    <t>令和3年版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</si>
  <si>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</si>
  <si>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</si>
  <si>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</si>
  <si>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</si>
  <si>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</si>
  <si>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</si>
  <si>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令和3年 法人税各種別表一覧</t>
  </si>
  <si>
    <t>https://www.nta.go.jp/taxes/tetsuzuki/shinsei/annai/hojin/shinkoku/itiran2021/01.htm</t>
  </si>
  <si>
    <t>年度版・適用様式の確認</t>
  </si>
  <si>
    <t>別表三(一) 公式様式</t>
  </si>
  <si>
    <t>https://www.nta.go.jp/taxes/tetsuzuki/shinsei/annai/hojin/shinkoku/itiran2021/pdf/03%2801%29.pdf</t>
  </si>
  <si>
    <t>295C022957549591AF0317B8A1376B615B111EEF720E8EB5B6A8815F3D1B1C34</t>
  </si>
  <si>
    <t>公式様式・算式・記載要領</t>
  </si>
  <si>
    <t>別表三(一) 記載要領</t>
  </si>
  <si>
    <t>https://www.nta.go.jp/taxes/tetsuzuki/shinsei/annai/hojin/shinkoku/itiran2021/pdf/03%2801%29-ki.pdf</t>
  </si>
  <si>
    <t>485C3A2AE930031877EE25BEA150CFE307549F78E809477DF77BF11365CAC63F</t>
  </si>
  <si>
    <t>別表三(一)付表（付表一）公式様式</t>
  </si>
  <si>
    <t>https://www.nta.go.jp/taxes/tetsuzuki/shinsei/annai/hojin/shinkoku/itiran2021/pdf/03%2801%29-f.pdf</t>
  </si>
  <si>
    <t>C9A5348A7D270A7C2194E8AEA88990D3990BEC5532F520300DD94A9506463DD3</t>
  </si>
  <si>
    <t>別表三(一)付表（付表一）記載要領</t>
  </si>
  <si>
    <t>https://www.nta.go.jp/taxes/tetsuzuki/shinsei/annai/hojin/shinkoku/itiran2021/pdf/03%2801%29-f-ki.pdf</t>
  </si>
  <si>
    <t>AEB24309B9368928B80D676614284232D38565379620DAF52D5F55CA094628CD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</si>
  <si>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</si>
  <si>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</si>
  <si>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</si>
  <si>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</si>
  <si>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</si>
  <si>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</si>
  <si>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</si>
  <si>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</si>
  <si>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</si>
  <si>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</si>
  <si>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</si>
  <si>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</si>
  <si>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未確認</t>
    <phoneticPr fontId="3"/>
  </si>
  <si>
    <t>未選択</t>
    <phoneticPr fontId="3"/>
  </si>
  <si>
    <t>令和3年版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</si>
  <si>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</si>
  <si>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</si>
  <si>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</si>
  <si>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</si>
  <si>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</si>
  <si>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</si>
  <si>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</si>
  <si>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</si>
  <si>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</si>
  <si>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</si>
  <si>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</si>
  <si>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</si>
  <si>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</si>
  <si>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</si>
  <si>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</si>
  <si>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</si>
  <si>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</si>
  <si>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</si>
  <si>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事業年度・文字列貼付ガード</t>
  </si>
  <si>
    <t>period=FALSE / ready=FALSE</t>
  </si>
  <si>
    <t>period=False / ready=False</t>
  </si>
  <si>
    <t>事業年度・12か月超ガード</t>
  </si>
  <si>
    <t>事業年度・2101年範囲外ガード</t>
  </si>
  <si>
    <t>入力規則・符号分類</t>
  </si>
  <si>
    <t>資本金の負数を拒否／利益積立金の負数を受理</t>
  </si>
  <si>
    <t>資本金拒否=True／利益積立金受理=True</t>
  </si>
  <si>
    <t>付表(7)・負数は0</t>
  </si>
  <si>
    <t>(7)=0</t>
  </si>
  <si>
    <t>R3固定率</t>
  </si>
  <si>
    <t>住民税10.4% / 寄附40%</t>
  </si>
  <si>
    <t>10.4% / 40%</t>
  </si>
  <si>
    <t>住民税率・15桁厳密切捨て</t>
  </si>
  <si>
    <t>厳密整数演算ヘルパー</t>
  </si>
  <si>
    <t>構造検査</t>
  </si>
  <si>
    <t>数式エラー</t>
  </si>
  <si>
    <t>主表行数</t>
  </si>
  <si>
    <t>付表行数</t>
  </si>
  <si>
    <t>付表二行数</t>
  </si>
  <si>
    <t>事業年度入力有効性</t>
  </si>
  <si>
    <t>年度版適用期間</t>
  </si>
  <si>
    <t>保証入力域</t>
  </si>
  <si>
    <t>厳密整数演算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</si>
</sst>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#,##0&quot; 円&quot;"/>
  </numFmts>
  <fonts count="15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80" fontId="6" fillId="0" borderId="1" xfId="0" applyNumberFormat="1" applyFont="1" applyBorder="1" applyAlignment="1">
      <alignment vertical="center"/>
    </xf>
    <xf numFmtId="181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" fontId="6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2" borderId="1" xfId="0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 wrapText="1"/>
    </xf>
    <xf numFmtId="182" fontId="6" fillId="4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2" fontId="10" fillId="7" borderId="1" xfId="0" applyNumberFormat="1" applyFont="1" applyFill="1" applyBorder="1" applyAlignment="1">
      <alignment horizontal="right" vertical="center"/>
    </xf>
    <xf numFmtId="0" fontId="12" fillId="2" borderId="0" xfId="0" applyFont="1" applyFill="1">
      <alignment vertical="center"/>
    </xf>
    <xf numFmtId="0" fontId="10" fillId="8" borderId="0" xfId="0" applyFont="1" applyFill="1">
      <alignment vertical="center"/>
    </xf>
    <xf numFmtId="183" fontId="10" fillId="7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2" borderId="2" xfId="0" applyFont="1" applyFill="1" applyBorder="1" applyAlignment="1">
      <alignment horizontal="left" vertical="center"/>
    </xf>
    <xf numFmtId="0" fontId="6" fillId="0" borderId="0" xfId="0" applyFont="1" applyAlignment="1">
      <alignment vertical="center" wrapText="1"/>
    </xf>
    <xf numFmtId="0" fontId="8" fillId="2" borderId="0" xfId="0" applyFont="1" applyFill="1" applyAlignment="1">
      <alignment horizontal="left" vertical="center"/>
    </xf>
    <xf numFmtId="0" fontId="13" fillId="0" borderId="0" xfId="1" applyFont="1">
      <alignment vertical="center"/>
    </xf>
    <xf numFmtId="0" fontId="13" fillId="0" borderId="1" xfId="1" applyFont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vertical="center" wrapText="1"/>
    </xf>
    <xf numFmtId="182" fontId="6" fillId="3" borderId="1" xfId="0" applyNumberFormat="1" applyFont="1" applyFill="1" applyBorder="1" applyAlignment="1" applyProtection="1">
      <alignment horizontal="right" vertical="center"/>
      <protection locked="0"/>
    </xf>
    <xf numFmtId="49" fontId="6" fillId="3" borderId="1" xfId="0" applyNumberFormat="1" applyFont="1" applyFill="1" applyBorder="1" applyAlignment="1" applyProtection="1">
      <alignment horizontal="right" vertical="center"/>
      <protection locked="0"/>
    </xf>
    <xf numFmtId="179" fontId="6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FB41EA92-1642-2AE8-E9CC-45986E0586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414401</xdr:colOff>
      <xdr:row>0</xdr:row>
      <xdr:rowOff>452628</xdr:rowOff>
    </xdr:from>
    <xdr:to>
      <xdr:col>8</xdr:col>
      <xdr:colOff>381</xdr:colOff>
      <xdr:row>0</xdr:row>
      <xdr:rowOff>871728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C22DB805-C25F-DCF0-6C48-BA5987E0D369}"/>
            </a:ext>
          </a:extLst>
        </xdr:cNvPr>
        <xdr:cNvSpPr txBox="1"/>
      </xdr:nvSpPr>
      <xdr:spPr>
        <a:xfrm>
          <a:off x="4209161" y="452628"/>
          <a:ext cx="850900" cy="4191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F73BF84A-AF7A-4435-887B-1CF68B4B5747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475742</xdr:colOff>
      <xdr:row>0</xdr:row>
      <xdr:rowOff>452628</xdr:rowOff>
    </xdr:from>
    <xdr:to>
      <xdr:col>10</xdr:col>
      <xdr:colOff>493522</xdr:colOff>
      <xdr:row>0</xdr:row>
      <xdr:rowOff>871728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0EA3B2BB-16C8-1A7D-C652-CAAF219BC358}"/>
            </a:ext>
          </a:extLst>
        </xdr:cNvPr>
        <xdr:cNvSpPr txBox="1"/>
      </xdr:nvSpPr>
      <xdr:spPr>
        <a:xfrm>
          <a:off x="5535422" y="452628"/>
          <a:ext cx="1282700" cy="419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DD539E1C-8D84-4DDB-90BB-85BB93934007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1279398</xdr:rowOff>
    </xdr:from>
    <xdr:to>
      <xdr:col>5</xdr:col>
      <xdr:colOff>342011</xdr:colOff>
      <xdr:row>0</xdr:row>
      <xdr:rowOff>1685798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F512BF2F-FFB9-DB58-10B7-C444D908BE24}"/>
            </a:ext>
          </a:extLst>
        </xdr:cNvPr>
        <xdr:cNvSpPr txBox="1"/>
      </xdr:nvSpPr>
      <xdr:spPr>
        <a:xfrm>
          <a:off x="3085211" y="1279398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D85E557-75C0-446C-87DF-0EAFD56AB09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1797558</xdr:rowOff>
    </xdr:from>
    <xdr:to>
      <xdr:col>5</xdr:col>
      <xdr:colOff>342011</xdr:colOff>
      <xdr:row>0</xdr:row>
      <xdr:rowOff>2203958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84DE904E-DF16-FCA0-232E-B9BD1BB92C92}"/>
            </a:ext>
          </a:extLst>
        </xdr:cNvPr>
        <xdr:cNvSpPr txBox="1"/>
      </xdr:nvSpPr>
      <xdr:spPr>
        <a:xfrm>
          <a:off x="3085211" y="1797558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78BC523-9EB1-4DEE-99C8-DFDAA3A763D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2315972</xdr:rowOff>
    </xdr:from>
    <xdr:to>
      <xdr:col>5</xdr:col>
      <xdr:colOff>342011</xdr:colOff>
      <xdr:row>0</xdr:row>
      <xdr:rowOff>2722372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F2128219-8219-9979-7554-76B6989DF26D}"/>
            </a:ext>
          </a:extLst>
        </xdr:cNvPr>
        <xdr:cNvSpPr txBox="1"/>
      </xdr:nvSpPr>
      <xdr:spPr>
        <a:xfrm>
          <a:off x="3085211" y="2315972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8307528-ECF8-4635-AD5A-881D4C16739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2834132</xdr:rowOff>
    </xdr:from>
    <xdr:to>
      <xdr:col>5</xdr:col>
      <xdr:colOff>342011</xdr:colOff>
      <xdr:row>0</xdr:row>
      <xdr:rowOff>3240532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B0B59B88-0348-A1B5-F949-1874B32B7A89}"/>
            </a:ext>
          </a:extLst>
        </xdr:cNvPr>
        <xdr:cNvSpPr txBox="1"/>
      </xdr:nvSpPr>
      <xdr:spPr>
        <a:xfrm>
          <a:off x="3085211" y="2834132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278C64C-0B69-4590-B14A-7C62A7BBBA6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1279398</xdr:rowOff>
    </xdr:from>
    <xdr:to>
      <xdr:col>10</xdr:col>
      <xdr:colOff>464566</xdr:colOff>
      <xdr:row>0</xdr:row>
      <xdr:rowOff>1685798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A615DFE9-428A-E0A9-7CFC-B4D4F6BCA1D5}"/>
            </a:ext>
          </a:extLst>
        </xdr:cNvPr>
        <xdr:cNvSpPr txBox="1"/>
      </xdr:nvSpPr>
      <xdr:spPr>
        <a:xfrm>
          <a:off x="6179566" y="1279398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D90EF5-F06C-4DBE-8F64-289E2BC7BEE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1797558</xdr:rowOff>
    </xdr:from>
    <xdr:to>
      <xdr:col>10</xdr:col>
      <xdr:colOff>464566</xdr:colOff>
      <xdr:row>0</xdr:row>
      <xdr:rowOff>2203958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27BEC95F-47FF-8CA6-1998-C69F9583E1FA}"/>
            </a:ext>
          </a:extLst>
        </xdr:cNvPr>
        <xdr:cNvSpPr txBox="1"/>
      </xdr:nvSpPr>
      <xdr:spPr>
        <a:xfrm>
          <a:off x="6179566" y="1797558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91ED1C7-9908-4032-B964-2295947C2BC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2315972</xdr:rowOff>
    </xdr:from>
    <xdr:to>
      <xdr:col>10</xdr:col>
      <xdr:colOff>464566</xdr:colOff>
      <xdr:row>0</xdr:row>
      <xdr:rowOff>2722372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D57102D6-011A-C7A1-7B18-7D3E541C6F3C}"/>
            </a:ext>
          </a:extLst>
        </xdr:cNvPr>
        <xdr:cNvSpPr txBox="1"/>
      </xdr:nvSpPr>
      <xdr:spPr>
        <a:xfrm>
          <a:off x="6179566" y="2315972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78BC02E-4603-4E16-95FB-0AE2BD25C21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2834132</xdr:rowOff>
    </xdr:from>
    <xdr:to>
      <xdr:col>10</xdr:col>
      <xdr:colOff>464566</xdr:colOff>
      <xdr:row>0</xdr:row>
      <xdr:rowOff>3240532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56AEB830-5F82-1728-B8AE-F24F8731A0CD}"/>
            </a:ext>
          </a:extLst>
        </xdr:cNvPr>
        <xdr:cNvSpPr txBox="1"/>
      </xdr:nvSpPr>
      <xdr:spPr>
        <a:xfrm>
          <a:off x="6179566" y="2834132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7C3F600-00DC-4E13-BC14-E2805EA30D6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3522980</xdr:rowOff>
    </xdr:from>
    <xdr:to>
      <xdr:col>5</xdr:col>
      <xdr:colOff>545211</xdr:colOff>
      <xdr:row>1</xdr:row>
      <xdr:rowOff>269240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2EC964E4-0254-5B21-DD05-3D7FE6104104}"/>
            </a:ext>
          </a:extLst>
        </xdr:cNvPr>
        <xdr:cNvSpPr txBox="1"/>
      </xdr:nvSpPr>
      <xdr:spPr>
        <a:xfrm>
          <a:off x="3085211" y="3522980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5275BFE-EEE6-4E06-B9E7-398EC648524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379349</xdr:rowOff>
    </xdr:from>
    <xdr:to>
      <xdr:col>5</xdr:col>
      <xdr:colOff>545211</xdr:colOff>
      <xdr:row>1</xdr:row>
      <xdr:rowOff>684149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1EBC24D0-5FB7-2D7E-BC46-4F0950F7270C}"/>
            </a:ext>
          </a:extLst>
        </xdr:cNvPr>
        <xdr:cNvSpPr txBox="1"/>
      </xdr:nvSpPr>
      <xdr:spPr>
        <a:xfrm>
          <a:off x="3085211" y="393788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8DEA6DA-CAC7-43A6-B30C-81E24343DAB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793877</xdr:rowOff>
    </xdr:from>
    <xdr:to>
      <xdr:col>5</xdr:col>
      <xdr:colOff>545211</xdr:colOff>
      <xdr:row>1</xdr:row>
      <xdr:rowOff>1098677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EFE22941-9A03-1278-2553-F9B34989C5E4}"/>
            </a:ext>
          </a:extLst>
        </xdr:cNvPr>
        <xdr:cNvSpPr txBox="1"/>
      </xdr:nvSpPr>
      <xdr:spPr>
        <a:xfrm>
          <a:off x="3085211" y="4352417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EBCD341-7091-4975-A5DC-521DA0D0D74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1208405</xdr:rowOff>
    </xdr:from>
    <xdr:to>
      <xdr:col>5</xdr:col>
      <xdr:colOff>545211</xdr:colOff>
      <xdr:row>1</xdr:row>
      <xdr:rowOff>1932305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2C0B66EC-24C5-A726-AF9A-3F67ED4D0A22}"/>
            </a:ext>
          </a:extLst>
        </xdr:cNvPr>
        <xdr:cNvSpPr txBox="1"/>
      </xdr:nvSpPr>
      <xdr:spPr>
        <a:xfrm>
          <a:off x="3085211" y="4766945"/>
          <a:ext cx="622300" cy="723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1E60EDA-FFEA-4896-A3DD-CBB6D9F187B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2037461</xdr:rowOff>
    </xdr:from>
    <xdr:to>
      <xdr:col>5</xdr:col>
      <xdr:colOff>545211</xdr:colOff>
      <xdr:row>1</xdr:row>
      <xdr:rowOff>2240661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422197C5-119C-476D-DB4E-12F7321ACA37}"/>
            </a:ext>
          </a:extLst>
        </xdr:cNvPr>
        <xdr:cNvSpPr txBox="1"/>
      </xdr:nvSpPr>
      <xdr:spPr>
        <a:xfrm>
          <a:off x="3085211" y="5596001"/>
          <a:ext cx="6223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4CE9ED4-CB03-438A-897E-51783A6F071E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2348611</xdr:rowOff>
    </xdr:from>
    <xdr:to>
      <xdr:col>5</xdr:col>
      <xdr:colOff>545211</xdr:colOff>
      <xdr:row>1</xdr:row>
      <xdr:rowOff>2653411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8BA382A3-ADA0-0E59-0EE6-DA9A3E4E2252}"/>
            </a:ext>
          </a:extLst>
        </xdr:cNvPr>
        <xdr:cNvSpPr txBox="1"/>
      </xdr:nvSpPr>
      <xdr:spPr>
        <a:xfrm>
          <a:off x="3085211" y="5907151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247EFB7-C436-4508-996E-2AFB4BC72EA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2763139</xdr:rowOff>
    </xdr:from>
    <xdr:to>
      <xdr:col>5</xdr:col>
      <xdr:colOff>545211</xdr:colOff>
      <xdr:row>1</xdr:row>
      <xdr:rowOff>3169539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3A0B9188-F601-A330-B247-E369EABEB3AF}"/>
            </a:ext>
          </a:extLst>
        </xdr:cNvPr>
        <xdr:cNvSpPr txBox="1"/>
      </xdr:nvSpPr>
      <xdr:spPr>
        <a:xfrm>
          <a:off x="3085211" y="6321679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300684E-38F4-43D1-AB53-4D204683382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3281299</xdr:rowOff>
    </xdr:from>
    <xdr:to>
      <xdr:col>5</xdr:col>
      <xdr:colOff>545211</xdr:colOff>
      <xdr:row>2</xdr:row>
      <xdr:rowOff>27559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1CAC862A-6270-C558-B58B-31BD97E6938D}"/>
            </a:ext>
          </a:extLst>
        </xdr:cNvPr>
        <xdr:cNvSpPr txBox="1"/>
      </xdr:nvSpPr>
      <xdr:spPr>
        <a:xfrm>
          <a:off x="3085211" y="683983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D42D2B-2E95-4BC6-929B-43B7246B7D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137287</xdr:rowOff>
    </xdr:from>
    <xdr:to>
      <xdr:col>5</xdr:col>
      <xdr:colOff>545211</xdr:colOff>
      <xdr:row>2</xdr:row>
      <xdr:rowOff>442087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0E71F24D-1C24-0501-B2DB-8035EC44D525}"/>
            </a:ext>
          </a:extLst>
        </xdr:cNvPr>
        <xdr:cNvSpPr txBox="1"/>
      </xdr:nvSpPr>
      <xdr:spPr>
        <a:xfrm>
          <a:off x="3085211" y="7254367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098C0E8-FD5C-4F0C-B72D-925872ACB1E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552196</xdr:rowOff>
    </xdr:from>
    <xdr:to>
      <xdr:col>5</xdr:col>
      <xdr:colOff>545211</xdr:colOff>
      <xdr:row>2</xdr:row>
      <xdr:rowOff>856996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7654495E-30DF-E45D-BA06-40763E1B2484}"/>
            </a:ext>
          </a:extLst>
        </xdr:cNvPr>
        <xdr:cNvSpPr txBox="1"/>
      </xdr:nvSpPr>
      <xdr:spPr>
        <a:xfrm>
          <a:off x="3085211" y="7669276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D019E8-B78D-492F-B5D8-9DFCFB98808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966724</xdr:rowOff>
    </xdr:from>
    <xdr:to>
      <xdr:col>5</xdr:col>
      <xdr:colOff>545211</xdr:colOff>
      <xdr:row>2</xdr:row>
      <xdr:rowOff>1271524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9FC9AD40-2843-CDD6-DE20-B17F91DF6C9D}"/>
            </a:ext>
          </a:extLst>
        </xdr:cNvPr>
        <xdr:cNvSpPr txBox="1"/>
      </xdr:nvSpPr>
      <xdr:spPr>
        <a:xfrm>
          <a:off x="3085211" y="8083804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00729C9-9F3E-4AF2-AB88-1B4155D6E17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1381252</xdr:rowOff>
    </xdr:from>
    <xdr:to>
      <xdr:col>5</xdr:col>
      <xdr:colOff>545211</xdr:colOff>
      <xdr:row>2</xdr:row>
      <xdr:rowOff>1686052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31CE1F8E-EE70-A8FB-51E9-86493DDFA228}"/>
            </a:ext>
          </a:extLst>
        </xdr:cNvPr>
        <xdr:cNvSpPr txBox="1"/>
      </xdr:nvSpPr>
      <xdr:spPr>
        <a:xfrm>
          <a:off x="3085211" y="8498332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2F3D174-B02C-4100-A519-64B7BFF7449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1795780</xdr:rowOff>
    </xdr:from>
    <xdr:to>
      <xdr:col>5</xdr:col>
      <xdr:colOff>342011</xdr:colOff>
      <xdr:row>2</xdr:row>
      <xdr:rowOff>2100580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A76AD0B0-0893-4561-8D80-DA466CD347AB}"/>
            </a:ext>
          </a:extLst>
        </xdr:cNvPr>
        <xdr:cNvSpPr txBox="1"/>
      </xdr:nvSpPr>
      <xdr:spPr>
        <a:xfrm>
          <a:off x="3085211" y="8912860"/>
          <a:ext cx="4191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D6B8685-0072-46CA-93EC-28C1703B1E7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3522980</xdr:rowOff>
    </xdr:from>
    <xdr:to>
      <xdr:col>10</xdr:col>
      <xdr:colOff>464566</xdr:colOff>
      <xdr:row>1</xdr:row>
      <xdr:rowOff>789940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49728707-01C3-65F1-012B-798385A15523}"/>
            </a:ext>
          </a:extLst>
        </xdr:cNvPr>
        <xdr:cNvSpPr txBox="1"/>
      </xdr:nvSpPr>
      <xdr:spPr>
        <a:xfrm>
          <a:off x="6179566" y="3522980"/>
          <a:ext cx="609600" cy="825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CD4D6B-7334-426C-8FF1-AF08D4B8DCB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897509</xdr:rowOff>
    </xdr:from>
    <xdr:to>
      <xdr:col>10</xdr:col>
      <xdr:colOff>464566</xdr:colOff>
      <xdr:row>1</xdr:row>
      <xdr:rowOff>2142109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25A374D6-8C11-FE4B-3AB3-945AEC50E56C}"/>
            </a:ext>
          </a:extLst>
        </xdr:cNvPr>
        <xdr:cNvSpPr txBox="1"/>
      </xdr:nvSpPr>
      <xdr:spPr>
        <a:xfrm>
          <a:off x="6179566" y="4456049"/>
          <a:ext cx="609600" cy="1244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991E63-0D34-4258-8E93-48FEBD29724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2244979</xdr:rowOff>
    </xdr:from>
    <xdr:to>
      <xdr:col>10</xdr:col>
      <xdr:colOff>464566</xdr:colOff>
      <xdr:row>1</xdr:row>
      <xdr:rowOff>2867279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A4220A3A-4325-AA3D-A271-EB8F5C222CDE}"/>
            </a:ext>
          </a:extLst>
        </xdr:cNvPr>
        <xdr:cNvSpPr txBox="1"/>
      </xdr:nvSpPr>
      <xdr:spPr>
        <a:xfrm>
          <a:off x="6179566" y="5803519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F7A224D-FCB8-436A-9DA5-06CFA65292C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2970403</xdr:rowOff>
    </xdr:from>
    <xdr:to>
      <xdr:col>10</xdr:col>
      <xdr:colOff>464566</xdr:colOff>
      <xdr:row>2</xdr:row>
      <xdr:rowOff>34163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4AEB04F0-50B8-E474-6EE7-0E5AC411C7AE}"/>
            </a:ext>
          </a:extLst>
        </xdr:cNvPr>
        <xdr:cNvSpPr txBox="1"/>
      </xdr:nvSpPr>
      <xdr:spPr>
        <a:xfrm>
          <a:off x="6179566" y="6528943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DEB9902-5D46-4317-9536-E6D625149B3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137287</xdr:rowOff>
    </xdr:from>
    <xdr:to>
      <xdr:col>10</xdr:col>
      <xdr:colOff>464566</xdr:colOff>
      <xdr:row>2</xdr:row>
      <xdr:rowOff>759587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3E777373-8629-7FD9-1FAE-87D50D7B99B8}"/>
            </a:ext>
          </a:extLst>
        </xdr:cNvPr>
        <xdr:cNvSpPr txBox="1"/>
      </xdr:nvSpPr>
      <xdr:spPr>
        <a:xfrm>
          <a:off x="6179566" y="7254367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EBFE582-CECF-4CF6-9129-263AA55814F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863092</xdr:rowOff>
    </xdr:from>
    <xdr:to>
      <xdr:col>10</xdr:col>
      <xdr:colOff>464566</xdr:colOff>
      <xdr:row>2</xdr:row>
      <xdr:rowOff>1485392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C021A1BB-D4D1-0FF2-83A5-619D1C96CBA4}"/>
            </a:ext>
          </a:extLst>
        </xdr:cNvPr>
        <xdr:cNvSpPr txBox="1"/>
      </xdr:nvSpPr>
      <xdr:spPr>
        <a:xfrm>
          <a:off x="6179566" y="7980172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0B2621C-E93E-460A-8F44-A2B3E353F6C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1588516</xdr:rowOff>
    </xdr:from>
    <xdr:to>
      <xdr:col>10</xdr:col>
      <xdr:colOff>464566</xdr:colOff>
      <xdr:row>2</xdr:row>
      <xdr:rowOff>2096516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4A329354-C53F-2848-38F0-4A8C33B4AE12}"/>
            </a:ext>
          </a:extLst>
        </xdr:cNvPr>
        <xdr:cNvSpPr txBox="1"/>
      </xdr:nvSpPr>
      <xdr:spPr>
        <a:xfrm>
          <a:off x="6179566" y="8705596"/>
          <a:ext cx="609600" cy="508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2BF65B-AA7C-4306-B24E-2A4A1FC0E72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3510280</xdr:rowOff>
    </xdr:from>
    <xdr:to>
      <xdr:col>5</xdr:col>
      <xdr:colOff>519811</xdr:colOff>
      <xdr:row>1</xdr:row>
      <xdr:rowOff>53340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563EC76D-C18B-6153-400C-4C99B6C28D99}"/>
            </a:ext>
          </a:extLst>
        </xdr:cNvPr>
        <xdr:cNvSpPr txBox="1"/>
      </xdr:nvSpPr>
      <xdr:spPr>
        <a:xfrm>
          <a:off x="3085211" y="3510280"/>
          <a:ext cx="5969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8121CE94-5CB5-4B26-8319-ED6549D9D415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6C11E768-09BE-F81D-E43E-B97F7E9540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464693</xdr:colOff>
      <xdr:row>0</xdr:row>
      <xdr:rowOff>460248</xdr:rowOff>
    </xdr:from>
    <xdr:to>
      <xdr:col>8</xdr:col>
      <xdr:colOff>50673</xdr:colOff>
      <xdr:row>0</xdr:row>
      <xdr:rowOff>892048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7467C865-EBF5-ADEF-8AAC-AEBE41ADA530}"/>
            </a:ext>
          </a:extLst>
        </xdr:cNvPr>
        <xdr:cNvSpPr txBox="1"/>
      </xdr:nvSpPr>
      <xdr:spPr>
        <a:xfrm>
          <a:off x="4259453" y="460248"/>
          <a:ext cx="850900" cy="4318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813FDE6B-1857-41B0-A0BF-503251E224E7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526034</xdr:colOff>
      <xdr:row>0</xdr:row>
      <xdr:rowOff>460248</xdr:rowOff>
    </xdr:from>
    <xdr:to>
      <xdr:col>10</xdr:col>
      <xdr:colOff>454914</xdr:colOff>
      <xdr:row>0</xdr:row>
      <xdr:rowOff>892048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DBA14212-BE7C-4901-9D6C-4CFA3F56C1F7}"/>
            </a:ext>
          </a:extLst>
        </xdr:cNvPr>
        <xdr:cNvSpPr txBox="1"/>
      </xdr:nvSpPr>
      <xdr:spPr>
        <a:xfrm>
          <a:off x="5585714" y="460248"/>
          <a:ext cx="1193800" cy="431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6C43D7A3-A371-4D40-B4B5-F8A7B396299C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955421</xdr:rowOff>
    </xdr:from>
    <xdr:to>
      <xdr:col>5</xdr:col>
      <xdr:colOff>594995</xdr:colOff>
      <xdr:row>0</xdr:row>
      <xdr:rowOff>1336421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4865943F-AB84-E71D-3AF8-4A2261F60538}"/>
            </a:ext>
          </a:extLst>
        </xdr:cNvPr>
        <xdr:cNvSpPr txBox="1"/>
      </xdr:nvSpPr>
      <xdr:spPr>
        <a:xfrm>
          <a:off x="3223895" y="95542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50E06AD-02D3-4E96-B56A-D2D7B171C77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1445514</xdr:rowOff>
    </xdr:from>
    <xdr:to>
      <xdr:col>5</xdr:col>
      <xdr:colOff>594995</xdr:colOff>
      <xdr:row>0</xdr:row>
      <xdr:rowOff>1826514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8F2C2579-FD9B-D5AA-8034-A7A67EC002D6}"/>
            </a:ext>
          </a:extLst>
        </xdr:cNvPr>
        <xdr:cNvSpPr txBox="1"/>
      </xdr:nvSpPr>
      <xdr:spPr>
        <a:xfrm>
          <a:off x="3223895" y="1445514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44CDC4B-B816-4DFB-B833-AEA45FBD59C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1927352</xdr:rowOff>
    </xdr:from>
    <xdr:to>
      <xdr:col>5</xdr:col>
      <xdr:colOff>594995</xdr:colOff>
      <xdr:row>0</xdr:row>
      <xdr:rowOff>2308352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571CA05E-F0EC-987A-C502-730771A47FE3}"/>
            </a:ext>
          </a:extLst>
        </xdr:cNvPr>
        <xdr:cNvSpPr txBox="1"/>
      </xdr:nvSpPr>
      <xdr:spPr>
        <a:xfrm>
          <a:off x="3223895" y="1927352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6934342-0ACF-4D68-804F-5847CE6F0FF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2408936</xdr:rowOff>
    </xdr:from>
    <xdr:to>
      <xdr:col>5</xdr:col>
      <xdr:colOff>594995</xdr:colOff>
      <xdr:row>0</xdr:row>
      <xdr:rowOff>2789936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0166299A-78B0-64CD-40DB-49EB5F28D4E6}"/>
            </a:ext>
          </a:extLst>
        </xdr:cNvPr>
        <xdr:cNvSpPr txBox="1"/>
      </xdr:nvSpPr>
      <xdr:spPr>
        <a:xfrm>
          <a:off x="3223895" y="2408936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1FBD1D8-3B33-4CE1-91F0-8CABE4416A3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2890520</xdr:rowOff>
    </xdr:from>
    <xdr:to>
      <xdr:col>5</xdr:col>
      <xdr:colOff>594995</xdr:colOff>
      <xdr:row>0</xdr:row>
      <xdr:rowOff>3271520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9710FA8A-AD70-CD21-F454-A99C80D87DD7}"/>
            </a:ext>
          </a:extLst>
        </xdr:cNvPr>
        <xdr:cNvSpPr txBox="1"/>
      </xdr:nvSpPr>
      <xdr:spPr>
        <a:xfrm>
          <a:off x="3223895" y="2890520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CAC62F8-919D-4BE7-BBA3-8119690E61A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3372104</xdr:rowOff>
    </xdr:from>
    <xdr:to>
      <xdr:col>5</xdr:col>
      <xdr:colOff>594995</xdr:colOff>
      <xdr:row>1</xdr:row>
      <xdr:rowOff>194564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40F81954-89AF-D472-0B15-DE7910AC6DB9}"/>
            </a:ext>
          </a:extLst>
        </xdr:cNvPr>
        <xdr:cNvSpPr txBox="1"/>
      </xdr:nvSpPr>
      <xdr:spPr>
        <a:xfrm>
          <a:off x="3223895" y="3372104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F004514-04B6-41B5-BA10-9793987EA6A2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295529</xdr:rowOff>
    </xdr:from>
    <xdr:to>
      <xdr:col>5</xdr:col>
      <xdr:colOff>594995</xdr:colOff>
      <xdr:row>1</xdr:row>
      <xdr:rowOff>676529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3CD7521A-FA63-D359-DB1A-2A9E1D777E16}"/>
            </a:ext>
          </a:extLst>
        </xdr:cNvPr>
        <xdr:cNvSpPr txBox="1"/>
      </xdr:nvSpPr>
      <xdr:spPr>
        <a:xfrm>
          <a:off x="3223895" y="3854069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0BFB579-A51D-42E1-AF7D-5F49F4B050C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777113</xdr:rowOff>
    </xdr:from>
    <xdr:to>
      <xdr:col>5</xdr:col>
      <xdr:colOff>594995</xdr:colOff>
      <xdr:row>1</xdr:row>
      <xdr:rowOff>1158113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BDD4D27F-4D32-3F01-53B8-359747BA2367}"/>
            </a:ext>
          </a:extLst>
        </xdr:cNvPr>
        <xdr:cNvSpPr txBox="1"/>
      </xdr:nvSpPr>
      <xdr:spPr>
        <a:xfrm>
          <a:off x="3223895" y="4335653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E8FB7AE-A30A-40C8-92E7-CAD89071CD5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1258697</xdr:rowOff>
    </xdr:from>
    <xdr:to>
      <xdr:col>5</xdr:col>
      <xdr:colOff>594995</xdr:colOff>
      <xdr:row>1</xdr:row>
      <xdr:rowOff>1639697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1A6B40CE-1E56-6083-2EA9-5D39F0A29206}"/>
            </a:ext>
          </a:extLst>
        </xdr:cNvPr>
        <xdr:cNvSpPr txBox="1"/>
      </xdr:nvSpPr>
      <xdr:spPr>
        <a:xfrm>
          <a:off x="3223895" y="4817237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A1DDE2E-C999-491F-88D8-AF425F5E1FB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1740281</xdr:rowOff>
    </xdr:from>
    <xdr:to>
      <xdr:col>5</xdr:col>
      <xdr:colOff>594995</xdr:colOff>
      <xdr:row>1</xdr:row>
      <xdr:rowOff>2121281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3912C670-0D27-8F2D-53C6-6D3CCCD2B6AB}"/>
            </a:ext>
          </a:extLst>
        </xdr:cNvPr>
        <xdr:cNvSpPr txBox="1"/>
      </xdr:nvSpPr>
      <xdr:spPr>
        <a:xfrm>
          <a:off x="3223895" y="529882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7DEA808-5BA1-45BF-AD82-D55E88116D9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2222119</xdr:rowOff>
    </xdr:from>
    <xdr:to>
      <xdr:col>5</xdr:col>
      <xdr:colOff>594995</xdr:colOff>
      <xdr:row>1</xdr:row>
      <xdr:rowOff>2603119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589CC9B2-C6E7-599B-4F0E-702EB253A8EE}"/>
            </a:ext>
          </a:extLst>
        </xdr:cNvPr>
        <xdr:cNvSpPr txBox="1"/>
      </xdr:nvSpPr>
      <xdr:spPr>
        <a:xfrm>
          <a:off x="3223895" y="5780659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52E8C04-670E-4A50-B8AD-991A223AF04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2703703</xdr:rowOff>
    </xdr:from>
    <xdr:to>
      <xdr:col>5</xdr:col>
      <xdr:colOff>594995</xdr:colOff>
      <xdr:row>1</xdr:row>
      <xdr:rowOff>3084703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1571BF1B-B1CC-039A-F887-6FD41AE8E81C}"/>
            </a:ext>
          </a:extLst>
        </xdr:cNvPr>
        <xdr:cNvSpPr txBox="1"/>
      </xdr:nvSpPr>
      <xdr:spPr>
        <a:xfrm>
          <a:off x="3223895" y="6262243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98DD0E-36EB-47EA-9FF1-98E81DFA2A7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3185287</xdr:rowOff>
    </xdr:from>
    <xdr:to>
      <xdr:col>5</xdr:col>
      <xdr:colOff>594995</xdr:colOff>
      <xdr:row>2</xdr:row>
      <xdr:rowOff>7747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321DBC1C-6091-45C8-187C-CCD4E7AB3687}"/>
            </a:ext>
          </a:extLst>
        </xdr:cNvPr>
        <xdr:cNvSpPr txBox="1"/>
      </xdr:nvSpPr>
      <xdr:spPr>
        <a:xfrm>
          <a:off x="3223895" y="6743827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C762799-B0EF-4CA8-95EB-83A9BE8DD37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108331</xdr:rowOff>
    </xdr:from>
    <xdr:to>
      <xdr:col>5</xdr:col>
      <xdr:colOff>594995</xdr:colOff>
      <xdr:row>2</xdr:row>
      <xdr:rowOff>489331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44AD315B-C1D0-3783-4AE5-A2DFFDA9C4D7}"/>
            </a:ext>
          </a:extLst>
        </xdr:cNvPr>
        <xdr:cNvSpPr txBox="1"/>
      </xdr:nvSpPr>
      <xdr:spPr>
        <a:xfrm>
          <a:off x="3223895" y="722541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6AE3B94-5619-4D8F-8683-DB6D443CC1A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590296</xdr:rowOff>
    </xdr:from>
    <xdr:to>
      <xdr:col>5</xdr:col>
      <xdr:colOff>594995</xdr:colOff>
      <xdr:row>2</xdr:row>
      <xdr:rowOff>971296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10DA88F4-DFE3-D15E-AC63-DF09DAB5BF4A}"/>
            </a:ext>
          </a:extLst>
        </xdr:cNvPr>
        <xdr:cNvSpPr txBox="1"/>
      </xdr:nvSpPr>
      <xdr:spPr>
        <a:xfrm>
          <a:off x="3223895" y="7707376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048D4B8-08C5-4959-8588-5C3BDA1B837A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1071880</xdr:rowOff>
    </xdr:from>
    <xdr:to>
      <xdr:col>5</xdr:col>
      <xdr:colOff>594995</xdr:colOff>
      <xdr:row>2</xdr:row>
      <xdr:rowOff>1440180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A1B9E6A8-B727-ADA9-DEC3-1DAB1EEEFD63}"/>
            </a:ext>
          </a:extLst>
        </xdr:cNvPr>
        <xdr:cNvSpPr txBox="1"/>
      </xdr:nvSpPr>
      <xdr:spPr>
        <a:xfrm>
          <a:off x="3223895" y="8188960"/>
          <a:ext cx="5334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0916CB6-4012-46E1-BFA8-E00797C455D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955421</xdr:rowOff>
    </xdr:from>
    <xdr:to>
      <xdr:col>10</xdr:col>
      <xdr:colOff>425958</xdr:colOff>
      <xdr:row>0</xdr:row>
      <xdr:rowOff>1336421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BE8EC02B-7821-8858-B985-23A42CC3BD7D}"/>
            </a:ext>
          </a:extLst>
        </xdr:cNvPr>
        <xdr:cNvSpPr txBox="1"/>
      </xdr:nvSpPr>
      <xdr:spPr>
        <a:xfrm>
          <a:off x="6229858" y="95542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99D085B-9527-445F-A6FB-5A222ED4C153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1445514</xdr:rowOff>
    </xdr:from>
    <xdr:to>
      <xdr:col>10</xdr:col>
      <xdr:colOff>425958</xdr:colOff>
      <xdr:row>0</xdr:row>
      <xdr:rowOff>1826514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090A98F0-704E-F3BD-DC94-9F52D459BAEF}"/>
            </a:ext>
          </a:extLst>
        </xdr:cNvPr>
        <xdr:cNvSpPr txBox="1"/>
      </xdr:nvSpPr>
      <xdr:spPr>
        <a:xfrm>
          <a:off x="6229858" y="1445514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0D8DA6E-5504-4CE4-83A7-BACA40FC250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1927352</xdr:rowOff>
    </xdr:from>
    <xdr:to>
      <xdr:col>10</xdr:col>
      <xdr:colOff>425958</xdr:colOff>
      <xdr:row>0</xdr:row>
      <xdr:rowOff>2308352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2EF08172-5B92-D9AD-46C7-16488A0F0EFE}"/>
            </a:ext>
          </a:extLst>
        </xdr:cNvPr>
        <xdr:cNvSpPr txBox="1"/>
      </xdr:nvSpPr>
      <xdr:spPr>
        <a:xfrm>
          <a:off x="6229858" y="1927352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9B5743-20D9-4DFF-A6BE-D818673F163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2408936</xdr:rowOff>
    </xdr:from>
    <xdr:to>
      <xdr:col>10</xdr:col>
      <xdr:colOff>425958</xdr:colOff>
      <xdr:row>0</xdr:row>
      <xdr:rowOff>2789936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EEABB9D1-ABA7-C2A2-BFAB-B447F695AC2E}"/>
            </a:ext>
          </a:extLst>
        </xdr:cNvPr>
        <xdr:cNvSpPr txBox="1"/>
      </xdr:nvSpPr>
      <xdr:spPr>
        <a:xfrm>
          <a:off x="6229858" y="2408936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947A117-B6D8-438F-9E83-BFE6495934D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2890520</xdr:rowOff>
    </xdr:from>
    <xdr:to>
      <xdr:col>10</xdr:col>
      <xdr:colOff>425958</xdr:colOff>
      <xdr:row>0</xdr:row>
      <xdr:rowOff>3271520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5397EA66-748C-F6A3-2D7A-98465DA7FE27}"/>
            </a:ext>
          </a:extLst>
        </xdr:cNvPr>
        <xdr:cNvSpPr txBox="1"/>
      </xdr:nvSpPr>
      <xdr:spPr>
        <a:xfrm>
          <a:off x="6229858" y="2890520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94B9443-7EA7-4BFA-B979-2990F24768E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3372104</xdr:rowOff>
    </xdr:from>
    <xdr:to>
      <xdr:col>10</xdr:col>
      <xdr:colOff>425958</xdr:colOff>
      <xdr:row>1</xdr:row>
      <xdr:rowOff>194564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8F1DEFC6-68F2-DF3B-0594-51F86A55246C}"/>
            </a:ext>
          </a:extLst>
        </xdr:cNvPr>
        <xdr:cNvSpPr txBox="1"/>
      </xdr:nvSpPr>
      <xdr:spPr>
        <a:xfrm>
          <a:off x="6229858" y="3372104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7788D5B-6991-4904-A72B-D0CFF937F46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295529</xdr:rowOff>
    </xdr:from>
    <xdr:to>
      <xdr:col>10</xdr:col>
      <xdr:colOff>425958</xdr:colOff>
      <xdr:row>1</xdr:row>
      <xdr:rowOff>676529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5AEE2B01-E04F-8AC4-9E37-09622D1C5FB8}"/>
            </a:ext>
          </a:extLst>
        </xdr:cNvPr>
        <xdr:cNvSpPr txBox="1"/>
      </xdr:nvSpPr>
      <xdr:spPr>
        <a:xfrm>
          <a:off x="6229858" y="3854069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B4FDD56-03D8-4A78-8FDD-D7EDAEB268C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777113</xdr:rowOff>
    </xdr:from>
    <xdr:to>
      <xdr:col>10</xdr:col>
      <xdr:colOff>425958</xdr:colOff>
      <xdr:row>1</xdr:row>
      <xdr:rowOff>1158113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35D5F9BB-7E0A-83FC-FAA3-B6BA197EBFDD}"/>
            </a:ext>
          </a:extLst>
        </xdr:cNvPr>
        <xdr:cNvSpPr txBox="1"/>
      </xdr:nvSpPr>
      <xdr:spPr>
        <a:xfrm>
          <a:off x="6229858" y="4335653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A0BB8A7-00EA-42ED-B998-C41DA71353E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1258697</xdr:rowOff>
    </xdr:from>
    <xdr:to>
      <xdr:col>10</xdr:col>
      <xdr:colOff>425958</xdr:colOff>
      <xdr:row>1</xdr:row>
      <xdr:rowOff>1639697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9131BFD5-82A5-AC9C-462E-274DC0B9B094}"/>
            </a:ext>
          </a:extLst>
        </xdr:cNvPr>
        <xdr:cNvSpPr txBox="1"/>
      </xdr:nvSpPr>
      <xdr:spPr>
        <a:xfrm>
          <a:off x="6229858" y="4817237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F5A4091-85AF-44B5-9412-EC9010034F72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1740281</xdr:rowOff>
    </xdr:from>
    <xdr:to>
      <xdr:col>10</xdr:col>
      <xdr:colOff>425958</xdr:colOff>
      <xdr:row>1</xdr:row>
      <xdr:rowOff>2121281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F4D83BB0-D0DF-C64B-8220-FC5A174526A3}"/>
            </a:ext>
          </a:extLst>
        </xdr:cNvPr>
        <xdr:cNvSpPr txBox="1"/>
      </xdr:nvSpPr>
      <xdr:spPr>
        <a:xfrm>
          <a:off x="6229858" y="529882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67BC33-0127-477F-A2A4-27394442E2A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2222119</xdr:rowOff>
    </xdr:from>
    <xdr:to>
      <xdr:col>10</xdr:col>
      <xdr:colOff>425958</xdr:colOff>
      <xdr:row>1</xdr:row>
      <xdr:rowOff>2603119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872F2AAE-D089-EE1C-7BC8-461A37FEBFC8}"/>
            </a:ext>
          </a:extLst>
        </xdr:cNvPr>
        <xdr:cNvSpPr txBox="1"/>
      </xdr:nvSpPr>
      <xdr:spPr>
        <a:xfrm>
          <a:off x="6229858" y="5780659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98D470-02D8-4C5A-A988-92F12E1C849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2703703</xdr:rowOff>
    </xdr:from>
    <xdr:to>
      <xdr:col>10</xdr:col>
      <xdr:colOff>425958</xdr:colOff>
      <xdr:row>1</xdr:row>
      <xdr:rowOff>3084703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429A69EE-C8DF-58FB-1FC1-C985472A6912}"/>
            </a:ext>
          </a:extLst>
        </xdr:cNvPr>
        <xdr:cNvSpPr txBox="1"/>
      </xdr:nvSpPr>
      <xdr:spPr>
        <a:xfrm>
          <a:off x="6229858" y="6262243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D4DC87-801E-43A0-99FC-2D0E5D8528D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3185287</xdr:rowOff>
    </xdr:from>
    <xdr:to>
      <xdr:col>10</xdr:col>
      <xdr:colOff>425958</xdr:colOff>
      <xdr:row>2</xdr:row>
      <xdr:rowOff>7747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26572E62-60A0-261A-C319-A34FE9719DBA}"/>
            </a:ext>
          </a:extLst>
        </xdr:cNvPr>
        <xdr:cNvSpPr txBox="1"/>
      </xdr:nvSpPr>
      <xdr:spPr>
        <a:xfrm>
          <a:off x="6229858" y="6743827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BA1F73E-4385-41D7-A698-1F8CA0E7887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108331</xdr:rowOff>
    </xdr:from>
    <xdr:to>
      <xdr:col>10</xdr:col>
      <xdr:colOff>425958</xdr:colOff>
      <xdr:row>2</xdr:row>
      <xdr:rowOff>489331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5FF8C962-2DA5-6077-537B-7E81A5E75E73}"/>
            </a:ext>
          </a:extLst>
        </xdr:cNvPr>
        <xdr:cNvSpPr txBox="1"/>
      </xdr:nvSpPr>
      <xdr:spPr>
        <a:xfrm>
          <a:off x="6229858" y="722541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7FDCF5-6F48-4F4A-AC96-23A0F407914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590296</xdr:rowOff>
    </xdr:from>
    <xdr:to>
      <xdr:col>10</xdr:col>
      <xdr:colOff>425958</xdr:colOff>
      <xdr:row>2</xdr:row>
      <xdr:rowOff>971296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13C1AD72-BD36-96F2-7387-A31E0061D6C8}"/>
            </a:ext>
          </a:extLst>
        </xdr:cNvPr>
        <xdr:cNvSpPr txBox="1"/>
      </xdr:nvSpPr>
      <xdr:spPr>
        <a:xfrm>
          <a:off x="6229858" y="7707376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889450A-29BE-4476-B66D-673221AF0BE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1071880</xdr:rowOff>
    </xdr:from>
    <xdr:to>
      <xdr:col>10</xdr:col>
      <xdr:colOff>425958</xdr:colOff>
      <xdr:row>2</xdr:row>
      <xdr:rowOff>1440180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78783D1C-5763-ED03-6FFD-FFBEF83C11EE}"/>
            </a:ext>
          </a:extLst>
        </xdr:cNvPr>
        <xdr:cNvSpPr txBox="1"/>
      </xdr:nvSpPr>
      <xdr:spPr>
        <a:xfrm>
          <a:off x="6229858" y="8188960"/>
          <a:ext cx="520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FB0ADFA-D4B0-487E-86B6-F870159C08F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aws.e-gov.go.jp/law/337AC0000000066" TargetMode="External"/><Relationship Id="rId3" Type="http://schemas.openxmlformats.org/officeDocument/2006/relationships/hyperlink" Target="https://www.nta.go.jp/taxes/tetsuzuki/shinsei/annai/hojin/shinkoku/itiran2021/pdf/03%2801%29-ki.pdf" TargetMode="External"/><Relationship Id="rId7" Type="http://schemas.openxmlformats.org/officeDocument/2006/relationships/hyperlink" Target="https://laws.e-gov.go.jp/law/340AC0000000034" TargetMode="External"/><Relationship Id="rId2" Type="http://schemas.openxmlformats.org/officeDocument/2006/relationships/hyperlink" Target="https://www.nta.go.jp/taxes/tetsuzuki/shinsei/annai/hojin/shinkoku/itiran2021/pdf/03%2801%29.pdf" TargetMode="External"/><Relationship Id="rId1" Type="http://schemas.openxmlformats.org/officeDocument/2006/relationships/hyperlink" Target="https://www.nta.go.jp/taxes/tetsuzuki/shinsei/annai/hojin/shinkoku/itiran2021/01.htm" TargetMode="External"/><Relationship Id="rId6" Type="http://schemas.openxmlformats.org/officeDocument/2006/relationships/hyperlink" Target="https://www.nta.go.jp/law/tsutatsu/kihon/hojin/16/16_01_02.htm" TargetMode="External"/><Relationship Id="rId5" Type="http://schemas.openxmlformats.org/officeDocument/2006/relationships/hyperlink" Target="https://www.nta.go.jp/taxes/tetsuzuki/shinsei/annai/hojin/shinkoku/itiran2021/pdf/03%2801%29-f-ki.pdf" TargetMode="External"/><Relationship Id="rId4" Type="http://schemas.openxmlformats.org/officeDocument/2006/relationships/hyperlink" Target="https://www.nta.go.jp/taxes/tetsuzuki/shinsei/annai/hojin/shinkoku/itiran2021/pdf/03%2801%29-f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88636-699C-4B95-9E87-1A69F45C0939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4" t="s">
        <v>370</v>
      </c>
      <c r="B1" s="6"/>
      <c r="C1" s="6"/>
      <c r="D1" s="6"/>
      <c r="E1" s="6"/>
      <c r="F1" s="6"/>
      <c r="G1" s="6"/>
      <c r="H1" s="6"/>
    </row>
    <row r="2" spans="1:8">
      <c r="A2" s="35" t="s">
        <v>371</v>
      </c>
      <c r="B2" s="6"/>
      <c r="C2" s="6"/>
      <c r="D2" s="6"/>
      <c r="E2" s="6"/>
      <c r="F2" s="6"/>
      <c r="G2" s="6"/>
      <c r="H2" s="6"/>
    </row>
    <row r="3" spans="1:8">
      <c r="A3" s="8"/>
      <c r="B3" s="8"/>
      <c r="C3" s="8"/>
      <c r="D3" s="8"/>
      <c r="E3" s="8"/>
      <c r="F3" s="8"/>
      <c r="G3" s="8"/>
      <c r="H3" s="8"/>
    </row>
    <row r="4" spans="1:8" ht="22.95" customHeight="1">
      <c r="A4" s="9" t="s">
        <v>372</v>
      </c>
      <c r="B4" s="9"/>
      <c r="C4" s="9"/>
      <c r="D4" s="9"/>
      <c r="E4" s="9"/>
      <c r="F4" s="9"/>
      <c r="G4" s="9"/>
      <c r="H4" s="9"/>
    </row>
    <row r="5" spans="1:8">
      <c r="A5" s="11" t="s">
        <v>373</v>
      </c>
      <c r="B5" s="11"/>
      <c r="C5" s="11"/>
      <c r="D5" s="11"/>
      <c r="E5" s="11"/>
      <c r="F5" s="36" t="str">
        <f>IFERROR(IF(cfg_calculation_ready,out_retained_tax,""),"")</f>
        <v/>
      </c>
      <c r="G5" s="37"/>
      <c r="H5" s="37"/>
    </row>
    <row r="6" spans="1:8">
      <c r="A6" s="11" t="s">
        <v>374</v>
      </c>
      <c r="B6" s="11"/>
      <c r="C6" s="11"/>
      <c r="D6" s="11"/>
      <c r="E6" s="11"/>
      <c r="F6" s="36" t="str">
        <f>IFERROR(IF(cfg_calculation_ready,out_taxable_retained,""),"")</f>
        <v/>
      </c>
      <c r="G6" s="37"/>
      <c r="H6" s="37"/>
    </row>
    <row r="7" spans="1:8">
      <c r="A7" s="11" t="s">
        <v>375</v>
      </c>
      <c r="B7" s="11"/>
      <c r="C7" s="11"/>
      <c r="D7" s="11"/>
      <c r="E7" s="11"/>
      <c r="F7" s="36" t="str">
        <f>IFERROR(IF(cfg_calculation_ready,out_retention_allowance,""),"")</f>
        <v/>
      </c>
      <c r="G7" s="37"/>
      <c r="H7" s="37"/>
    </row>
    <row r="8" spans="1:8">
      <c r="A8" s="11" t="s">
        <v>376</v>
      </c>
      <c r="B8" s="11"/>
      <c r="C8" s="11"/>
      <c r="D8" s="11"/>
      <c r="E8" s="11"/>
      <c r="F8" s="36" t="str">
        <f>IFERROR(IF(cfg_calculation_ready,out_municipal_tax,""),"")</f>
        <v/>
      </c>
      <c r="G8" s="37"/>
      <c r="H8" s="37"/>
    </row>
    <row r="9" spans="1:8">
      <c r="A9" s="8"/>
      <c r="B9" s="8"/>
      <c r="C9" s="8"/>
      <c r="D9" s="8"/>
      <c r="E9" s="8"/>
      <c r="F9" s="8"/>
      <c r="G9" s="8"/>
      <c r="H9" s="8"/>
    </row>
    <row r="10" spans="1:8" ht="22.95" customHeight="1">
      <c r="A10" s="9" t="s">
        <v>377</v>
      </c>
      <c r="B10" s="9"/>
      <c r="C10" s="9"/>
      <c r="D10" s="9"/>
      <c r="E10" s="9"/>
      <c r="F10" s="9"/>
      <c r="G10" s="9"/>
      <c r="H10" s="9"/>
    </row>
    <row r="11" spans="1:8">
      <c r="A11" s="11" t="s">
        <v>378</v>
      </c>
      <c r="B11" s="11"/>
      <c r="C11" s="11"/>
      <c r="D11" s="11"/>
      <c r="E11" s="11"/>
      <c r="F11" s="15" t="str">
        <f>IFERROR(IF(NOT(cfg_period_input_valid),"要確認：日付範囲1900～2100年・前後関係・12か月以内",IF(NOT(cfg_applicable),"要確認：終了日がこの年度版の対象外",IF(NOT(cfg_f2_period_ok),"要確認：通算制度の開始日前","OK"))),"")</f>
        <v>OK</v>
      </c>
      <c r="G11" s="15"/>
      <c r="H11" s="15"/>
    </row>
    <row r="12" spans="1:8">
      <c r="A12" s="11" t="s">
        <v>379</v>
      </c>
      <c r="B12" s="11"/>
      <c r="C12" s="11"/>
      <c r="D12" s="11"/>
      <c r="E12" s="11"/>
      <c r="F12" s="15" t="str">
        <f>IFERROR(IF(inp_special="未確認","要確認：別表二「"&amp;"判定結果18"&amp;"」を確認",IF(inp_special="はい","OK","対象外：別表三(一)は使用しません")),"")</f>
        <v>要確認：別表二「判定結果18」を確認</v>
      </c>
      <c r="G12" s="15"/>
      <c r="H12" s="15"/>
    </row>
    <row r="13" spans="1:8">
      <c r="A13" s="11" t="s">
        <v>380</v>
      </c>
      <c r="B13" s="11"/>
      <c r="C13" s="11"/>
      <c r="D13" s="11"/>
      <c r="E13" s="11"/>
      <c r="F13" s="15" t="str">
        <f>IFERROR(IF(AND(cfg_class_selected,cfg_group_selected),"OK","要確認：中小企業者等・通算法人区分を選択"),"")</f>
        <v>要確認：中小企業者等・通算法人区分を選択</v>
      </c>
      <c r="G13" s="15"/>
      <c r="H13" s="15"/>
    </row>
    <row r="14" spans="1:8">
      <c r="A14" s="11" t="s">
        <v>381</v>
      </c>
      <c r="B14" s="11"/>
      <c r="C14" s="11"/>
      <c r="D14" s="11"/>
      <c r="E14" s="11"/>
      <c r="F14" s="15" t="str">
        <f>IFERROR(IF(AND(cfg_exact_domain_ok,cfg_exact_math_valid,cfg_f2_input_valid),"OK","要確認：入力の絶対値合計1,000兆円以下・整数・付表二整合を確認"),"")</f>
        <v>OK</v>
      </c>
      <c r="G14" s="15"/>
      <c r="H14" s="15"/>
    </row>
    <row r="15" spans="1:8">
      <c r="A15" s="11" t="s">
        <v>382</v>
      </c>
      <c r="B15" s="11"/>
      <c r="C15" s="11"/>
      <c r="D15" s="11"/>
      <c r="E15" s="11"/>
      <c r="F15" s="15" t="str">
        <f>IFERROR(IF(AND(inp_months&gt;=1,inp_months&lt;=12),"OK："&amp;inp_months&amp;"か月","要確認"),"")</f>
        <v>OK：12か月</v>
      </c>
      <c r="G15" s="15"/>
      <c r="H15" s="15"/>
    </row>
    <row r="16" spans="1:8" ht="22.95" customHeight="1">
      <c r="A16" s="38" t="s">
        <v>383</v>
      </c>
      <c r="B16" s="38"/>
      <c r="C16" s="38"/>
      <c r="D16" s="38"/>
      <c r="E16" s="38"/>
      <c r="F16" s="38"/>
      <c r="G16" s="38"/>
      <c r="H16" s="38"/>
    </row>
    <row r="17" spans="1:8" ht="28.05" customHeight="1">
      <c r="A17" s="39" t="s">
        <v>384</v>
      </c>
      <c r="B17" s="39"/>
      <c r="C17" s="39"/>
      <c r="D17" s="39"/>
      <c r="E17" s="39"/>
      <c r="F17" s="39"/>
      <c r="G17" s="39"/>
      <c r="H17" s="39"/>
    </row>
    <row r="18" spans="1:8" ht="28.05" customHeight="1">
      <c r="A18" s="39" t="s">
        <v>385</v>
      </c>
      <c r="B18" s="39"/>
      <c r="C18" s="39"/>
      <c r="D18" s="39"/>
      <c r="E18" s="39"/>
      <c r="F18" s="39"/>
      <c r="G18" s="39"/>
      <c r="H18" s="39"/>
    </row>
    <row r="19" spans="1:8" ht="28.05" customHeight="1">
      <c r="A19" s="39" t="s">
        <v>386</v>
      </c>
      <c r="B19" s="39"/>
      <c r="C19" s="39"/>
      <c r="D19" s="39"/>
      <c r="E19" s="39"/>
      <c r="F19" s="39"/>
      <c r="G19" s="39"/>
      <c r="H19" s="39"/>
    </row>
    <row r="20" spans="1:8" ht="28.05" customHeight="1">
      <c r="A20" s="39" t="s">
        <v>387</v>
      </c>
      <c r="B20" s="39"/>
      <c r="C20" s="39"/>
      <c r="D20" s="39"/>
      <c r="E20" s="39"/>
      <c r="F20" s="39"/>
      <c r="G20" s="39"/>
      <c r="H20" s="39"/>
    </row>
    <row r="21" spans="1:8">
      <c r="A21" s="8"/>
      <c r="B21" s="8"/>
      <c r="C21" s="8"/>
      <c r="D21" s="8"/>
      <c r="E21" s="8"/>
      <c r="F21" s="8"/>
      <c r="G21" s="8"/>
      <c r="H21" s="8"/>
    </row>
    <row r="22" spans="1:8" ht="22.95" customHeight="1">
      <c r="A22" s="40" t="s">
        <v>388</v>
      </c>
      <c r="B22" s="40"/>
      <c r="C22" s="40"/>
      <c r="D22" s="40"/>
      <c r="E22" s="40"/>
      <c r="F22" s="40"/>
      <c r="G22" s="40"/>
      <c r="H22" s="40"/>
    </row>
    <row r="23" spans="1:8">
      <c r="A23" s="41" t="s">
        <v>389</v>
      </c>
      <c r="B23" s="41" t="s">
        <v>390</v>
      </c>
      <c r="C23" s="41" t="s">
        <v>391</v>
      </c>
      <c r="D23" s="8"/>
      <c r="E23" s="41" t="s">
        <v>392</v>
      </c>
      <c r="F23" s="41" t="s">
        <v>393</v>
      </c>
      <c r="G23" s="41" t="s">
        <v>394</v>
      </c>
      <c r="H23" s="8"/>
    </row>
    <row r="24" spans="1:8">
      <c r="A24" s="8"/>
      <c r="B24" s="8"/>
      <c r="C24" s="8"/>
      <c r="D24" s="8"/>
      <c r="E24" s="8"/>
      <c r="F24" s="8"/>
      <c r="G24" s="8"/>
      <c r="H24" s="8"/>
    </row>
    <row r="25" spans="1:8">
      <c r="A25" s="8"/>
      <c r="B25" s="8"/>
      <c r="C25" s="8"/>
      <c r="D25" s="8"/>
      <c r="E25" s="8"/>
      <c r="F25" s="8"/>
      <c r="G25" s="8"/>
      <c r="H25" s="8"/>
    </row>
    <row r="26" spans="1:8">
      <c r="A26" s="8"/>
      <c r="B26" s="8"/>
      <c r="C26" s="8"/>
      <c r="D26" s="8"/>
      <c r="E26" s="8"/>
      <c r="F26" s="8"/>
      <c r="G26" s="8"/>
      <c r="H26" s="8"/>
    </row>
    <row r="27" spans="1:8">
      <c r="A27" s="8"/>
      <c r="B27" s="8"/>
      <c r="C27" s="8"/>
      <c r="D27" s="8"/>
      <c r="E27" s="8"/>
      <c r="F27" s="8"/>
      <c r="G27" s="8"/>
      <c r="H27" s="8"/>
    </row>
    <row r="28" spans="1:8">
      <c r="A28" s="8"/>
      <c r="B28" s="8"/>
      <c r="C28" s="8"/>
      <c r="D28" s="8"/>
      <c r="E28" s="8"/>
      <c r="F28" s="8"/>
      <c r="G28" s="8"/>
      <c r="H28" s="8"/>
    </row>
    <row r="29" spans="1:8">
      <c r="A29" s="8"/>
      <c r="B29" s="8"/>
      <c r="C29" s="8"/>
      <c r="D29" s="8"/>
      <c r="E29" s="8"/>
      <c r="F29" s="8"/>
      <c r="G29" s="8"/>
      <c r="H29" s="8"/>
    </row>
    <row r="30" spans="1:8">
      <c r="A30" s="8"/>
      <c r="B30" s="8"/>
      <c r="C30" s="8"/>
      <c r="D30" s="8"/>
      <c r="E30" s="8"/>
      <c r="F30" s="8"/>
      <c r="G30" s="8"/>
      <c r="H30" s="8"/>
    </row>
    <row r="31" spans="1:8">
      <c r="A31" s="8"/>
      <c r="B31" s="8"/>
      <c r="C31" s="8"/>
      <c r="D31" s="8"/>
      <c r="E31" s="8"/>
      <c r="F31" s="8"/>
      <c r="G31" s="8"/>
      <c r="H31" s="8"/>
    </row>
    <row r="32" spans="1:8">
      <c r="A32" s="8"/>
      <c r="B32" s="8"/>
      <c r="C32" s="8"/>
      <c r="D32" s="8"/>
      <c r="E32" s="8"/>
      <c r="F32" s="8"/>
      <c r="G32" s="8"/>
      <c r="H32" s="8"/>
    </row>
    <row r="33" spans="1:8">
      <c r="A33" s="8"/>
      <c r="B33" s="8"/>
      <c r="C33" s="8"/>
      <c r="D33" s="8"/>
      <c r="E33" s="8"/>
      <c r="F33" s="8"/>
      <c r="G33" s="8"/>
      <c r="H33" s="8"/>
    </row>
    <row r="34" spans="1:8">
      <c r="A34" s="8"/>
      <c r="B34" s="8"/>
      <c r="C34" s="8"/>
      <c r="D34" s="8"/>
      <c r="E34" s="8"/>
      <c r="F34" s="8"/>
      <c r="G34" s="8"/>
      <c r="H34" s="8"/>
    </row>
    <row r="35" spans="1:8">
      <c r="A35" s="8"/>
      <c r="B35" s="8"/>
      <c r="C35" s="8"/>
      <c r="D35" s="8"/>
      <c r="E35" s="8"/>
      <c r="F35" s="8"/>
      <c r="G35" s="8"/>
      <c r="H35" s="8"/>
    </row>
    <row r="36" spans="1:8">
      <c r="A36" s="8"/>
      <c r="B36" s="8"/>
      <c r="C36" s="8"/>
      <c r="D36" s="8"/>
      <c r="E36" s="8"/>
      <c r="F36" s="8"/>
      <c r="G36" s="8"/>
      <c r="H36" s="8"/>
    </row>
    <row r="37" spans="1:8">
      <c r="A37" s="8"/>
      <c r="B37" s="8"/>
      <c r="C37" s="8"/>
      <c r="D37" s="8"/>
      <c r="E37" s="8"/>
      <c r="F37" s="8"/>
      <c r="G37" s="8"/>
      <c r="H37" s="8"/>
    </row>
    <row r="38" spans="1:8">
      <c r="A38" s="8"/>
      <c r="B38" s="8"/>
      <c r="C38" s="8"/>
      <c r="D38" s="8"/>
      <c r="E38" s="8"/>
      <c r="F38" s="8"/>
      <c r="G38" s="8"/>
      <c r="H38" s="8"/>
    </row>
    <row r="39" spans="1:8">
      <c r="A39" s="8"/>
      <c r="B39" s="8"/>
      <c r="C39" s="8"/>
      <c r="D39" s="8"/>
      <c r="E39" s="8"/>
      <c r="F39" s="8"/>
      <c r="G39" s="8"/>
      <c r="H39" s="8"/>
    </row>
    <row r="40" spans="1:8">
      <c r="A40" s="8"/>
      <c r="B40" s="8"/>
      <c r="C40" s="8"/>
      <c r="D40" s="8"/>
      <c r="E40" s="8"/>
      <c r="F40" s="8"/>
      <c r="G40" s="8"/>
      <c r="H40" s="8"/>
    </row>
  </sheetData>
  <sheetProtection sheet="1" objects="1" scenarios="1"/>
  <mergeCells count="28">
    <mergeCell ref="A20:H20"/>
    <mergeCell ref="A22:H22"/>
    <mergeCell ref="A15:E15"/>
    <mergeCell ref="F15:H15"/>
    <mergeCell ref="A16:H16"/>
    <mergeCell ref="A17:H17"/>
    <mergeCell ref="A18:H18"/>
    <mergeCell ref="A19:H19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3"/>
  <hyperlinks>
    <hyperlink ref="A23" location="'入力'!A1" display="入力" xr:uid="{E5D1A060-C2A4-47F3-A07A-01357D90156B}"/>
    <hyperlink ref="B23" location="'別表三一_計算'!A1" display="主表計算" xr:uid="{504C666A-8566-4BA1-9A63-5188CDFB11B1}"/>
    <hyperlink ref="C23" location="'付表_計算'!A1" display="付表_計算" xr:uid="{6A10B8E8-BA13-4DC9-9DAD-98622E929493}"/>
    <hyperlink ref="E23" location="'別表三(一)'!A1" display="公式様式" xr:uid="{C88DEB87-BA89-431E-B09D-1AB10FF9C73D}"/>
    <hyperlink ref="F23" location="'検算'!A1" display="検算" xr:uid="{3F816BC8-1761-48FD-A0C4-5D28D6124DDF}"/>
    <hyperlink ref="G23" location="'根拠・出典'!A1" display="根拠・出典" xr:uid="{56F99C5A-D366-43E1-A858-2B3AB1A4D57C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25851-562C-4724-AA0D-CB71A7928846}">
  <sheetPr>
    <tabColor rgb="FFFFF2CC"/>
    <pageSetUpPr fitToPage="1"/>
  </sheetPr>
  <dimension ref="A1:H66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3" t="s">
        <v>9</v>
      </c>
      <c r="B1" s="24"/>
      <c r="C1" s="24"/>
      <c r="D1" s="24"/>
      <c r="E1" s="24"/>
      <c r="F1" s="24"/>
      <c r="G1" s="24"/>
      <c r="H1" s="24"/>
    </row>
    <row r="2" spans="1:8">
      <c r="A2" s="25" t="s">
        <v>10</v>
      </c>
      <c r="B2" s="24"/>
      <c r="C2" s="24"/>
      <c r="D2" s="24"/>
      <c r="E2" s="24"/>
      <c r="F2" s="24"/>
      <c r="G2" s="24"/>
      <c r="H2" s="24"/>
    </row>
    <row r="3" spans="1:8">
      <c r="A3" s="26"/>
      <c r="B3" s="26"/>
      <c r="C3" s="26"/>
      <c r="D3" s="26"/>
      <c r="E3" s="26"/>
      <c r="F3" s="26"/>
      <c r="G3" s="26"/>
      <c r="H3" s="26"/>
    </row>
    <row r="4" spans="1:8" ht="22.95" customHeight="1">
      <c r="A4" s="9" t="s">
        <v>17</v>
      </c>
      <c r="B4" s="9"/>
      <c r="C4" s="9"/>
      <c r="D4" s="9"/>
      <c r="E4" s="9"/>
      <c r="F4" s="10" t="s">
        <v>18</v>
      </c>
      <c r="G4" s="11"/>
      <c r="H4" s="11"/>
    </row>
    <row r="5" spans="1:8">
      <c r="A5" s="11" t="s">
        <v>11</v>
      </c>
      <c r="B5" s="11"/>
      <c r="C5" s="11"/>
      <c r="D5" s="50"/>
      <c r="E5" s="12"/>
      <c r="F5" s="11" t="s">
        <v>19</v>
      </c>
      <c r="G5" s="11"/>
      <c r="H5" s="13" t="b">
        <f>IFERROR(AND(inp_end&gt;=DATE(2021,4,1),inp_end&lt;DATE(2022,4,1)),"")</f>
        <v>1</v>
      </c>
    </row>
    <row r="6" spans="1:8">
      <c r="A6" s="11" t="s">
        <v>12</v>
      </c>
      <c r="B6" s="11"/>
      <c r="C6" s="11"/>
      <c r="D6" s="51">
        <v>44287</v>
      </c>
      <c r="E6" s="12"/>
      <c r="F6" s="11" t="s">
        <v>20</v>
      </c>
      <c r="G6" s="11"/>
      <c r="H6" s="14">
        <f>IFERROR(10.4%,"")</f>
        <v>0.10400000000000001</v>
      </c>
    </row>
    <row r="7" spans="1:8">
      <c r="A7" s="11" t="s">
        <v>13</v>
      </c>
      <c r="B7" s="11"/>
      <c r="C7" s="11"/>
      <c r="D7" s="51">
        <v>44651</v>
      </c>
      <c r="E7" s="12"/>
      <c r="F7" s="11" t="s">
        <v>21</v>
      </c>
      <c r="G7" s="11"/>
      <c r="H7" s="14">
        <f>IFERROR(40%,"")</f>
        <v>0.4</v>
      </c>
    </row>
    <row r="8" spans="1:8">
      <c r="A8" s="11" t="s">
        <v>14</v>
      </c>
      <c r="B8" s="11"/>
      <c r="C8" s="11"/>
      <c r="D8" s="18">
        <f>IFERROR(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,"")</f>
        <v>12</v>
      </c>
      <c r="E8" s="12"/>
      <c r="F8" s="15" t="s">
        <v>22</v>
      </c>
      <c r="G8" s="15"/>
      <c r="H8" s="15"/>
    </row>
    <row r="9" spans="1:8">
      <c r="A9" s="11" t="s">
        <v>15</v>
      </c>
      <c r="B9" s="11"/>
      <c r="C9" s="11"/>
      <c r="D9" s="50" t="s">
        <v>431</v>
      </c>
      <c r="E9" s="12"/>
      <c r="F9" s="15"/>
      <c r="G9" s="15"/>
      <c r="H9" s="15"/>
    </row>
    <row r="10" spans="1:8">
      <c r="A10" s="11" t="s">
        <v>16</v>
      </c>
      <c r="B10" s="11"/>
      <c r="C10" s="11"/>
      <c r="D10" s="50" t="s">
        <v>430</v>
      </c>
      <c r="E10" s="12"/>
      <c r="F10" s="15"/>
      <c r="G10" s="15"/>
      <c r="H10" s="15"/>
    </row>
    <row r="11" spans="1:8">
      <c r="A11" s="26"/>
      <c r="B11" s="26"/>
      <c r="C11" s="26"/>
      <c r="D11" s="19"/>
      <c r="E11" s="26"/>
      <c r="F11" s="26"/>
      <c r="G11" s="26"/>
      <c r="H11" s="26"/>
    </row>
    <row r="12" spans="1:8">
      <c r="A12" s="26"/>
      <c r="B12" s="26"/>
      <c r="C12" s="26"/>
      <c r="D12" s="19"/>
      <c r="E12" s="26"/>
      <c r="F12" s="26"/>
      <c r="G12" s="26"/>
      <c r="H12" s="26"/>
    </row>
    <row r="13" spans="1:8" ht="22.95" customHeight="1">
      <c r="A13" s="9" t="s">
        <v>23</v>
      </c>
      <c r="B13" s="9"/>
      <c r="C13" s="9"/>
      <c r="D13" s="20"/>
      <c r="E13" s="9"/>
      <c r="F13" s="26"/>
      <c r="G13" s="26"/>
      <c r="H13" s="26"/>
    </row>
    <row r="14" spans="1:8">
      <c r="A14" s="16" t="s">
        <v>24</v>
      </c>
      <c r="B14" s="16" t="s">
        <v>25</v>
      </c>
      <c r="C14" s="16" t="s">
        <v>26</v>
      </c>
      <c r="D14" s="21" t="s">
        <v>27</v>
      </c>
      <c r="E14" s="16" t="s">
        <v>28</v>
      </c>
      <c r="F14" s="26"/>
      <c r="G14" s="26"/>
      <c r="H14" s="26"/>
    </row>
    <row r="15" spans="1:8" ht="31.95" customHeight="1">
      <c r="A15" s="12" t="s">
        <v>29</v>
      </c>
      <c r="B15" s="17" t="s">
        <v>30</v>
      </c>
      <c r="C15" s="17" t="s">
        <v>31</v>
      </c>
      <c r="D15" s="49">
        <v>0</v>
      </c>
      <c r="E15" s="17" t="s">
        <v>32</v>
      </c>
      <c r="F15" s="26"/>
      <c r="G15" s="26"/>
      <c r="H15" s="26"/>
    </row>
    <row r="16" spans="1:8" ht="31.95" customHeight="1">
      <c r="A16" s="12" t="s">
        <v>33</v>
      </c>
      <c r="B16" s="17" t="s">
        <v>34</v>
      </c>
      <c r="C16" s="17" t="s">
        <v>35</v>
      </c>
      <c r="D16" s="49">
        <v>0</v>
      </c>
      <c r="E16" s="17" t="s">
        <v>36</v>
      </c>
      <c r="F16" s="26"/>
      <c r="G16" s="26"/>
      <c r="H16" s="26"/>
    </row>
    <row r="17" spans="1:8" ht="31.95" customHeight="1">
      <c r="A17" s="12" t="s">
        <v>37</v>
      </c>
      <c r="B17" s="17" t="s">
        <v>38</v>
      </c>
      <c r="C17" s="17" t="s">
        <v>39</v>
      </c>
      <c r="D17" s="49">
        <v>0</v>
      </c>
      <c r="E17" s="17" t="s">
        <v>40</v>
      </c>
      <c r="F17" s="26"/>
      <c r="G17" s="26"/>
      <c r="H17" s="26"/>
    </row>
    <row r="18" spans="1:8" ht="31.95" customHeight="1">
      <c r="A18" s="12" t="s">
        <v>41</v>
      </c>
      <c r="B18" s="17" t="s">
        <v>42</v>
      </c>
      <c r="C18" s="17" t="s">
        <v>43</v>
      </c>
      <c r="D18" s="49">
        <v>0</v>
      </c>
      <c r="E18" s="17"/>
      <c r="F18" s="26"/>
      <c r="G18" s="26"/>
      <c r="H18" s="26"/>
    </row>
    <row r="19" spans="1:8" ht="31.95" customHeight="1">
      <c r="A19" s="12" t="s">
        <v>44</v>
      </c>
      <c r="B19" s="17" t="s">
        <v>45</v>
      </c>
      <c r="C19" s="17" t="s">
        <v>46</v>
      </c>
      <c r="D19" s="49">
        <v>0</v>
      </c>
      <c r="E19" s="17"/>
      <c r="F19" s="26"/>
      <c r="G19" s="26"/>
      <c r="H19" s="26"/>
    </row>
    <row r="20" spans="1:8" ht="31.95" customHeight="1">
      <c r="A20" s="12" t="s">
        <v>47</v>
      </c>
      <c r="B20" s="17" t="s">
        <v>48</v>
      </c>
      <c r="C20" s="17" t="s">
        <v>49</v>
      </c>
      <c r="D20" s="49">
        <v>0</v>
      </c>
      <c r="E20" s="17"/>
      <c r="F20" s="26"/>
      <c r="G20" s="26"/>
      <c r="H20" s="26"/>
    </row>
    <row r="21" spans="1:8" ht="31.95" customHeight="1">
      <c r="A21" s="12" t="s">
        <v>50</v>
      </c>
      <c r="B21" s="17" t="s">
        <v>48</v>
      </c>
      <c r="C21" s="17" t="s">
        <v>51</v>
      </c>
      <c r="D21" s="49">
        <v>0</v>
      </c>
      <c r="E21" s="17"/>
      <c r="F21" s="26"/>
      <c r="G21" s="26"/>
      <c r="H21" s="26"/>
    </row>
    <row r="22" spans="1:8" ht="31.95" customHeight="1">
      <c r="A22" s="12" t="s">
        <v>52</v>
      </c>
      <c r="B22" s="17" t="s">
        <v>53</v>
      </c>
      <c r="C22" s="17" t="s">
        <v>54</v>
      </c>
      <c r="D22" s="49">
        <v>0</v>
      </c>
      <c r="E22" s="17"/>
      <c r="F22" s="26"/>
      <c r="G22" s="26"/>
      <c r="H22" s="26"/>
    </row>
    <row r="23" spans="1:8" ht="31.95" customHeight="1">
      <c r="A23" s="12" t="s">
        <v>55</v>
      </c>
      <c r="B23" s="17" t="s">
        <v>56</v>
      </c>
      <c r="C23" s="17" t="s">
        <v>57</v>
      </c>
      <c r="D23" s="49">
        <v>0</v>
      </c>
      <c r="E23" s="17"/>
      <c r="F23" s="26"/>
      <c r="G23" s="26"/>
      <c r="H23" s="26"/>
    </row>
    <row r="24" spans="1:8" ht="31.95" customHeight="1">
      <c r="A24" s="12" t="s">
        <v>58</v>
      </c>
      <c r="B24" s="17" t="s">
        <v>59</v>
      </c>
      <c r="C24" s="17" t="s">
        <v>60</v>
      </c>
      <c r="D24" s="49">
        <v>0</v>
      </c>
      <c r="E24" s="17"/>
      <c r="F24" s="26"/>
      <c r="G24" s="26"/>
      <c r="H24" s="26"/>
    </row>
    <row r="25" spans="1:8" ht="31.95" customHeight="1">
      <c r="A25" s="12" t="s">
        <v>61</v>
      </c>
      <c r="B25" s="17" t="s">
        <v>62</v>
      </c>
      <c r="C25" s="17" t="s">
        <v>63</v>
      </c>
      <c r="D25" s="49">
        <v>0</v>
      </c>
      <c r="E25" s="17"/>
      <c r="F25" s="26"/>
      <c r="G25" s="26"/>
      <c r="H25" s="26"/>
    </row>
    <row r="26" spans="1:8" ht="31.95" customHeight="1">
      <c r="A26" s="12" t="s">
        <v>64</v>
      </c>
      <c r="B26" s="17" t="s">
        <v>65</v>
      </c>
      <c r="C26" s="17" t="s">
        <v>66</v>
      </c>
      <c r="D26" s="49">
        <v>0</v>
      </c>
      <c r="E26" s="17"/>
      <c r="F26" s="26"/>
      <c r="G26" s="26"/>
      <c r="H26" s="26"/>
    </row>
    <row r="27" spans="1:8" ht="31.95" customHeight="1">
      <c r="A27" s="12" t="s">
        <v>67</v>
      </c>
      <c r="B27" s="17" t="s">
        <v>68</v>
      </c>
      <c r="C27" s="17" t="s">
        <v>69</v>
      </c>
      <c r="D27" s="49">
        <v>0</v>
      </c>
      <c r="E27" s="17"/>
      <c r="F27" s="26"/>
      <c r="G27" s="26"/>
      <c r="H27" s="26"/>
    </row>
    <row r="28" spans="1:8" ht="31.95" customHeight="1">
      <c r="A28" s="12" t="s">
        <v>70</v>
      </c>
      <c r="B28" s="17" t="s">
        <v>71</v>
      </c>
      <c r="C28" s="17" t="s">
        <v>72</v>
      </c>
      <c r="D28" s="49">
        <v>0</v>
      </c>
      <c r="E28" s="17"/>
      <c r="F28" s="26"/>
      <c r="G28" s="26"/>
      <c r="H28" s="26"/>
    </row>
    <row r="29" spans="1:8" ht="31.95" customHeight="1">
      <c r="A29" s="12" t="s">
        <v>73</v>
      </c>
      <c r="B29" s="17" t="s">
        <v>74</v>
      </c>
      <c r="C29" s="17" t="s">
        <v>75</v>
      </c>
      <c r="D29" s="49">
        <v>0</v>
      </c>
      <c r="E29" s="17"/>
      <c r="F29" s="26"/>
      <c r="G29" s="26"/>
      <c r="H29" s="26"/>
    </row>
    <row r="30" spans="1:8" ht="31.95" customHeight="1">
      <c r="A30" s="12" t="s">
        <v>76</v>
      </c>
      <c r="B30" s="17" t="s">
        <v>77</v>
      </c>
      <c r="C30" s="17" t="s">
        <v>78</v>
      </c>
      <c r="D30" s="49">
        <v>0</v>
      </c>
      <c r="E30" s="17"/>
      <c r="F30" s="26"/>
      <c r="G30" s="26"/>
      <c r="H30" s="26"/>
    </row>
    <row r="31" spans="1:8" ht="31.95" customHeight="1">
      <c r="A31" s="12" t="s">
        <v>79</v>
      </c>
      <c r="B31" s="17" t="s">
        <v>80</v>
      </c>
      <c r="C31" s="17" t="s">
        <v>81</v>
      </c>
      <c r="D31" s="49">
        <v>0</v>
      </c>
      <c r="E31" s="17"/>
      <c r="F31" s="26"/>
      <c r="G31" s="26"/>
      <c r="H31" s="26"/>
    </row>
    <row r="32" spans="1:8" ht="31.95" customHeight="1">
      <c r="A32" s="12" t="s">
        <v>82</v>
      </c>
      <c r="B32" s="17" t="s">
        <v>83</v>
      </c>
      <c r="C32" s="17" t="s">
        <v>84</v>
      </c>
      <c r="D32" s="49">
        <v>0</v>
      </c>
      <c r="E32" s="17"/>
      <c r="F32" s="26"/>
      <c r="G32" s="26"/>
      <c r="H32" s="26"/>
    </row>
    <row r="33" spans="1:8" ht="31.95" customHeight="1">
      <c r="A33" s="12" t="s">
        <v>85</v>
      </c>
      <c r="B33" s="17" t="s">
        <v>86</v>
      </c>
      <c r="C33" s="17" t="s">
        <v>87</v>
      </c>
      <c r="D33" s="49">
        <v>0</v>
      </c>
      <c r="E33" s="17"/>
      <c r="F33" s="26"/>
      <c r="G33" s="26"/>
      <c r="H33" s="26"/>
    </row>
    <row r="34" spans="1:8" ht="31.95" customHeight="1">
      <c r="A34" s="12" t="s">
        <v>88</v>
      </c>
      <c r="B34" s="17" t="s">
        <v>89</v>
      </c>
      <c r="C34" s="17" t="s">
        <v>90</v>
      </c>
      <c r="D34" s="49">
        <v>0</v>
      </c>
      <c r="E34" s="17"/>
      <c r="F34" s="26"/>
      <c r="G34" s="26"/>
      <c r="H34" s="26"/>
    </row>
    <row r="35" spans="1:8" ht="31.95" customHeight="1">
      <c r="A35" s="12" t="s">
        <v>91</v>
      </c>
      <c r="B35" s="17" t="s">
        <v>92</v>
      </c>
      <c r="C35" s="17" t="s">
        <v>93</v>
      </c>
      <c r="D35" s="49">
        <v>0</v>
      </c>
      <c r="E35" s="17"/>
      <c r="F35" s="26"/>
      <c r="G35" s="26"/>
      <c r="H35" s="26"/>
    </row>
    <row r="36" spans="1:8" ht="31.95" customHeight="1">
      <c r="A36" s="12" t="s">
        <v>94</v>
      </c>
      <c r="B36" s="17" t="s">
        <v>95</v>
      </c>
      <c r="C36" s="17" t="s">
        <v>96</v>
      </c>
      <c r="D36" s="49">
        <v>0</v>
      </c>
      <c r="E36" s="17"/>
      <c r="F36" s="26"/>
      <c r="G36" s="26"/>
      <c r="H36" s="26"/>
    </row>
    <row r="37" spans="1:8" ht="31.95" customHeight="1">
      <c r="A37" s="12" t="s">
        <v>97</v>
      </c>
      <c r="B37" s="17" t="s">
        <v>98</v>
      </c>
      <c r="C37" s="17" t="s">
        <v>99</v>
      </c>
      <c r="D37" s="49">
        <v>0</v>
      </c>
      <c r="E37" s="17"/>
      <c r="F37" s="26"/>
      <c r="G37" s="26"/>
      <c r="H37" s="26"/>
    </row>
    <row r="38" spans="1:8" ht="31.95" customHeight="1">
      <c r="A38" s="12" t="s">
        <v>100</v>
      </c>
      <c r="B38" s="17" t="s">
        <v>101</v>
      </c>
      <c r="C38" s="17" t="s">
        <v>102</v>
      </c>
      <c r="D38" s="49">
        <v>0</v>
      </c>
      <c r="E38" s="17" t="s">
        <v>103</v>
      </c>
      <c r="F38" s="26"/>
      <c r="G38" s="26"/>
      <c r="H38" s="26"/>
    </row>
    <row r="39" spans="1:8">
      <c r="A39" s="12"/>
      <c r="B39" s="12"/>
      <c r="C39" s="12"/>
      <c r="D39" s="22"/>
      <c r="E39" s="12"/>
      <c r="F39" s="26"/>
      <c r="G39" s="26"/>
      <c r="H39" s="26"/>
    </row>
    <row r="40" spans="1:8" ht="22.95" customHeight="1">
      <c r="A40" s="9" t="s">
        <v>104</v>
      </c>
      <c r="B40" s="9"/>
      <c r="C40" s="9"/>
      <c r="D40" s="20"/>
      <c r="E40" s="9"/>
      <c r="F40" s="26"/>
      <c r="G40" s="26"/>
      <c r="H40" s="26"/>
    </row>
    <row r="41" spans="1:8">
      <c r="A41" s="16" t="s">
        <v>24</v>
      </c>
      <c r="B41" s="16" t="s">
        <v>25</v>
      </c>
      <c r="C41" s="16" t="s">
        <v>26</v>
      </c>
      <c r="D41" s="21" t="s">
        <v>27</v>
      </c>
      <c r="E41" s="16" t="s">
        <v>28</v>
      </c>
      <c r="F41" s="26"/>
      <c r="G41" s="26"/>
      <c r="H41" s="26"/>
    </row>
    <row r="42" spans="1:8" ht="31.95" customHeight="1">
      <c r="A42" s="12" t="s">
        <v>105</v>
      </c>
      <c r="B42" s="17" t="s">
        <v>106</v>
      </c>
      <c r="C42" s="17" t="s">
        <v>107</v>
      </c>
      <c r="D42" s="49">
        <v>0</v>
      </c>
      <c r="E42" s="17"/>
      <c r="F42" s="26"/>
      <c r="G42" s="26"/>
      <c r="H42" s="26"/>
    </row>
    <row r="43" spans="1:8" ht="31.95" customHeight="1">
      <c r="A43" s="12" t="s">
        <v>108</v>
      </c>
      <c r="B43" s="17" t="s">
        <v>109</v>
      </c>
      <c r="C43" s="17" t="s">
        <v>110</v>
      </c>
      <c r="D43" s="49">
        <v>0</v>
      </c>
      <c r="E43" s="17" t="s">
        <v>111</v>
      </c>
      <c r="F43" s="26"/>
      <c r="G43" s="26"/>
      <c r="H43" s="26"/>
    </row>
    <row r="44" spans="1:8" ht="31.95" customHeight="1">
      <c r="A44" s="12" t="s">
        <v>112</v>
      </c>
      <c r="B44" s="17" t="s">
        <v>113</v>
      </c>
      <c r="C44" s="17" t="s">
        <v>114</v>
      </c>
      <c r="D44" s="49">
        <v>0</v>
      </c>
      <c r="E44" s="17"/>
      <c r="F44" s="26"/>
      <c r="G44" s="26"/>
      <c r="H44" s="26"/>
    </row>
    <row r="45" spans="1:8" ht="31.95" customHeight="1">
      <c r="A45" s="12" t="s">
        <v>115</v>
      </c>
      <c r="B45" s="17" t="s">
        <v>116</v>
      </c>
      <c r="C45" s="17" t="s">
        <v>117</v>
      </c>
      <c r="D45" s="49">
        <v>0</v>
      </c>
      <c r="E45" s="17"/>
      <c r="F45" s="26"/>
      <c r="G45" s="26"/>
      <c r="H45" s="26"/>
    </row>
    <row r="46" spans="1:8" ht="31.95" customHeight="1">
      <c r="A46" s="12" t="s">
        <v>118</v>
      </c>
      <c r="B46" s="17" t="s">
        <v>119</v>
      </c>
      <c r="C46" s="17" t="s">
        <v>120</v>
      </c>
      <c r="D46" s="49">
        <v>0</v>
      </c>
      <c r="E46" s="17" t="s">
        <v>121</v>
      </c>
      <c r="F46" s="26"/>
      <c r="G46" s="26"/>
      <c r="H46" s="26"/>
    </row>
    <row r="47" spans="1:8" ht="31.95" customHeight="1">
      <c r="A47" s="12" t="s">
        <v>122</v>
      </c>
      <c r="B47" s="17" t="s">
        <v>123</v>
      </c>
      <c r="C47" s="17" t="s">
        <v>124</v>
      </c>
      <c r="D47" s="49">
        <v>0</v>
      </c>
      <c r="E47" s="17" t="s">
        <v>125</v>
      </c>
      <c r="F47" s="26"/>
      <c r="G47" s="26"/>
      <c r="H47" s="26"/>
    </row>
    <row r="48" spans="1:8" ht="31.95" customHeight="1">
      <c r="A48" s="12" t="s">
        <v>126</v>
      </c>
      <c r="B48" s="17" t="s">
        <v>127</v>
      </c>
      <c r="C48" s="17" t="s">
        <v>128</v>
      </c>
      <c r="D48" s="49">
        <v>0</v>
      </c>
      <c r="E48" s="17"/>
      <c r="F48" s="26"/>
      <c r="G48" s="26"/>
      <c r="H48" s="26"/>
    </row>
    <row r="49" spans="1:8" ht="31.95" customHeight="1">
      <c r="A49" s="12" t="s">
        <v>129</v>
      </c>
      <c r="B49" s="17" t="s">
        <v>130</v>
      </c>
      <c r="C49" s="17" t="s">
        <v>131</v>
      </c>
      <c r="D49" s="49">
        <v>0</v>
      </c>
      <c r="E49" s="17"/>
      <c r="F49" s="26"/>
      <c r="G49" s="26"/>
      <c r="H49" s="26"/>
    </row>
    <row r="50" spans="1:8" ht="31.95" customHeight="1">
      <c r="A50" s="12" t="s">
        <v>132</v>
      </c>
      <c r="B50" s="17" t="s">
        <v>133</v>
      </c>
      <c r="C50" s="17" t="s">
        <v>134</v>
      </c>
      <c r="D50" s="49">
        <v>0</v>
      </c>
      <c r="E50" s="17"/>
      <c r="F50" s="26"/>
      <c r="G50" s="26"/>
      <c r="H50" s="26"/>
    </row>
    <row r="51" spans="1:8" ht="31.95" customHeight="1">
      <c r="A51" s="12" t="s">
        <v>135</v>
      </c>
      <c r="B51" s="17" t="s">
        <v>136</v>
      </c>
      <c r="C51" s="17" t="s">
        <v>137</v>
      </c>
      <c r="D51" s="49">
        <v>0</v>
      </c>
      <c r="E51" s="17"/>
      <c r="F51" s="26"/>
      <c r="G51" s="26"/>
      <c r="H51" s="26"/>
    </row>
    <row r="52" spans="1:8" ht="31.95" customHeight="1">
      <c r="A52" s="12" t="s">
        <v>138</v>
      </c>
      <c r="B52" s="17" t="s">
        <v>139</v>
      </c>
      <c r="C52" s="17" t="s">
        <v>140</v>
      </c>
      <c r="D52" s="49">
        <v>0</v>
      </c>
      <c r="E52" s="17"/>
      <c r="F52" s="26"/>
      <c r="G52" s="26"/>
      <c r="H52" s="26"/>
    </row>
    <row r="53" spans="1:8" ht="31.95" customHeight="1">
      <c r="A53" s="12" t="s">
        <v>141</v>
      </c>
      <c r="B53" s="17" t="s">
        <v>142</v>
      </c>
      <c r="C53" s="17" t="s">
        <v>143</v>
      </c>
      <c r="D53" s="49">
        <v>0</v>
      </c>
      <c r="E53" s="17"/>
      <c r="F53" s="26"/>
      <c r="G53" s="26"/>
      <c r="H53" s="26"/>
    </row>
    <row r="54" spans="1:8" ht="31.95" customHeight="1">
      <c r="A54" s="12" t="s">
        <v>144</v>
      </c>
      <c r="B54" s="17" t="s">
        <v>145</v>
      </c>
      <c r="C54" s="17" t="s">
        <v>146</v>
      </c>
      <c r="D54" s="49">
        <v>0</v>
      </c>
      <c r="E54" s="17"/>
      <c r="F54" s="26"/>
      <c r="G54" s="26"/>
      <c r="H54" s="26"/>
    </row>
    <row r="55" spans="1:8" ht="31.95" customHeight="1">
      <c r="A55" s="12" t="s">
        <v>147</v>
      </c>
      <c r="B55" s="17" t="s">
        <v>148</v>
      </c>
      <c r="C55" s="17" t="s">
        <v>149</v>
      </c>
      <c r="D55" s="49">
        <v>0</v>
      </c>
      <c r="E55" s="17"/>
      <c r="F55" s="26"/>
      <c r="G55" s="26"/>
      <c r="H55" s="26"/>
    </row>
    <row r="56" spans="1:8" ht="31.95" customHeight="1">
      <c r="A56" s="12" t="s">
        <v>150</v>
      </c>
      <c r="B56" s="17" t="s">
        <v>151</v>
      </c>
      <c r="C56" s="17" t="s">
        <v>152</v>
      </c>
      <c r="D56" s="49">
        <v>0</v>
      </c>
      <c r="E56" s="17"/>
      <c r="F56" s="26"/>
      <c r="G56" s="26"/>
      <c r="H56" s="26"/>
    </row>
    <row r="57" spans="1:8" ht="31.95" customHeight="1">
      <c r="A57" s="12" t="s">
        <v>153</v>
      </c>
      <c r="B57" s="17" t="s">
        <v>154</v>
      </c>
      <c r="C57" s="17" t="s">
        <v>155</v>
      </c>
      <c r="D57" s="49">
        <v>0</v>
      </c>
      <c r="E57" s="17"/>
      <c r="F57" s="26"/>
      <c r="G57" s="26"/>
      <c r="H57" s="26"/>
    </row>
    <row r="58" spans="1:8" ht="31.95" customHeight="1">
      <c r="A58" s="12" t="s">
        <v>156</v>
      </c>
      <c r="B58" s="17" t="s">
        <v>157</v>
      </c>
      <c r="C58" s="17" t="s">
        <v>158</v>
      </c>
      <c r="D58" s="49">
        <v>0</v>
      </c>
      <c r="E58" s="17"/>
      <c r="F58" s="26"/>
      <c r="G58" s="26"/>
      <c r="H58" s="26"/>
    </row>
    <row r="59" spans="1:8" ht="31.95" customHeight="1">
      <c r="A59" s="12" t="s">
        <v>159</v>
      </c>
      <c r="B59" s="17" t="s">
        <v>160</v>
      </c>
      <c r="C59" s="17" t="s">
        <v>161</v>
      </c>
      <c r="D59" s="49">
        <v>0</v>
      </c>
      <c r="E59" s="17"/>
      <c r="F59" s="26"/>
      <c r="G59" s="26"/>
      <c r="H59" s="26"/>
    </row>
    <row r="60" spans="1:8" ht="31.95" customHeight="1">
      <c r="A60" s="12" t="s">
        <v>162</v>
      </c>
      <c r="B60" s="17" t="s">
        <v>163</v>
      </c>
      <c r="C60" s="17" t="s">
        <v>164</v>
      </c>
      <c r="D60" s="49">
        <v>0</v>
      </c>
      <c r="E60" s="17"/>
      <c r="F60" s="26"/>
      <c r="G60" s="26"/>
      <c r="H60" s="26"/>
    </row>
    <row r="61" spans="1:8" ht="31.95" customHeight="1">
      <c r="A61" s="12" t="s">
        <v>165</v>
      </c>
      <c r="B61" s="17" t="s">
        <v>166</v>
      </c>
      <c r="C61" s="17" t="s">
        <v>167</v>
      </c>
      <c r="D61" s="49">
        <v>0</v>
      </c>
      <c r="E61" s="17"/>
      <c r="F61" s="26"/>
      <c r="G61" s="26"/>
      <c r="H61" s="26"/>
    </row>
    <row r="62" spans="1:8" ht="31.95" customHeight="1">
      <c r="A62" s="12" t="s">
        <v>168</v>
      </c>
      <c r="B62" s="17" t="s">
        <v>169</v>
      </c>
      <c r="C62" s="17" t="s">
        <v>170</v>
      </c>
      <c r="D62" s="49">
        <v>0</v>
      </c>
      <c r="E62" s="17"/>
      <c r="F62" s="26"/>
      <c r="G62" s="26"/>
      <c r="H62" s="26"/>
    </row>
    <row r="63" spans="1:8" ht="31.95" customHeight="1">
      <c r="A63" s="12" t="s">
        <v>171</v>
      </c>
      <c r="B63" s="17" t="s">
        <v>172</v>
      </c>
      <c r="C63" s="17" t="s">
        <v>173</v>
      </c>
      <c r="D63" s="49">
        <v>0</v>
      </c>
      <c r="E63" s="17"/>
      <c r="F63" s="26"/>
      <c r="G63" s="26"/>
      <c r="H63" s="26"/>
    </row>
    <row r="64" spans="1:8" ht="31.95" customHeight="1">
      <c r="A64" s="12" t="s">
        <v>174</v>
      </c>
      <c r="B64" s="17" t="s">
        <v>175</v>
      </c>
      <c r="C64" s="17" t="s">
        <v>176</v>
      </c>
      <c r="D64" s="49">
        <v>0</v>
      </c>
      <c r="E64" s="17"/>
      <c r="F64" s="26"/>
      <c r="G64" s="26"/>
      <c r="H64" s="26"/>
    </row>
    <row r="65" spans="1:8" ht="31.95" customHeight="1">
      <c r="A65" s="12" t="s">
        <v>177</v>
      </c>
      <c r="B65" s="17" t="s">
        <v>178</v>
      </c>
      <c r="C65" s="17" t="s">
        <v>179</v>
      </c>
      <c r="D65" s="49">
        <v>0</v>
      </c>
      <c r="E65" s="17"/>
      <c r="F65" s="26"/>
      <c r="G65" s="26"/>
      <c r="H65" s="26"/>
    </row>
    <row r="66" spans="1:8" ht="31.95" customHeight="1">
      <c r="A66" s="12" t="s">
        <v>180</v>
      </c>
      <c r="B66" s="17" t="s">
        <v>181</v>
      </c>
      <c r="C66" s="17" t="s">
        <v>182</v>
      </c>
      <c r="D66" s="49">
        <v>0</v>
      </c>
      <c r="E66" s="17"/>
      <c r="F66" s="26"/>
      <c r="G66" s="26"/>
      <c r="H66" s="26"/>
    </row>
  </sheetData>
  <sheetProtection sheet="1" objects="1" scenarios="1"/>
  <mergeCells count="16">
    <mergeCell ref="A13:E13"/>
    <mergeCell ref="A40:E40"/>
    <mergeCell ref="A8:C8"/>
    <mergeCell ref="A9:C9"/>
    <mergeCell ref="A10:C10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3"/>
  <dataValidations count="53">
    <dataValidation type="custom" showInputMessage="1" showErrorMessage="1" errorTitle="開始日の入力エラー" error="1900/1/1～2100/12/31の有効な日付を入力してください。" sqref="D6" xr:uid="{C1E7F852-CEB4-471D-AA68-92B803FB122E}">
      <formula1>AND(ISNUMBER(D6),D6&gt;=DATE(1900,1,1),D6&lt;=DATE(2100,12,31))</formula1>
    </dataValidation>
    <dataValidation type="custom" showInputMessage="1" showErrorMessage="1" errorTitle="終了日の入力エラー" error="1900/1/1～2100/12/31の範囲で、開始日以後かつ暦による12か月以内の日付を入力してください。" sqref="D7" xr:uid="{189DABDC-BEB8-450B-9B34-A4F20B65AA9F}">
      <formula1>AND(ISNUMBER(D7),ISNUMBER(D6),D7&gt;=DATE(1900,1,1),D7&lt;=DATE(2100,12,31),D7&gt;=D6,D7&lt;=IF(DAY(EDATE(D6,12))&lt;DAY(D6),EDATE(D6,12),EDATE(D6,12)-1))</formula1>
    </dataValidation>
    <dataValidation type="list" showInputMessage="1" showErrorMessage="1" sqref="D9" xr:uid="{68B380F9-B6C4-44B5-A4F7-C9B48F22250B}">
      <formula1>"未選択,該当,非該当"</formula1>
    </dataValidation>
    <dataValidation type="list" showInputMessage="1" showErrorMessage="1" sqref="D10" xr:uid="{39AFB7BF-9506-435B-842A-BEE78F37E6F4}">
      <formula1>"未確認,はい,いいえ"</formula1>
    </dataValidation>
    <dataValidation type="custom" showInputMessage="1" showErrorMessage="1" errorTitle="入力エラー" error="絶対値1,000兆円未満の円単位整数を入力してください（負数可）。" sqref="D15" xr:uid="{880C65AC-8657-4EA8-9D53-F6F85D0A52B6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5C5EDB2E-6780-42E5-82A5-8E3E71F6A8BC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67052DC8-BFDA-477A-A252-A19E98FB04E7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D39AB609-8693-4636-80CE-CB079BAE2A50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5038FE04-5A8F-424F-ACF7-E0507E60C743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CDA270B1-C833-4AF2-88A0-E80C4B30B26C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B54116F1-E292-476C-BE92-4BB3C4FECEDD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C79077E8-D9CD-4663-9E0E-C4772D2FA432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897DF892-BF9E-4651-AA5D-479F696B8280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599FC3FF-42DF-45B8-86D3-D77723870D10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22C9189C-A159-4C8F-9377-60D1CD2EF7C3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0E16C781-D857-4421-8F5A-E3E291F5A635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F192403A-2E4F-48F9-8E9B-078A2393E40F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8AF28BA2-78EF-45D5-8F58-57CACD0FFD07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2E9B018F-5A82-4132-A7E1-22E7E4B0F993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07D7BBC3-24AA-421F-8E08-AA11C5A3623C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23A621DD-74E0-4E98-835F-0B481EB53045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5793E26A-75DB-45C9-A578-0C8D582BCBFB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21CF4389-840C-4A2A-8384-645409A73E45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4A39EC7C-2D15-434A-8E5A-80D1E53BD6CD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8429D037-691E-4E8A-B121-995D1D20D7EC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E6D7182D-C49A-4E4C-85FA-E9AA62F38783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63F64F29-7E41-4215-80A5-8CB57330E995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F0C0B5BA-F2A9-4DBA-815B-17842D739AE2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2" xr:uid="{DE649759-007B-4152-828A-BAD6595DC615}">
      <formula1>AND(ISNUMBER(D42),D42=INT(D42),D42&gt;=0,D42&lt;=999999999999999)</formula1>
    </dataValidation>
    <dataValidation type="custom" showInputMessage="1" showErrorMessage="1" errorTitle="入力エラー" error="絶対値1,000兆円未満の円単位整数を入力してください（負数可）。" sqref="D43" xr:uid="{CCD10910-83C8-4B02-BE6D-EE2A21ED8A12}">
      <formula1>AND(ISNUMBER(D43),D43=INT(D43),ABS(D43)&lt;=999999999999999)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4" xr:uid="{7602C216-FA1B-4B62-A894-14AC005BE1A4}">
      <formula1>AND(ISNUMBER(D44),D44=INT(D44),D44&gt;=0,D44&lt;=999999999999999)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8040687E-5073-485B-80E2-859B2247750B}">
      <formula1>AND(ISNUMBER(D45),D45=INT(D45),D45&gt;=0,D45&lt;=999999999999999)</formula1>
    </dataValidation>
    <dataValidation type="custom" showInputMessage="1" showErrorMessage="1" errorTitle="入力エラー" error="絶対値1,000兆円未満の円単位整数を入力してください（負数可）。" sqref="D46" xr:uid="{8587EED2-B688-4FD7-B8A9-3C782BA01397}">
      <formula1>AND(ISNUMBER(D46),D46=INT(D46),ABS(D46)&lt;=999999999999999)</formula1>
    </dataValidation>
    <dataValidation type="custom" showInputMessage="1" showErrorMessage="1" errorTitle="入力エラー" error="絶対値1,000兆円未満の円単位整数を入力してください（負数可）。" sqref="D47" xr:uid="{85C17FBE-570F-4D27-A8C0-5700AC750B83}">
      <formula1>AND(ISNUMBER(D47),D47=INT(D47),ABS(D47)&lt;=999999999999999)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8" xr:uid="{B973D931-E1C9-4BB5-A25E-4959FB31FDB5}">
      <formula1>AND(ISNUMBER(D48),D48=INT(D48),D48&gt;=0,D48&lt;=999999999999999)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053C85CF-E051-4391-AB01-C69D148C7F4B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A2D80D5F-A795-4ACD-AC1D-A930EBAF6BAB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64A31385-3AE2-419E-AC54-0973BBBB835E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B0753874-2C21-4400-8181-BFECB939CD11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95DE13D4-FDE6-4239-B9B9-9842603DCF43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D3D2362D-52EC-45AA-AE16-6487FF111286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DEFD602F-B295-4B7D-BA3D-DDF668D25051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54E39E40-99AE-4E04-A5E3-828A5FD8CC14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7D827DCF-16E5-47E8-9500-C4BCB535F717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718F605F-DC37-4B63-8E8E-757FBFDC079A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C2B4D1E8-5667-4B3B-BF15-8396689C5C76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923FB5A0-0858-4231-956A-141E25F3B1AB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89E45406-F57B-48CF-97B9-00523B2C2236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65A4AF20-0316-47D2-8746-F0349779E9A3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D93AD059-EB36-45DC-ACA6-B7A7CBC0DD86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B5FA8701-A7CF-4810-ACFA-EB33AAB4884D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0E45616C-CBFA-416F-8073-FBD96FABFA6A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41E8C7A3-BAD2-43E7-9D0C-D35969407EFE}">
      <formula1>AND(ISNUMBER(D66),D66=INT(D66),D66&gt;=0,D66&lt;=999999999999999)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D275B-9EE2-435A-9ACA-6469A883BED3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5" t="s">
        <v>237</v>
      </c>
      <c r="B1" s="6"/>
      <c r="C1" s="6"/>
      <c r="D1" s="6"/>
      <c r="E1" s="6"/>
    </row>
    <row r="2" spans="1:7">
      <c r="A2" s="7" t="s">
        <v>238</v>
      </c>
      <c r="B2" s="6"/>
      <c r="C2" s="6"/>
      <c r="D2" s="6"/>
      <c r="E2" s="6"/>
    </row>
    <row r="3" spans="1:7">
      <c r="A3" s="8"/>
      <c r="B3" s="8"/>
      <c r="C3" s="8"/>
      <c r="D3" s="8"/>
      <c r="E3" s="8"/>
    </row>
    <row r="4" spans="1:7">
      <c r="A4" s="27" t="s">
        <v>239</v>
      </c>
      <c r="B4" s="27" t="s">
        <v>240</v>
      </c>
      <c r="C4" s="27" t="s">
        <v>241</v>
      </c>
      <c r="D4" s="27" t="s">
        <v>242</v>
      </c>
      <c r="E4" s="27" t="s">
        <v>243</v>
      </c>
      <c r="F4" s="31" t="s">
        <v>341</v>
      </c>
      <c r="G4" s="31" t="s">
        <v>342</v>
      </c>
    </row>
    <row r="5" spans="1:7" ht="37.950000000000003" customHeight="1">
      <c r="A5" s="28">
        <v>1</v>
      </c>
      <c r="B5" s="29" t="s">
        <v>244</v>
      </c>
      <c r="C5" s="29" t="s">
        <v>245</v>
      </c>
      <c r="D5" s="30">
        <f>IFERROR(IF(cfg_exact_domain_ok,MIN(m_21,IF(inp_months="",0,30000000*inp_months/12)),0),0)</f>
        <v>0</v>
      </c>
      <c r="E5" s="29" t="s">
        <v>246</v>
      </c>
      <c r="F5" s="4" t="s">
        <v>343</v>
      </c>
      <c r="G5" s="32">
        <f>IFERROR(MAX(m_19-m_20,0),0)</f>
        <v>0</v>
      </c>
    </row>
    <row r="6" spans="1:7" ht="37.950000000000003" customHeight="1">
      <c r="A6" s="28">
        <v>2</v>
      </c>
      <c r="B6" s="29" t="s">
        <v>247</v>
      </c>
      <c r="C6" s="29" t="s">
        <v>248</v>
      </c>
      <c r="D6" s="30">
        <f>IFERROR(IF(cfg_exact_domain_ok,$G$10,0),0)</f>
        <v>0</v>
      </c>
      <c r="E6" s="29" t="s">
        <v>249</v>
      </c>
      <c r="F6" s="4" t="s">
        <v>344</v>
      </c>
      <c r="G6" s="32">
        <f>IFERROR(G5-m_21,0)</f>
        <v>0</v>
      </c>
    </row>
    <row r="7" spans="1:7" ht="37.950000000000003" customHeight="1">
      <c r="A7" s="28">
        <v>3</v>
      </c>
      <c r="B7" s="29" t="s">
        <v>250</v>
      </c>
      <c r="C7" s="29" t="s">
        <v>251</v>
      </c>
      <c r="D7" s="30">
        <f>IFERROR(IF(cfg_exact_domain_ok,m_21-m_01-m_02,0),0)</f>
        <v>0</v>
      </c>
      <c r="E7" s="29" t="s">
        <v>246</v>
      </c>
      <c r="F7" s="4" t="s">
        <v>345</v>
      </c>
      <c r="G7" s="32">
        <f>IFERROR(IF(inp_months="",0,100000000*inp_months/12),0)</f>
        <v>100000000</v>
      </c>
    </row>
    <row r="8" spans="1:7" ht="37.950000000000003" customHeight="1">
      <c r="A8" s="28">
        <v>4</v>
      </c>
      <c r="B8" s="29" t="s">
        <v>252</v>
      </c>
      <c r="C8" s="29" t="s">
        <v>253</v>
      </c>
      <c r="D8" s="30">
        <f>IFERROR(IF(cfg_exact_domain_ok,SUM(m_01:m_03),0),0)</f>
        <v>0</v>
      </c>
      <c r="E8" s="29" t="s">
        <v>254</v>
      </c>
      <c r="F8" s="4" t="s">
        <v>346</v>
      </c>
      <c r="G8" s="32">
        <f>IFERROR(MAX(0,MIN(m_21-m_01,G7-m_01)),0)</f>
        <v>0</v>
      </c>
    </row>
    <row r="9" spans="1:7" ht="37.950000000000003" customHeight="1">
      <c r="A9" s="28">
        <v>5</v>
      </c>
      <c r="B9" s="29" t="s">
        <v>255</v>
      </c>
      <c r="C9" s="29" t="s">
        <v>256</v>
      </c>
      <c r="D9" s="30">
        <f>IFERROR(IF(cfg_exact_domain_ok,QUOTIENT(m_01,10),0),0)</f>
        <v>0</v>
      </c>
      <c r="E9" s="29" t="s">
        <v>257</v>
      </c>
      <c r="F9" s="4" t="s">
        <v>347</v>
      </c>
      <c r="G9" s="32">
        <f>IFERROR(G8-ROUNDDOWN(G8,-3),0)</f>
        <v>0</v>
      </c>
    </row>
    <row r="10" spans="1:7" ht="37.950000000000003" customHeight="1">
      <c r="A10" s="28">
        <v>6</v>
      </c>
      <c r="B10" s="29" t="s">
        <v>258</v>
      </c>
      <c r="C10" s="29" t="s">
        <v>259</v>
      </c>
      <c r="D10" s="30">
        <f>IFERROR(IF(cfg_exact_domain_ok,QUOTIENT(m_02*3,20),0),0)</f>
        <v>0</v>
      </c>
      <c r="E10" s="29" t="s">
        <v>257</v>
      </c>
      <c r="F10" s="4" t="s">
        <v>348</v>
      </c>
      <c r="G10" s="32">
        <f>IFERROR(IF(G9&gt;G6,ROUNDUP(G8,-3),ROUNDDOWN(G8,-3)),0)</f>
        <v>0</v>
      </c>
    </row>
    <row r="11" spans="1:7" ht="37.950000000000003" customHeight="1">
      <c r="A11" s="28">
        <v>7</v>
      </c>
      <c r="B11" s="29" t="s">
        <v>260</v>
      </c>
      <c r="C11" s="29" t="s">
        <v>261</v>
      </c>
      <c r="D11" s="30">
        <f>IFERROR(IF(cfg_exact_domain_ok,QUOTIENT(m_03,5),0),0)</f>
        <v>0</v>
      </c>
      <c r="E11" s="29" t="s">
        <v>257</v>
      </c>
    </row>
    <row r="12" spans="1:7" ht="37.950000000000003" customHeight="1">
      <c r="A12" s="28">
        <v>8</v>
      </c>
      <c r="B12" s="29" t="s">
        <v>262</v>
      </c>
      <c r="C12" s="29" t="s">
        <v>263</v>
      </c>
      <c r="D12" s="33">
        <f>IFERROR(IF(cfg_exact_domain_ok,SUM(m_05:m_07),0),0)</f>
        <v>0</v>
      </c>
      <c r="E12" s="29" t="s">
        <v>264</v>
      </c>
    </row>
    <row r="13" spans="1:7" ht="37.950000000000003" customHeight="1">
      <c r="A13" s="28">
        <v>9</v>
      </c>
      <c r="B13" s="29" t="s">
        <v>265</v>
      </c>
      <c r="C13" s="29" t="s">
        <v>266</v>
      </c>
      <c r="D13" s="30">
        <f>IFERROR(IF(cfg_exact_domain_ok,inp_m9_base+inp_m9_extra,0),0)</f>
        <v>0</v>
      </c>
      <c r="E13" s="29" t="s">
        <v>267</v>
      </c>
    </row>
    <row r="14" spans="1:7" ht="37.950000000000003" customHeight="1">
      <c r="A14" s="28">
        <v>10</v>
      </c>
      <c r="B14" s="29" t="s">
        <v>43</v>
      </c>
      <c r="C14" s="29" t="s">
        <v>268</v>
      </c>
      <c r="D14" s="30">
        <f>IFERROR(IF(cfg_exact_domain_ok,inp_prev_div,0),0)</f>
        <v>0</v>
      </c>
      <c r="E14" s="29" t="s">
        <v>257</v>
      </c>
    </row>
    <row r="15" spans="1:7" ht="37.950000000000003" customHeight="1">
      <c r="A15" s="28">
        <v>11</v>
      </c>
      <c r="B15" s="29" t="s">
        <v>46</v>
      </c>
      <c r="C15" s="29" t="s">
        <v>45</v>
      </c>
      <c r="D15" s="30">
        <f>IFERROR(IF(cfg_exact_domain_ok,inp_curr_div,0),0)</f>
        <v>0</v>
      </c>
      <c r="E15" s="29" t="s">
        <v>257</v>
      </c>
    </row>
    <row r="16" spans="1:7" ht="37.950000000000003" customHeight="1">
      <c r="A16" s="28">
        <v>12</v>
      </c>
      <c r="B16" s="29" t="s">
        <v>269</v>
      </c>
      <c r="C16" s="29" t="s">
        <v>270</v>
      </c>
      <c r="D16" s="30">
        <f>IFERROR(IF(cfg_exact_domain_ok,MAX(MAX((inp_b1_4+inp_b1_5+inp_b1_7+inp_b1_10out-inp_b1_12-inp_b1_19)-inp_b6_5_2_5_3,0)+MAX(inp_b1_36-inp_b1_40-inp_b1_41,0)-MAX(inp_b6_5_2_5_3-(inp_b1_4+inp_b1_5+inp_b1_7+inp_b1_10out),0),0),0),0)</f>
        <v>0</v>
      </c>
      <c r="E16" s="29" t="s">
        <v>271</v>
      </c>
    </row>
    <row r="17" spans="1:5" ht="37.950000000000003" customHeight="1">
      <c r="A17" s="28">
        <v>13</v>
      </c>
      <c r="B17" s="29" t="s">
        <v>272</v>
      </c>
      <c r="C17" s="29" t="s">
        <v>273</v>
      </c>
      <c r="D17" s="30">
        <f>IFERROR(IF(cfg_exact_domain_ok,m_28,0),0)</f>
        <v>0</v>
      </c>
      <c r="E17" s="29" t="s">
        <v>257</v>
      </c>
    </row>
    <row r="18" spans="1:5" ht="37.950000000000003" customHeight="1">
      <c r="A18" s="28">
        <v>14</v>
      </c>
      <c r="B18" s="29" t="s">
        <v>274</v>
      </c>
      <c r="C18" s="29" t="s">
        <v>98</v>
      </c>
      <c r="D18" s="30">
        <f>IFERROR(IF(cfg_exact_domain_ok,inp_m14_foreign,0),0)</f>
        <v>0</v>
      </c>
      <c r="E18" s="29" t="s">
        <v>257</v>
      </c>
    </row>
    <row r="19" spans="1:5" ht="37.950000000000003" customHeight="1">
      <c r="A19" s="28">
        <v>15</v>
      </c>
      <c r="B19" s="29" t="s">
        <v>275</v>
      </c>
      <c r="C19" s="29" t="s">
        <v>276</v>
      </c>
      <c r="D19" s="30">
        <f>IFERROR(IF(cfg_exact_domain_ok,MAX(m_12+m_13-m_14,0),0),0)</f>
        <v>0</v>
      </c>
      <c r="E19" s="29" t="s">
        <v>257</v>
      </c>
    </row>
    <row r="20" spans="1:5" ht="37.950000000000003" customHeight="1">
      <c r="A20" s="28">
        <v>16</v>
      </c>
      <c r="B20" s="29" t="s">
        <v>277</v>
      </c>
      <c r="C20" s="29" t="s">
        <v>278</v>
      </c>
      <c r="D20" s="30">
        <f>IFERROR(IF(cfg_exact_domain_ok,inp_m16,0),0)</f>
        <v>0</v>
      </c>
      <c r="E20" s="29" t="s">
        <v>257</v>
      </c>
    </row>
    <row r="21" spans="1:5" ht="37.950000000000003" customHeight="1">
      <c r="A21" s="28">
        <v>17</v>
      </c>
      <c r="B21" s="29" t="s">
        <v>279</v>
      </c>
      <c r="C21" s="29" t="s">
        <v>278</v>
      </c>
      <c r="D21" s="30">
        <f>IFERROR(IF(cfg_exact_domain_ok,inp_m17,0),0)</f>
        <v>0</v>
      </c>
      <c r="E21" s="29" t="s">
        <v>257</v>
      </c>
    </row>
    <row r="22" spans="1:5" ht="37.950000000000003" customHeight="1">
      <c r="A22" s="28">
        <v>18</v>
      </c>
      <c r="B22" s="29" t="s">
        <v>280</v>
      </c>
      <c r="C22" s="29" t="s">
        <v>281</v>
      </c>
      <c r="D22" s="30">
        <f>IFERROR(IF(cfg_exact_domain_ok,inp_m18,0),0)</f>
        <v>0</v>
      </c>
      <c r="E22" s="29" t="s">
        <v>257</v>
      </c>
    </row>
    <row r="23" spans="1:5" ht="37.950000000000003" customHeight="1">
      <c r="A23" s="28">
        <v>19</v>
      </c>
      <c r="B23" s="29" t="s">
        <v>282</v>
      </c>
      <c r="C23" s="29" t="s">
        <v>283</v>
      </c>
      <c r="D23" s="30">
        <f>IFERROR(IF(cfg_exact_domain_ok,m_09-inp_m9_inner+m_10-m_11-m_15+m_16-m_17-m_18,0),0)</f>
        <v>0</v>
      </c>
      <c r="E23" s="29" t="s">
        <v>257</v>
      </c>
    </row>
    <row r="24" spans="1:5" ht="37.950000000000003" customHeight="1">
      <c r="A24" s="28">
        <v>20</v>
      </c>
      <c r="B24" s="29" t="s">
        <v>284</v>
      </c>
      <c r="C24" s="29" t="s">
        <v>285</v>
      </c>
      <c r="D24" s="30">
        <f>IFERROR(IF(cfg_exact_domain_ok,f1_32,0),0)</f>
        <v>20000000</v>
      </c>
      <c r="E24" s="29" t="s">
        <v>257</v>
      </c>
    </row>
    <row r="25" spans="1:5" ht="37.950000000000003" customHeight="1">
      <c r="A25" s="28">
        <v>21</v>
      </c>
      <c r="B25" s="29" t="s">
        <v>286</v>
      </c>
      <c r="C25" s="29" t="s">
        <v>287</v>
      </c>
      <c r="D25" s="33">
        <f>IFERROR(IF(cfg_exact_domain_ok,ROUNDDOWN(MAX(m_19-m_20,0),-3),0),0)</f>
        <v>0</v>
      </c>
      <c r="E25" s="29" t="s">
        <v>288</v>
      </c>
    </row>
    <row r="26" spans="1:5" ht="37.950000000000003" customHeight="1">
      <c r="A26" s="28">
        <v>22</v>
      </c>
      <c r="B26" s="29" t="s">
        <v>289</v>
      </c>
      <c r="C26" s="29" t="s">
        <v>290</v>
      </c>
      <c r="D26" s="30">
        <f>IFERROR(IF(cfg_exact_domain_ok,inp_b1_2+inp_b1_5+inp_b1_7+inp_b1_10out-inp_b1_12-inp_b1_18-inp_m22_credits,0),0)</f>
        <v>0</v>
      </c>
      <c r="E26" s="29" t="s">
        <v>257</v>
      </c>
    </row>
    <row r="27" spans="1:5" ht="37.950000000000003" customHeight="1">
      <c r="A27" s="28">
        <v>23</v>
      </c>
      <c r="B27" s="29" t="s">
        <v>291</v>
      </c>
      <c r="C27" s="29" t="s">
        <v>290</v>
      </c>
      <c r="D27" s="30">
        <f>IFERROR(IF(cfg_exact_domain_ok,inp_b1_2+inp_b1_5+inp_b1_7+inp_b1_10out-inp_b1_12-inp_b1_18-inp_m23_credits,0),0)</f>
        <v>0</v>
      </c>
      <c r="E27" s="29" t="s">
        <v>257</v>
      </c>
    </row>
    <row r="28" spans="1:5" ht="37.950000000000003" customHeight="1">
      <c r="A28" s="28">
        <v>24</v>
      </c>
      <c r="B28" s="29" t="s">
        <v>272</v>
      </c>
      <c r="C28" s="29" t="s">
        <v>292</v>
      </c>
      <c r="D28" s="30">
        <f>IFERROR(IF(cfg_exact_domain_ok,exact_r3_m_24_resident_q,0),0)</f>
        <v>0</v>
      </c>
      <c r="E28" s="29" t="s">
        <v>257</v>
      </c>
    </row>
    <row r="29" spans="1:5" ht="37.950000000000003" customHeight="1">
      <c r="A29" s="28">
        <v>25</v>
      </c>
      <c r="B29" s="29" t="s">
        <v>293</v>
      </c>
      <c r="C29" s="29" t="s">
        <v>294</v>
      </c>
      <c r="D29" s="30">
        <f>IFERROR(IF(cfg_exact_domain_ok,QUOTIENT(inp_specific_donation_total*2,5),0),0)</f>
        <v>0</v>
      </c>
      <c r="E29" s="29" t="s">
        <v>257</v>
      </c>
    </row>
    <row r="30" spans="1:5" ht="37.950000000000003" customHeight="1">
      <c r="A30" s="28">
        <v>26</v>
      </c>
      <c r="B30" s="29" t="s">
        <v>295</v>
      </c>
      <c r="C30" s="29" t="s">
        <v>296</v>
      </c>
      <c r="D30" s="30">
        <f>IFERROR(IF(cfg_exact_domain_ok,MAX(0,exact_r3_m_26_municipal_floor+exact_r3_m_26_delta_floor+QUOTIENT(exact_r3_m_26_municipal_rem+exact_r3_m_26_delta_rem,625)),0),0)</f>
        <v>0</v>
      </c>
      <c r="E30" s="29" t="s">
        <v>257</v>
      </c>
    </row>
    <row r="31" spans="1:5" ht="37.950000000000003" customHeight="1">
      <c r="A31" s="28">
        <v>27</v>
      </c>
      <c r="B31" s="29" t="s">
        <v>297</v>
      </c>
      <c r="C31" s="29" t="s">
        <v>298</v>
      </c>
      <c r="D31" s="30">
        <f>IFERROR(IF(cfg_exact_domain_ok,MIN(m_25,m_26),0),0)</f>
        <v>0</v>
      </c>
      <c r="E31" s="29" t="s">
        <v>257</v>
      </c>
    </row>
    <row r="32" spans="1:5" ht="37.950000000000003" customHeight="1">
      <c r="A32" s="28">
        <v>28</v>
      </c>
      <c r="B32" s="29" t="s">
        <v>272</v>
      </c>
      <c r="C32" s="29" t="s">
        <v>299</v>
      </c>
      <c r="D32" s="30">
        <f>IFERROR(IF(cfg_exact_domain_ok,m_24-m_27,0),0)</f>
        <v>0</v>
      </c>
      <c r="E32" s="29" t="s">
        <v>300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31864-F96C-4672-9A3C-6BBC3DE3C7F0}">
  <sheetPr>
    <tabColor rgb="FF2F75B5"/>
    <pageSetUpPr fitToPage="1"/>
  </sheetPr>
  <dimension ref="A1:E36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5" t="s">
        <v>301</v>
      </c>
      <c r="B1" s="6"/>
      <c r="C1" s="6"/>
      <c r="D1" s="6"/>
      <c r="E1" s="6"/>
    </row>
    <row r="2" spans="1:5">
      <c r="A2" s="7" t="s">
        <v>238</v>
      </c>
      <c r="B2" s="6"/>
      <c r="C2" s="6"/>
      <c r="D2" s="6"/>
      <c r="E2" s="6"/>
    </row>
    <row r="3" spans="1:5">
      <c r="A3" s="8"/>
      <c r="B3" s="8"/>
      <c r="C3" s="8"/>
      <c r="D3" s="8"/>
      <c r="E3" s="8"/>
    </row>
    <row r="4" spans="1:5">
      <c r="A4" s="27" t="s">
        <v>239</v>
      </c>
      <c r="B4" s="27" t="s">
        <v>240</v>
      </c>
      <c r="C4" s="27" t="s">
        <v>241</v>
      </c>
      <c r="D4" s="27" t="s">
        <v>242</v>
      </c>
      <c r="E4" s="27" t="s">
        <v>243</v>
      </c>
    </row>
    <row r="5" spans="1:5" ht="37.950000000000003" customHeight="1">
      <c r="A5" s="28">
        <v>1</v>
      </c>
      <c r="B5" s="29" t="s">
        <v>302</v>
      </c>
      <c r="C5" s="29" t="s">
        <v>278</v>
      </c>
      <c r="D5" s="30">
        <f>IFERROR(IF(cfg_exact_domain_ok,inp_f1_capital,0),0)</f>
        <v>0</v>
      </c>
      <c r="E5" s="29" t="s">
        <v>257</v>
      </c>
    </row>
    <row r="6" spans="1:5" ht="37.950000000000003" customHeight="1">
      <c r="A6" s="28">
        <v>2</v>
      </c>
      <c r="B6" s="29" t="s">
        <v>303</v>
      </c>
      <c r="C6" s="29" t="s">
        <v>304</v>
      </c>
      <c r="D6" s="30">
        <f>IFERROR(IF(cfg_exact_domain_ok,QUOTIENT(f1_01,4),0),0)</f>
        <v>0</v>
      </c>
      <c r="E6" s="29" t="s">
        <v>305</v>
      </c>
    </row>
    <row r="7" spans="1:5" ht="37.950000000000003" customHeight="1">
      <c r="A7" s="28">
        <v>3</v>
      </c>
      <c r="B7" s="29" t="s">
        <v>306</v>
      </c>
      <c r="C7" s="29" t="s">
        <v>307</v>
      </c>
      <c r="D7" s="30">
        <f>IFERROR(IF(cfg_exact_domain_ok,inp_f1_opening_profit-inp_prev_div,0),0)</f>
        <v>0</v>
      </c>
      <c r="E7" s="29" t="s">
        <v>257</v>
      </c>
    </row>
    <row r="8" spans="1:5" ht="37.950000000000003" customHeight="1">
      <c r="A8" s="28">
        <v>4</v>
      </c>
      <c r="B8" s="29" t="s">
        <v>114</v>
      </c>
      <c r="C8" s="29" t="s">
        <v>278</v>
      </c>
      <c r="D8" s="30">
        <f>IFERROR(IF(cfg_exact_domain_ok,inp_f1_merger_inc,0),0)</f>
        <v>0</v>
      </c>
      <c r="E8" s="29" t="s">
        <v>257</v>
      </c>
    </row>
    <row r="9" spans="1:5" ht="37.950000000000003" customHeight="1">
      <c r="A9" s="28">
        <v>5</v>
      </c>
      <c r="B9" s="29" t="s">
        <v>117</v>
      </c>
      <c r="C9" s="29" t="s">
        <v>278</v>
      </c>
      <c r="D9" s="30">
        <f>IFERROR(IF(cfg_exact_domain_ok,inp_f1_split_dec,0),0)</f>
        <v>0</v>
      </c>
      <c r="E9" s="29" t="s">
        <v>257</v>
      </c>
    </row>
    <row r="10" spans="1:5" ht="37.950000000000003" customHeight="1">
      <c r="A10" s="28">
        <v>6</v>
      </c>
      <c r="B10" s="29" t="s">
        <v>308</v>
      </c>
      <c r="C10" s="29" t="s">
        <v>309</v>
      </c>
      <c r="D10" s="30">
        <f>IFERROR(IF(cfg_exact_domain_ok,f1_03+f1_04-f1_05,0),0)</f>
        <v>0</v>
      </c>
      <c r="E10" s="29" t="s">
        <v>257</v>
      </c>
    </row>
    <row r="11" spans="1:5" ht="37.950000000000003" customHeight="1">
      <c r="A11" s="28">
        <v>7</v>
      </c>
      <c r="B11" s="29" t="s">
        <v>310</v>
      </c>
      <c r="C11" s="29" t="s">
        <v>311</v>
      </c>
      <c r="D11" s="30">
        <f>IFERROR(IF(cfg_exact_domain_ok,MAX(f1_02-f1_06,0),0),0)</f>
        <v>0</v>
      </c>
      <c r="E11" s="29" t="s">
        <v>312</v>
      </c>
    </row>
    <row r="12" spans="1:5" ht="37.950000000000003" customHeight="1">
      <c r="A12" s="28">
        <v>8</v>
      </c>
      <c r="B12" s="29" t="s">
        <v>313</v>
      </c>
      <c r="C12" s="29" t="s">
        <v>314</v>
      </c>
      <c r="D12" s="30">
        <f>IFERROR(IF(cfg_exact_domain_ok,IF(inp_months="",0,ROUNDDOWN(20000000*inp_months/12,0)),0),0)</f>
        <v>20000000</v>
      </c>
      <c r="E12" s="29" t="s">
        <v>305</v>
      </c>
    </row>
    <row r="13" spans="1:5" ht="37.950000000000003" customHeight="1">
      <c r="A13" s="28">
        <v>9</v>
      </c>
      <c r="B13" s="29" t="s">
        <v>315</v>
      </c>
      <c r="C13" s="29" t="s">
        <v>119</v>
      </c>
      <c r="D13" s="30">
        <f>IFERROR(IF(cfg_exact_domain_ok,inp_f1_09,0),0)</f>
        <v>0</v>
      </c>
      <c r="E13" s="29" t="s">
        <v>257</v>
      </c>
    </row>
    <row r="14" spans="1:5" ht="37.950000000000003" customHeight="1">
      <c r="A14" s="28">
        <v>10</v>
      </c>
      <c r="B14" s="29" t="s">
        <v>316</v>
      </c>
      <c r="C14" s="29" t="s">
        <v>123</v>
      </c>
      <c r="D14" s="30">
        <f>IFERROR(IF(cfg_exact_domain_ok,inp_f1_10,0),0)</f>
        <v>0</v>
      </c>
      <c r="E14" s="29" t="s">
        <v>257</v>
      </c>
    </row>
    <row r="15" spans="1:5" ht="37.950000000000003" customHeight="1">
      <c r="A15" s="28">
        <v>11</v>
      </c>
      <c r="B15" s="29" t="s">
        <v>317</v>
      </c>
      <c r="C15" s="29" t="s">
        <v>127</v>
      </c>
      <c r="D15" s="30">
        <f>IFERROR(IF(cfg_exact_domain_ok,inp_f1_11,0),0)</f>
        <v>0</v>
      </c>
      <c r="E15" s="29" t="s">
        <v>257</v>
      </c>
    </row>
    <row r="16" spans="1:5" ht="37.950000000000003" customHeight="1">
      <c r="A16" s="28">
        <v>12</v>
      </c>
      <c r="B16" s="29" t="s">
        <v>318</v>
      </c>
      <c r="C16" s="29" t="s">
        <v>130</v>
      </c>
      <c r="D16" s="30">
        <f>IFERROR(IF(cfg_exact_domain_ok,inp_f1_12,0),0)</f>
        <v>0</v>
      </c>
      <c r="E16" s="29" t="s">
        <v>257</v>
      </c>
    </row>
    <row r="17" spans="1:5" ht="37.950000000000003" customHeight="1">
      <c r="A17" s="28">
        <v>13</v>
      </c>
      <c r="B17" s="29" t="s">
        <v>319</v>
      </c>
      <c r="C17" s="29" t="s">
        <v>133</v>
      </c>
      <c r="D17" s="30">
        <f>IFERROR(IF(cfg_exact_domain_ok,inp_f1_13,0),0)</f>
        <v>0</v>
      </c>
      <c r="E17" s="29" t="s">
        <v>257</v>
      </c>
    </row>
    <row r="18" spans="1:5" ht="37.950000000000003" customHeight="1">
      <c r="A18" s="28">
        <v>14</v>
      </c>
      <c r="B18" s="29" t="s">
        <v>320</v>
      </c>
      <c r="C18" s="29" t="s">
        <v>136</v>
      </c>
      <c r="D18" s="30">
        <f>IFERROR(IF(cfg_exact_domain_ok,inp_f1_14,0),0)</f>
        <v>0</v>
      </c>
      <c r="E18" s="29" t="s">
        <v>257</v>
      </c>
    </row>
    <row r="19" spans="1:5" ht="37.950000000000003" customHeight="1">
      <c r="A19" s="28">
        <v>15</v>
      </c>
      <c r="B19" s="29" t="s">
        <v>321</v>
      </c>
      <c r="C19" s="29" t="s">
        <v>139</v>
      </c>
      <c r="D19" s="30">
        <f>IFERROR(IF(cfg_exact_domain_ok,inp_f1_15,0),0)</f>
        <v>0</v>
      </c>
      <c r="E19" s="29" t="s">
        <v>257</v>
      </c>
    </row>
    <row r="20" spans="1:5" ht="37.950000000000003" customHeight="1">
      <c r="A20" s="28">
        <v>16</v>
      </c>
      <c r="B20" s="29" t="s">
        <v>322</v>
      </c>
      <c r="C20" s="29" t="s">
        <v>142</v>
      </c>
      <c r="D20" s="30">
        <f>IFERROR(IF(cfg_exact_domain_ok,inp_f1_16,0),0)</f>
        <v>0</v>
      </c>
      <c r="E20" s="29" t="s">
        <v>257</v>
      </c>
    </row>
    <row r="21" spans="1:5" ht="37.950000000000003" customHeight="1">
      <c r="A21" s="28">
        <v>17</v>
      </c>
      <c r="B21" s="29" t="s">
        <v>323</v>
      </c>
      <c r="C21" s="29" t="s">
        <v>145</v>
      </c>
      <c r="D21" s="30">
        <f>IFERROR(IF(cfg_exact_domain_ok,inp_f1_17,0),0)</f>
        <v>0</v>
      </c>
      <c r="E21" s="29" t="s">
        <v>257</v>
      </c>
    </row>
    <row r="22" spans="1:5" ht="37.950000000000003" customHeight="1">
      <c r="A22" s="28">
        <v>18</v>
      </c>
      <c r="B22" s="29" t="s">
        <v>280</v>
      </c>
      <c r="C22" s="29" t="s">
        <v>148</v>
      </c>
      <c r="D22" s="30">
        <f>IFERROR(IF(cfg_exact_domain_ok,inp_f1_18,0),0)</f>
        <v>0</v>
      </c>
      <c r="E22" s="29" t="s">
        <v>257</v>
      </c>
    </row>
    <row r="23" spans="1:5" ht="37.950000000000003" customHeight="1">
      <c r="A23" s="28">
        <v>19</v>
      </c>
      <c r="B23" s="29" t="s">
        <v>324</v>
      </c>
      <c r="C23" s="29" t="s">
        <v>151</v>
      </c>
      <c r="D23" s="30">
        <f>IFERROR(IF(cfg_exact_domain_ok,inp_f1_19,0),0)</f>
        <v>0</v>
      </c>
      <c r="E23" s="29" t="s">
        <v>257</v>
      </c>
    </row>
    <row r="24" spans="1:5" ht="37.950000000000003" customHeight="1">
      <c r="A24" s="28">
        <v>20</v>
      </c>
      <c r="B24" s="29" t="s">
        <v>325</v>
      </c>
      <c r="C24" s="29" t="s">
        <v>154</v>
      </c>
      <c r="D24" s="30">
        <f>IFERROR(IF(cfg_exact_domain_ok,inp_f1_20,0),0)</f>
        <v>0</v>
      </c>
      <c r="E24" s="29" t="s">
        <v>257</v>
      </c>
    </row>
    <row r="25" spans="1:5" ht="37.950000000000003" customHeight="1">
      <c r="A25" s="28">
        <v>21</v>
      </c>
      <c r="B25" s="29" t="s">
        <v>326</v>
      </c>
      <c r="C25" s="29" t="s">
        <v>157</v>
      </c>
      <c r="D25" s="30">
        <f>IFERROR(IF(cfg_exact_domain_ok,inp_f1_21,0),0)</f>
        <v>0</v>
      </c>
      <c r="E25" s="29" t="s">
        <v>257</v>
      </c>
    </row>
    <row r="26" spans="1:5" ht="37.950000000000003" customHeight="1">
      <c r="A26" s="28">
        <v>22</v>
      </c>
      <c r="B26" s="29" t="s">
        <v>327</v>
      </c>
      <c r="C26" s="29" t="s">
        <v>160</v>
      </c>
      <c r="D26" s="30">
        <f>IFERROR(IF(cfg_exact_domain_ok,inp_f1_22,0),0)</f>
        <v>0</v>
      </c>
      <c r="E26" s="29" t="s">
        <v>257</v>
      </c>
    </row>
    <row r="27" spans="1:5" ht="37.950000000000003" customHeight="1">
      <c r="A27" s="28">
        <v>23</v>
      </c>
      <c r="B27" s="29" t="s">
        <v>328</v>
      </c>
      <c r="C27" s="29" t="s">
        <v>163</v>
      </c>
      <c r="D27" s="30">
        <f>IFERROR(IF(cfg_exact_domain_ok,inp_f1_23,0),0)</f>
        <v>0</v>
      </c>
      <c r="E27" s="29" t="s">
        <v>257</v>
      </c>
    </row>
    <row r="28" spans="1:5" ht="37.950000000000003" customHeight="1">
      <c r="A28" s="28">
        <v>24</v>
      </c>
      <c r="B28" s="29" t="s">
        <v>329</v>
      </c>
      <c r="C28" s="29" t="s">
        <v>166</v>
      </c>
      <c r="D28" s="30">
        <f>IFERROR(IF(cfg_exact_domain_ok,inp_f1_24,0),0)</f>
        <v>0</v>
      </c>
      <c r="E28" s="29" t="s">
        <v>257</v>
      </c>
    </row>
    <row r="29" spans="1:5" ht="37.950000000000003" customHeight="1">
      <c r="A29" s="28">
        <v>25</v>
      </c>
      <c r="B29" s="29" t="s">
        <v>330</v>
      </c>
      <c r="C29" s="29" t="s">
        <v>169</v>
      </c>
      <c r="D29" s="30">
        <f>IFERROR(IF(cfg_exact_domain_ok,inp_f1_25,0),0)</f>
        <v>0</v>
      </c>
      <c r="E29" s="29" t="s">
        <v>257</v>
      </c>
    </row>
    <row r="30" spans="1:5" ht="37.950000000000003" customHeight="1">
      <c r="A30" s="28">
        <v>26</v>
      </c>
      <c r="B30" s="29" t="s">
        <v>331</v>
      </c>
      <c r="C30" s="29" t="s">
        <v>172</v>
      </c>
      <c r="D30" s="30">
        <f>IFERROR(IF(cfg_exact_domain_ok,inp_f1_26,0),0)</f>
        <v>0</v>
      </c>
      <c r="E30" s="29" t="s">
        <v>257</v>
      </c>
    </row>
    <row r="31" spans="1:5" ht="37.950000000000003" customHeight="1">
      <c r="A31" s="28">
        <v>27</v>
      </c>
      <c r="B31" s="29" t="s">
        <v>332</v>
      </c>
      <c r="C31" s="29" t="s">
        <v>175</v>
      </c>
      <c r="D31" s="30">
        <f>IFERROR(IF(cfg_exact_domain_ok,inp_f1_27,0),0)</f>
        <v>0</v>
      </c>
      <c r="E31" s="29" t="s">
        <v>257</v>
      </c>
    </row>
    <row r="32" spans="1:5" ht="37.950000000000003" customHeight="1">
      <c r="A32" s="28">
        <v>28</v>
      </c>
      <c r="B32" s="29" t="s">
        <v>333</v>
      </c>
      <c r="C32" s="29" t="s">
        <v>178</v>
      </c>
      <c r="D32" s="30">
        <f>IFERROR(IF(cfg_exact_domain_ok,inp_f1_28,0),0)</f>
        <v>0</v>
      </c>
      <c r="E32" s="29" t="s">
        <v>257</v>
      </c>
    </row>
    <row r="33" spans="1:5" ht="37.950000000000003" customHeight="1">
      <c r="A33" s="28">
        <v>29</v>
      </c>
      <c r="B33" s="29" t="s">
        <v>334</v>
      </c>
      <c r="C33" s="29" t="s">
        <v>181</v>
      </c>
      <c r="D33" s="30">
        <f>IFERROR(IF(cfg_exact_domain_ok,inp_f1_29,0),0)</f>
        <v>0</v>
      </c>
      <c r="E33" s="29" t="s">
        <v>257</v>
      </c>
    </row>
    <row r="34" spans="1:5" ht="37.950000000000003" customHeight="1">
      <c r="A34" s="28">
        <v>30</v>
      </c>
      <c r="B34" s="29" t="s">
        <v>335</v>
      </c>
      <c r="C34" s="29" t="s">
        <v>336</v>
      </c>
      <c r="D34" s="30">
        <f>IFERROR(IF(cfg_exact_domain_ok,f1_09-f1_10+f1_11+f1_12+f1_13+f1_14+f1_15+f1_16-f1_17-f1_18+f1_19+f1_20-f1_21+f1_22+f1_23+f1_24+f1_25-f1_26+f1_27+f1_28-f1_29,0),0)</f>
        <v>0</v>
      </c>
      <c r="E34" s="29" t="s">
        <v>257</v>
      </c>
    </row>
    <row r="35" spans="1:5" ht="37.950000000000003" customHeight="1">
      <c r="A35" s="28">
        <v>31</v>
      </c>
      <c r="B35" s="29" t="s">
        <v>337</v>
      </c>
      <c r="C35" s="29" t="s">
        <v>338</v>
      </c>
      <c r="D35" s="30">
        <f>IFERROR(IF(cfg_exact_domain_ok,exact_r3_f1_31_income_q,0),0)</f>
        <v>0</v>
      </c>
      <c r="E35" s="29" t="s">
        <v>305</v>
      </c>
    </row>
    <row r="36" spans="1:5" ht="37.950000000000003" customHeight="1">
      <c r="A36" s="28">
        <v>32</v>
      </c>
      <c r="B36" s="29" t="s">
        <v>284</v>
      </c>
      <c r="C36" s="29" t="s">
        <v>339</v>
      </c>
      <c r="D36" s="33">
        <f>IFERROR(IF(cfg_exact_domain_ok,MAX(f1_07,f1_08,f1_31),0),0)</f>
        <v>20000000</v>
      </c>
      <c r="E36" s="29" t="s">
        <v>340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490DC-0CB8-47A4-9051-45DC3492F970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7F4B-67E8-418E-85DB-95274D58C49A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26A7-708E-41CB-ADD3-758E574F02FB}">
  <sheetPr>
    <tabColor rgb="FFC00000"/>
    <pageSetUpPr fitToPage="1"/>
  </sheetPr>
  <dimension ref="A1:D28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3" t="s">
        <v>432</v>
      </c>
      <c r="B1" s="39"/>
      <c r="C1" s="39"/>
      <c r="D1" s="39"/>
    </row>
    <row r="2" spans="1:4">
      <c r="A2" s="44"/>
      <c r="B2" s="44"/>
      <c r="C2" s="44"/>
      <c r="D2" s="44"/>
    </row>
    <row r="3" spans="1:4">
      <c r="A3" s="45" t="s">
        <v>433</v>
      </c>
      <c r="B3" s="45" t="s">
        <v>434</v>
      </c>
      <c r="C3" s="45" t="s">
        <v>435</v>
      </c>
      <c r="D3" s="45" t="s">
        <v>436</v>
      </c>
    </row>
    <row r="4" spans="1:4">
      <c r="A4" s="17" t="s">
        <v>437</v>
      </c>
      <c r="B4" s="17" t="s">
        <v>438</v>
      </c>
      <c r="C4" s="17" t="s">
        <v>439</v>
      </c>
      <c r="D4" s="46" t="s">
        <v>440</v>
      </c>
    </row>
    <row r="5" spans="1:4">
      <c r="A5" s="17" t="s">
        <v>441</v>
      </c>
      <c r="B5" s="17" t="s">
        <v>442</v>
      </c>
      <c r="C5" s="17" t="s">
        <v>442</v>
      </c>
      <c r="D5" s="46" t="s">
        <v>440</v>
      </c>
    </row>
    <row r="6" spans="1:4">
      <c r="A6" s="17" t="s">
        <v>443</v>
      </c>
      <c r="B6" s="17" t="s">
        <v>444</v>
      </c>
      <c r="C6" s="17" t="s">
        <v>444</v>
      </c>
      <c r="D6" s="46" t="s">
        <v>440</v>
      </c>
    </row>
    <row r="7" spans="1:4">
      <c r="A7" s="17" t="s">
        <v>445</v>
      </c>
      <c r="B7" s="17" t="s">
        <v>446</v>
      </c>
      <c r="C7" s="17" t="s">
        <v>446</v>
      </c>
      <c r="D7" s="46" t="s">
        <v>440</v>
      </c>
    </row>
    <row r="8" spans="1:4">
      <c r="A8" s="17" t="s">
        <v>447</v>
      </c>
      <c r="B8" s="17" t="s">
        <v>446</v>
      </c>
      <c r="C8" s="17" t="s">
        <v>446</v>
      </c>
      <c r="D8" s="46" t="s">
        <v>440</v>
      </c>
    </row>
    <row r="9" spans="1:4">
      <c r="A9" s="17" t="s">
        <v>448</v>
      </c>
      <c r="B9" s="17" t="s">
        <v>446</v>
      </c>
      <c r="C9" s="17" t="s">
        <v>446</v>
      </c>
      <c r="D9" s="46" t="s">
        <v>440</v>
      </c>
    </row>
    <row r="10" spans="1:4">
      <c r="A10" s="17" t="s">
        <v>449</v>
      </c>
      <c r="B10" s="17" t="s">
        <v>450</v>
      </c>
      <c r="C10" s="17" t="s">
        <v>450</v>
      </c>
      <c r="D10" s="46" t="s">
        <v>440</v>
      </c>
    </row>
    <row r="11" spans="1:4">
      <c r="A11" s="17" t="s">
        <v>451</v>
      </c>
      <c r="B11" s="17" t="s">
        <v>452</v>
      </c>
      <c r="C11" s="17" t="s">
        <v>453</v>
      </c>
      <c r="D11" s="46" t="s">
        <v>440</v>
      </c>
    </row>
    <row r="12" spans="1:4">
      <c r="A12" s="17" t="s">
        <v>454</v>
      </c>
      <c r="B12" s="17" t="s">
        <v>452</v>
      </c>
      <c r="C12" s="17" t="s">
        <v>453</v>
      </c>
      <c r="D12" s="46" t="s">
        <v>440</v>
      </c>
    </row>
    <row r="13" spans="1:4">
      <c r="A13" s="17" t="s">
        <v>455</v>
      </c>
      <c r="B13" s="17" t="s">
        <v>452</v>
      </c>
      <c r="C13" s="17" t="s">
        <v>453</v>
      </c>
      <c r="D13" s="46" t="s">
        <v>440</v>
      </c>
    </row>
    <row r="14" spans="1:4" ht="36">
      <c r="A14" s="17" t="s">
        <v>456</v>
      </c>
      <c r="B14" s="17" t="s">
        <v>457</v>
      </c>
      <c r="C14" s="17" t="s">
        <v>458</v>
      </c>
      <c r="D14" s="46" t="s">
        <v>440</v>
      </c>
    </row>
    <row r="15" spans="1:4">
      <c r="A15" s="17" t="s">
        <v>459</v>
      </c>
      <c r="B15" s="17" t="s">
        <v>460</v>
      </c>
      <c r="C15" s="17" t="s">
        <v>460</v>
      </c>
      <c r="D15" s="46" t="s">
        <v>440</v>
      </c>
    </row>
    <row r="16" spans="1:4">
      <c r="A16" s="17" t="s">
        <v>461</v>
      </c>
      <c r="B16" s="17" t="s">
        <v>462</v>
      </c>
      <c r="C16" s="17" t="s">
        <v>463</v>
      </c>
      <c r="D16" s="46" t="s">
        <v>440</v>
      </c>
    </row>
    <row r="17" spans="1:4">
      <c r="A17" s="17" t="s">
        <v>464</v>
      </c>
      <c r="B17" s="17">
        <v>94847765582067</v>
      </c>
      <c r="C17" s="17">
        <v>94847765582067</v>
      </c>
      <c r="D17" s="46" t="s">
        <v>440</v>
      </c>
    </row>
    <row r="18" spans="1:4">
      <c r="A18" s="17" t="s">
        <v>465</v>
      </c>
      <c r="B18" s="17" t="b">
        <v>1</v>
      </c>
      <c r="C18" s="17" t="b">
        <v>1</v>
      </c>
      <c r="D18" s="46" t="s">
        <v>440</v>
      </c>
    </row>
    <row r="19" spans="1:4">
      <c r="A19" s="17"/>
      <c r="B19" s="17"/>
      <c r="C19" s="17"/>
      <c r="D19" s="17"/>
    </row>
    <row r="20" spans="1:4" ht="22.95" customHeight="1">
      <c r="A20" s="47" t="s">
        <v>466</v>
      </c>
      <c r="B20" s="47"/>
      <c r="C20" s="47"/>
      <c r="D20" s="47"/>
    </row>
    <row r="21" spans="1:4">
      <c r="A21" s="17" t="s">
        <v>467</v>
      </c>
      <c r="B21" s="17">
        <v>0</v>
      </c>
      <c r="C21" s="17">
        <v>0</v>
      </c>
      <c r="D21" s="48" t="s">
        <v>440</v>
      </c>
    </row>
    <row r="22" spans="1:4">
      <c r="A22" s="17" t="s">
        <v>468</v>
      </c>
      <c r="B22" s="17">
        <v>28</v>
      </c>
      <c r="C22" s="17">
        <v>28</v>
      </c>
      <c r="D22" s="48" t="s">
        <v>440</v>
      </c>
    </row>
    <row r="23" spans="1:4">
      <c r="A23" s="17" t="s">
        <v>469</v>
      </c>
      <c r="B23" s="17">
        <v>32</v>
      </c>
      <c r="C23" s="17">
        <v>32</v>
      </c>
      <c r="D23" s="48" t="s">
        <v>440</v>
      </c>
    </row>
    <row r="24" spans="1:4">
      <c r="A24" s="17" t="s">
        <v>470</v>
      </c>
      <c r="B24" s="17">
        <v>0</v>
      </c>
      <c r="C24" s="17">
        <v>0</v>
      </c>
      <c r="D24" s="48" t="s">
        <v>440</v>
      </c>
    </row>
    <row r="25" spans="1:4">
      <c r="A25" s="17" t="s">
        <v>471</v>
      </c>
      <c r="B25" s="17" t="b">
        <v>1</v>
      </c>
      <c r="C25" s="17" t="b">
        <v>1</v>
      </c>
      <c r="D25" s="48" t="s">
        <v>440</v>
      </c>
    </row>
    <row r="26" spans="1:4">
      <c r="A26" s="17" t="s">
        <v>472</v>
      </c>
      <c r="B26" s="17" t="b">
        <v>1</v>
      </c>
      <c r="C26" s="17" t="b">
        <v>1</v>
      </c>
      <c r="D26" s="48" t="s">
        <v>440</v>
      </c>
    </row>
    <row r="27" spans="1:4">
      <c r="A27" s="17" t="s">
        <v>473</v>
      </c>
      <c r="B27" s="17" t="b">
        <v>1</v>
      </c>
      <c r="C27" s="17" t="b">
        <v>1</v>
      </c>
      <c r="D27" s="48" t="s">
        <v>440</v>
      </c>
    </row>
    <row r="28" spans="1:4">
      <c r="A28" s="17" t="s">
        <v>474</v>
      </c>
      <c r="B28" s="17" t="b">
        <v>1</v>
      </c>
      <c r="C28" s="17" t="b">
        <v>1</v>
      </c>
      <c r="D28" s="48" t="s">
        <v>440</v>
      </c>
    </row>
  </sheetData>
  <sheetProtection sheet="1" objects="1" scenarios="1"/>
  <mergeCells count="2">
    <mergeCell ref="A1:D1"/>
    <mergeCell ref="A20:D20"/>
  </mergeCells>
  <phoneticPr fontId="3"/>
  <pageMargins left="0.7" right="0.7" top="0.75" bottom="0.75" header="0.3" footer="0.3"/>
  <pageSetup paperSize="9" fitToHeight="99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CD6B6-FC1D-4313-AA56-706C8E9FFB37}">
  <sheetPr>
    <tabColor rgb="FFD9E1F2"/>
    <pageSetUpPr fitToPage="1"/>
  </sheetPr>
  <dimension ref="A1:E13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5" t="s">
        <v>395</v>
      </c>
      <c r="B1" s="6"/>
      <c r="C1" s="6"/>
      <c r="D1" s="6"/>
      <c r="E1" s="6"/>
    </row>
    <row r="2" spans="1:5">
      <c r="A2" s="8"/>
      <c r="B2" s="8"/>
      <c r="C2" s="8"/>
      <c r="D2" s="8"/>
      <c r="E2" s="8"/>
    </row>
    <row r="3" spans="1:5">
      <c r="A3" s="16" t="s">
        <v>396</v>
      </c>
      <c r="B3" s="16" t="s">
        <v>397</v>
      </c>
      <c r="C3" s="16" t="s">
        <v>398</v>
      </c>
      <c r="D3" s="16" t="s">
        <v>399</v>
      </c>
      <c r="E3" s="16" t="s">
        <v>400</v>
      </c>
    </row>
    <row r="4" spans="1:5" ht="42" customHeight="1">
      <c r="A4" s="12" t="s">
        <v>401</v>
      </c>
      <c r="B4" s="17" t="s">
        <v>402</v>
      </c>
      <c r="C4" s="42" t="s">
        <v>403</v>
      </c>
      <c r="D4" s="17"/>
      <c r="E4" s="17" t="s">
        <v>404</v>
      </c>
    </row>
    <row r="5" spans="1:5" ht="42" customHeight="1">
      <c r="A5" s="12" t="s">
        <v>401</v>
      </c>
      <c r="B5" s="17" t="s">
        <v>405</v>
      </c>
      <c r="C5" s="42" t="s">
        <v>406</v>
      </c>
      <c r="D5" s="17" t="s">
        <v>407</v>
      </c>
      <c r="E5" s="17" t="s">
        <v>408</v>
      </c>
    </row>
    <row r="6" spans="1:5" ht="42" customHeight="1">
      <c r="A6" s="12" t="s">
        <v>401</v>
      </c>
      <c r="B6" s="17" t="s">
        <v>409</v>
      </c>
      <c r="C6" s="42" t="s">
        <v>410</v>
      </c>
      <c r="D6" s="17" t="s">
        <v>411</v>
      </c>
      <c r="E6" s="17" t="s">
        <v>408</v>
      </c>
    </row>
    <row r="7" spans="1:5" ht="42" customHeight="1">
      <c r="A7" s="12" t="s">
        <v>401</v>
      </c>
      <c r="B7" s="17" t="s">
        <v>412</v>
      </c>
      <c r="C7" s="42" t="s">
        <v>413</v>
      </c>
      <c r="D7" s="17" t="s">
        <v>414</v>
      </c>
      <c r="E7" s="17" t="s">
        <v>408</v>
      </c>
    </row>
    <row r="8" spans="1:5" ht="42" customHeight="1">
      <c r="A8" s="12" t="s">
        <v>401</v>
      </c>
      <c r="B8" s="17" t="s">
        <v>415</v>
      </c>
      <c r="C8" s="42" t="s">
        <v>416</v>
      </c>
      <c r="D8" s="17" t="s">
        <v>417</v>
      </c>
      <c r="E8" s="17" t="s">
        <v>408</v>
      </c>
    </row>
    <row r="9" spans="1:5" ht="42" customHeight="1">
      <c r="A9" s="12" t="s">
        <v>401</v>
      </c>
      <c r="B9" s="17" t="s">
        <v>418</v>
      </c>
      <c r="C9" s="42" t="s">
        <v>419</v>
      </c>
      <c r="D9" s="17"/>
      <c r="E9" s="17" t="s">
        <v>420</v>
      </c>
    </row>
    <row r="10" spans="1:5" ht="42" customHeight="1">
      <c r="A10" s="12" t="s">
        <v>421</v>
      </c>
      <c r="B10" s="17" t="s">
        <v>422</v>
      </c>
      <c r="C10" s="42" t="s">
        <v>423</v>
      </c>
      <c r="D10" s="17"/>
      <c r="E10" s="17" t="s">
        <v>424</v>
      </c>
    </row>
    <row r="11" spans="1:5" ht="42" customHeight="1">
      <c r="A11" s="12" t="s">
        <v>421</v>
      </c>
      <c r="B11" s="17" t="s">
        <v>425</v>
      </c>
      <c r="C11" s="42" t="s">
        <v>426</v>
      </c>
      <c r="D11" s="17"/>
      <c r="E11" s="17" t="s">
        <v>427</v>
      </c>
    </row>
    <row r="12" spans="1:5">
      <c r="A12" s="12"/>
      <c r="B12" s="12"/>
      <c r="C12" s="12"/>
      <c r="D12" s="12"/>
      <c r="E12" s="12"/>
    </row>
    <row r="13" spans="1:5">
      <c r="A13" s="12" t="s">
        <v>428</v>
      </c>
      <c r="B13" s="11" t="s">
        <v>429</v>
      </c>
      <c r="C13" s="11"/>
      <c r="D13" s="11"/>
      <c r="E13" s="11"/>
    </row>
  </sheetData>
  <sheetProtection sheet="1" objects="1" scenarios="1"/>
  <mergeCells count="2">
    <mergeCell ref="A1:E1"/>
    <mergeCell ref="B13:E13"/>
  </mergeCells>
  <phoneticPr fontId="3"/>
  <hyperlinks>
    <hyperlink ref="C4" r:id="rId1" tooltip="https://www.nta.go.jp/taxes/tetsuzuki/shinsei/annai/hojin/shinkoku/itiran2021/01.htm" xr:uid="{B61438DA-AABD-41FF-A461-0B6AE0EDA8A2}"/>
    <hyperlink ref="C5" r:id="rId2" tooltip="https://www.nta.go.jp/taxes/tetsuzuki/shinsei/annai/hojin/shinkoku/itiran2021/pdf/03%2801%29.pdf" xr:uid="{C1D5127A-3498-41B8-A915-1AE7D2FC7639}"/>
    <hyperlink ref="C6" r:id="rId3" tooltip="https://www.nta.go.jp/taxes/tetsuzuki/shinsei/annai/hojin/shinkoku/itiran2021/pdf/03%2801%29-ki.pdf" xr:uid="{D9251B40-991B-4DEE-B4AB-AF15062DEE80}"/>
    <hyperlink ref="C7" r:id="rId4" tooltip="https://www.nta.go.jp/taxes/tetsuzuki/shinsei/annai/hojin/shinkoku/itiran2021/pdf/03%2801%29-f.pdf" xr:uid="{9FF11903-8512-40A7-B3F6-B081ED904EE0}"/>
    <hyperlink ref="C8" r:id="rId5" tooltip="https://www.nta.go.jp/taxes/tetsuzuki/shinsei/annai/hojin/shinkoku/itiran2021/pdf/03%2801%29-f-ki.pdf" xr:uid="{ACD7EACC-B4A8-4B91-8CE9-0E08632DA01B}"/>
    <hyperlink ref="C9" r:id="rId6" tooltip="https://www.nta.go.jp/law/tsutatsu/kihon/hojin/16/16_01_02.htm" xr:uid="{69D45F49-97AF-44FF-BB81-01DBA17489E6}"/>
    <hyperlink ref="C10" r:id="rId7" location="Mp-At_67" tooltip="https://laws.e-gov.go.jp/law/340AC0000000034#Mp-At_67" xr:uid="{72BFBD6C-3D01-47E7-B4AE-D387192CC16D}"/>
    <hyperlink ref="C11" r:id="rId8" location="Mp-At_10" tooltip="https://laws.e-gov.go.jp/law/337AC0000000066#Mp-At_10" xr:uid="{BDC2BBA8-755E-4FB5-9490-A1086AB684E1}"/>
  </hyperlinks>
  <pageMargins left="0.7" right="0.7" top="0.75" bottom="0.75" header="0.3" footer="0.3"/>
  <pageSetup paperSize="9" fitToHeight="999" orientation="landscape" r:id="rId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6B49-DD49-4142-AAB8-132A51E58CD5}">
  <dimension ref="A1:C36"/>
  <sheetViews>
    <sheetView workbookViewId="0"/>
  </sheetViews>
  <sheetFormatPr defaultRowHeight="18"/>
  <sheetData>
    <row r="1" spans="1:3">
      <c r="A1" t="str">
        <f>IFERROR(IF(cfg_calculation_ready,IF(inp_corp="","",inp_corp),""),"")</f>
        <v/>
      </c>
    </row>
    <row r="2" spans="1:3">
      <c r="A2" t="str">
        <f>IFERROR(IF(cfg_calculation_ready,IF(OR(inp_start="",inp_end=""),"",TEXT(inp_start,"yyyy.m.d")&amp;CHAR(10)&amp;TEXT(inp_end,"yyyy.m.d")),""),"")</f>
        <v/>
      </c>
    </row>
    <row r="5" spans="1:3">
      <c r="A5" t="str">
        <f>IFERROR(IF(cfg_calculation_ready,IF(m_01=0,"",TEXT(m_01/1000,"#,##0;-#,##0")),""),"")</f>
        <v/>
      </c>
      <c r="B5" t="str">
        <f>IFERROR(IF(cfg_calculation_ready,IF(inp_m9_inner=0,"",TEXT(inp_m9_inner,"#,##0;-#,##0")),""),"")</f>
        <v/>
      </c>
      <c r="C5" t="str">
        <f>IFERROR(IF(cfg_calculation_ready,IF(f1_01=0,"",TEXT(f1_01,"#,##0;-#,##0")),""),"")</f>
        <v/>
      </c>
    </row>
    <row r="6" spans="1:3">
      <c r="A6" t="str">
        <f>IFERROR(IF(cfg_calculation_ready,IF(m_02=0,"",TEXT(m_02/1000,"#,##0;-#,##0")),""),"")</f>
        <v/>
      </c>
      <c r="C6" t="str">
        <f>IFERROR(IF(cfg_calculation_ready,IF(f1_02=0,"",TEXT(f1_02,"#,##0;-#,##0")),""),"")</f>
        <v/>
      </c>
    </row>
    <row r="7" spans="1:3">
      <c r="A7" t="str">
        <f>IFERROR(IF(cfg_calculation_ready,IF(m_03=0,"",TEXT(m_03/1000,"#,##0;-#,##0")),""),"")</f>
        <v/>
      </c>
      <c r="C7" t="str">
        <f>IFERROR(IF(cfg_calculation_ready,IF(f1_03=0,"",TEXT(f1_03,"#,##0;-#,##0")),""),"")</f>
        <v/>
      </c>
    </row>
    <row r="8" spans="1:3">
      <c r="A8" t="str">
        <f>IFERROR(IF(cfg_calculation_ready,IF(m_04=0,"",TEXT(m_04/1000,"#,##0;-#,##0")),""),"")</f>
        <v/>
      </c>
      <c r="C8" t="str">
        <f>IFERROR(IF(cfg_calculation_ready,IF(f1_04=0,"",TEXT(f1_04,"#,##0;-#,##0")),""),"")</f>
        <v/>
      </c>
    </row>
    <row r="9" spans="1:3">
      <c r="A9" t="str">
        <f>IFERROR(IF(cfg_calculation_ready,IF(m_05=0,"",TEXT(m_05,"#,##0;-#,##0")),""),"")</f>
        <v/>
      </c>
      <c r="C9" t="str">
        <f>IFERROR(IF(cfg_calculation_ready,IF(f1_05=0,"",TEXT(f1_05,"#,##0;-#,##0")),""),"")</f>
        <v/>
      </c>
    </row>
    <row r="10" spans="1:3">
      <c r="A10" t="str">
        <f>IFERROR(IF(cfg_calculation_ready,IF(m_06=0,"",TEXT(m_06,"#,##0;-#,##0")),""),"")</f>
        <v/>
      </c>
      <c r="C10" t="str">
        <f>IFERROR(IF(cfg_calculation_ready,IF(f1_06=0,"",TEXT(f1_06,"#,##0;-#,##0")),""),"")</f>
        <v/>
      </c>
    </row>
    <row r="11" spans="1:3">
      <c r="A11" t="str">
        <f>IFERROR(IF(cfg_calculation_ready,IF(m_07=0,"",TEXT(m_07,"#,##0;-#,##0")),""),"")</f>
        <v/>
      </c>
      <c r="C11" t="str">
        <f>IFERROR(IF(cfg_calculation_ready,IF(f1_07=0,"",TEXT(f1_07,"#,##0;-#,##0")),""),"")</f>
        <v/>
      </c>
    </row>
    <row r="12" spans="1:3">
      <c r="A12" t="str">
        <f>IFERROR(IF(cfg_calculation_ready,IF(m_08=0,"",TEXT(m_08,"#,##0;-#,##0")),""),"")</f>
        <v/>
      </c>
      <c r="C12" t="str">
        <f>IFERROR(IF(cfg_calculation_ready,IF(f1_08=0,"",TEXT(f1_08,"#,##0;-#,##0")),""),"")</f>
        <v/>
      </c>
    </row>
    <row r="13" spans="1:3">
      <c r="A13" t="str">
        <f>IFERROR(IF(cfg_calculation_ready,IF(m_09=0,"",TEXT(m_09,"#,##0;-#,##0")),""),"")</f>
        <v/>
      </c>
      <c r="C13" t="str">
        <f>IFERROR(IF(cfg_calculation_ready,IF(f1_09=0,"",TEXT(f1_09,"#,##0;-#,##0")),""),"")</f>
        <v/>
      </c>
    </row>
    <row r="14" spans="1:3">
      <c r="A14" t="str">
        <f>IFERROR(IF(cfg_calculation_ready,IF(m_10=0,"",TEXT(m_10,"#,##0;-#,##0")),""),"")</f>
        <v/>
      </c>
      <c r="C14" t="str">
        <f>IFERROR(IF(cfg_calculation_ready,IF(f1_10=0,"",TEXT(f1_10,"#,##0;-#,##0")),""),"")</f>
        <v/>
      </c>
    </row>
    <row r="15" spans="1:3">
      <c r="A15" t="str">
        <f>IFERROR(IF(cfg_calculation_ready,IF(m_11=0,"",TEXT(m_11,"#,##0;-#,##0")),""),"")</f>
        <v/>
      </c>
      <c r="C15" t="str">
        <f>IFERROR(IF(cfg_calculation_ready,IF(f1_11=0,"",TEXT(f1_11,"#,##0;-#,##0")),""),"")</f>
        <v/>
      </c>
    </row>
    <row r="16" spans="1:3">
      <c r="A16" t="str">
        <f>IFERROR(IF(cfg_calculation_ready,IF(m_12=0,"",TEXT(m_12,"#,##0;-#,##0")),""),"")</f>
        <v/>
      </c>
      <c r="C16" t="str">
        <f>IFERROR(IF(cfg_calculation_ready,IF(f1_12=0,"",TEXT(f1_12,"#,##0;-#,##0")),""),"")</f>
        <v/>
      </c>
    </row>
    <row r="17" spans="1:3">
      <c r="A17" t="str">
        <f>IFERROR(IF(cfg_calculation_ready,IF(m_13=0,"",TEXT(m_13,"#,##0;-#,##0")),""),"")</f>
        <v/>
      </c>
      <c r="C17" t="str">
        <f>IFERROR(IF(cfg_calculation_ready,IF(f1_13=0,"",TEXT(f1_13,"#,##0;-#,##0")),""),"")</f>
        <v/>
      </c>
    </row>
    <row r="18" spans="1:3">
      <c r="A18" t="str">
        <f>IFERROR(IF(cfg_calculation_ready,IF(m_14=0,"",TEXT(m_14,"#,##0;-#,##0")),""),"")</f>
        <v/>
      </c>
      <c r="C18" t="str">
        <f>IFERROR(IF(cfg_calculation_ready,IF(f1_14=0,"",TEXT(f1_14,"#,##0;-#,##0")),""),"")</f>
        <v/>
      </c>
    </row>
    <row r="19" spans="1:3">
      <c r="A19" t="str">
        <f>IFERROR(IF(cfg_calculation_ready,IF(m_15=0,"",TEXT(m_15,"#,##0;-#,##0")),""),"")</f>
        <v/>
      </c>
      <c r="C19" t="str">
        <f>IFERROR(IF(cfg_calculation_ready,IF(f1_15=0,"",TEXT(f1_15,"#,##0;-#,##0")),""),"")</f>
        <v/>
      </c>
    </row>
    <row r="20" spans="1:3">
      <c r="A20" t="str">
        <f>IFERROR(IF(cfg_calculation_ready,IF(m_16=0,"",TEXT(m_16,"#,##0;-#,##0")),""),"")</f>
        <v/>
      </c>
      <c r="C20" t="str">
        <f>IFERROR(IF(cfg_calculation_ready,IF(f1_16=0,"",TEXT(f1_16,"#,##0;-#,##0")),""),"")</f>
        <v/>
      </c>
    </row>
    <row r="21" spans="1:3">
      <c r="A21" t="str">
        <f>IFERROR(IF(cfg_calculation_ready,IF(m_17=0,"",TEXT(m_17,"#,##0;-#,##0")),""),"")</f>
        <v/>
      </c>
      <c r="C21" t="str">
        <f>IFERROR(IF(cfg_calculation_ready,IF(f1_17=0,"",TEXT(f1_17,"#,##0;-#,##0")),""),"")</f>
        <v/>
      </c>
    </row>
    <row r="22" spans="1:3">
      <c r="A22" t="str">
        <f>IFERROR(IF(cfg_calculation_ready,IF(m_18=0,"",TEXT(m_18,"#,##0;-#,##0")),""),"")</f>
        <v/>
      </c>
      <c r="C22" t="str">
        <f>IFERROR(IF(cfg_calculation_ready,IF(f1_18=0,"",TEXT(f1_18,"#,##0;-#,##0")),""),"")</f>
        <v/>
      </c>
    </row>
    <row r="23" spans="1:3">
      <c r="A23" t="str">
        <f>IFERROR(IF(cfg_calculation_ready,IF(m_19=0,"",TEXT(m_19,"#,##0;-#,##0")),""),"")</f>
        <v/>
      </c>
      <c r="C23" t="str">
        <f>IFERROR(IF(cfg_calculation_ready,IF(f1_19=0,"",TEXT(f1_19,"#,##0;-#,##0")),""),"")</f>
        <v/>
      </c>
    </row>
    <row r="24" spans="1:3">
      <c r="A24" t="str">
        <f>IFERROR(IF(cfg_calculation_ready,IF(m_20=0,"",TEXT(m_20,"#,##0;-#,##0")),""),"")</f>
        <v/>
      </c>
      <c r="C24" t="str">
        <f>IFERROR(IF(cfg_calculation_ready,IF(f1_20=0,"",TEXT(f1_20,"#,##0;-#,##0")),""),"")</f>
        <v/>
      </c>
    </row>
    <row r="25" spans="1:3">
      <c r="A25" t="str">
        <f>IFERROR(IF(cfg_calculation_ready,IF(m_21=0,"",TEXT(m_21/1000,"#,##0;-#,##0")),""),"")</f>
        <v/>
      </c>
      <c r="C25" t="str">
        <f>IFERROR(IF(cfg_calculation_ready,IF(f1_21=0,"",TEXT(f1_21,"#,##0;-#,##0")),""),"")</f>
        <v/>
      </c>
    </row>
    <row r="26" spans="1:3">
      <c r="A26" t="str">
        <f>IFERROR(IF(cfg_calculation_ready,IF(m_22=0,"",TEXT(m_22,"#,##0;-#,##0")),""),"")</f>
        <v/>
      </c>
      <c r="C26" t="str">
        <f>IFERROR(IF(cfg_calculation_ready,IF(f1_22=0,"",TEXT(f1_22,"#,##0;-#,##0")),""),"")</f>
        <v/>
      </c>
    </row>
    <row r="27" spans="1:3">
      <c r="A27" t="str">
        <f>IFERROR(IF(cfg_calculation_ready,IF(m_23=0,"",TEXT(m_23,"#,##0;-#,##0")),""),"")</f>
        <v/>
      </c>
      <c r="C27" t="str">
        <f>IFERROR(IF(cfg_calculation_ready,IF(f1_23=0,"",TEXT(f1_23,"#,##0;-#,##0")),""),"")</f>
        <v/>
      </c>
    </row>
    <row r="28" spans="1:3">
      <c r="A28" t="str">
        <f>IFERROR(IF(cfg_calculation_ready,IF(m_24=0,"",TEXT(m_24,"#,##0;-#,##0")),""),"")</f>
        <v/>
      </c>
      <c r="C28" t="str">
        <f>IFERROR(IF(cfg_calculation_ready,IF(f1_24=0,"",TEXT(f1_24,"#,##0;-#,##0")),""),"")</f>
        <v/>
      </c>
    </row>
    <row r="29" spans="1:3">
      <c r="A29" t="str">
        <f>IFERROR(IF(cfg_calculation_ready,IF(m_25=0,"",TEXT(m_25,"#,##0;-#,##0")),""),"")</f>
        <v/>
      </c>
      <c r="C29" t="str">
        <f>IFERROR(IF(cfg_calculation_ready,IF(f1_25=0,"",TEXT(f1_25,"#,##0;-#,##0")),""),"")</f>
        <v/>
      </c>
    </row>
    <row r="30" spans="1:3">
      <c r="A30" t="str">
        <f>IFERROR(IF(cfg_calculation_ready,IF(m_26=0,"",TEXT(m_26,"#,##0;-#,##0")),""),"")</f>
        <v/>
      </c>
      <c r="C30" t="str">
        <f>IFERROR(IF(cfg_calculation_ready,IF(f1_26=0,"",TEXT(f1_26,"#,##0;-#,##0")),""),"")</f>
        <v/>
      </c>
    </row>
    <row r="31" spans="1:3">
      <c r="A31" t="str">
        <f>IFERROR(IF(cfg_calculation_ready,IF(m_27=0,"",TEXT(m_27,"#,##0;-#,##0")),""),"")</f>
        <v/>
      </c>
      <c r="C31" t="str">
        <f>IFERROR(IF(cfg_calculation_ready,IF(f1_27=0,"",TEXT(f1_27,"#,##0;-#,##0")),""),"")</f>
        <v/>
      </c>
    </row>
    <row r="32" spans="1:3">
      <c r="A32" t="str">
        <f>IFERROR(IF(cfg_calculation_ready,IF(m_28=0,"",TEXT(m_28,"#,##0;-#,##0")),""),"")</f>
        <v/>
      </c>
      <c r="C32" t="str">
        <f>IFERROR(IF(cfg_calculation_ready,IF(f1_28=0,"",TEXT(f1_28,"#,##0;-#,##0")),""),"")</f>
        <v/>
      </c>
    </row>
    <row r="33" spans="3:3">
      <c r="C33" t="str">
        <f>IFERROR(IF(cfg_calculation_ready,IF(f1_29=0,"",TEXT(f1_29,"#,##0;-#,##0")),""),"")</f>
        <v/>
      </c>
    </row>
    <row r="34" spans="3:3">
      <c r="C34" t="str">
        <f>IFERROR(IF(cfg_calculation_ready,IF(f1_30=0,"",TEXT(f1_30,"#,##0;-#,##0")),""),"")</f>
        <v/>
      </c>
    </row>
    <row r="35" spans="3:3">
      <c r="C35" t="str">
        <f>IFERROR(IF(cfg_calculation_ready,IF(f1_31=0,"",TEXT(f1_31,"#,##0;-#,##0")),""),"")</f>
        <v/>
      </c>
    </row>
    <row r="36" spans="3:3">
      <c r="C36" t="str">
        <f>IFERROR(IF(cfg_calculation_ready,IF(f1_32=0,"",TEXT(f1_32,"#,##0;-#,##0")),""),"")</f>
        <v/>
      </c>
    </row>
  </sheetData>
  <sheetProtection sheet="1" objects="1" scenarios="1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FA659-01F1-4E14-BF3C-443D3731804E}">
  <dimension ref="A1:M234"/>
  <sheetViews>
    <sheetView workbookViewId="0"/>
  </sheetViews>
  <sheetFormatPr defaultRowHeight="18"/>
  <cols>
    <col min="1" max="1" width="18.69921875" customWidth="1"/>
    <col min="2" max="6" width="19.69921875" customWidth="1"/>
    <col min="7" max="7" width="13.69921875" customWidth="1"/>
    <col min="8" max="8" width="44.69921875" customWidth="1"/>
    <col min="11" max="13" width="22.699218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t="b">
        <f>IFERROR(AND(exact_r3_f1_31_income_valid,exact_r3_m_24_resident_valid,exact_r3_m_26_municipal_valid,exact_r3_m_26_delta_valid),0)</f>
        <v>1</v>
      </c>
      <c r="J1" t="s">
        <v>363</v>
      </c>
    </row>
    <row r="2" spans="1:1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t="b">
        <f>IFERROR(AND(K4:K52,SUM(L4:L52)&lt;=1000000000000000),FALSE)</f>
        <v>1</v>
      </c>
      <c r="J2" t="s">
        <v>235</v>
      </c>
      <c r="K2" s="2" t="s">
        <v>183</v>
      </c>
      <c r="L2" s="2" t="s">
        <v>184</v>
      </c>
      <c r="M2" s="2" t="s">
        <v>185</v>
      </c>
    </row>
    <row r="3" spans="1:13">
      <c r="I3" t="b">
        <f>IFERROR(TRUE,0)</f>
        <v>1</v>
      </c>
      <c r="J3" t="s">
        <v>236</v>
      </c>
    </row>
    <row r="4" spans="1:13">
      <c r="A4" s="2" t="s">
        <v>349</v>
      </c>
      <c r="B4" s="2" t="s">
        <v>350</v>
      </c>
      <c r="C4" s="2" t="s">
        <v>351</v>
      </c>
      <c r="D4" s="2" t="s">
        <v>352</v>
      </c>
      <c r="E4" s="2" t="s">
        <v>353</v>
      </c>
      <c r="F4" s="2"/>
      <c r="G4" s="2"/>
      <c r="H4" s="2"/>
      <c r="I4" t="b">
        <f>IFERROR(TRUE,0)</f>
        <v>1</v>
      </c>
      <c r="J4" t="s">
        <v>364</v>
      </c>
      <c r="K4" t="b">
        <f>IFERROR(AND(ISNUMBER(inp_m9_base),inp_m9_base=INT(inp_m9_base),ABS(inp_m9_base)&lt;=999999999999999,ABS(inp_m9_base)&lt;=999999999999999),FALSE)</f>
        <v>1</v>
      </c>
      <c r="L4">
        <f>IFERROR(ABS(inp_m9_base),0)</f>
        <v>0</v>
      </c>
      <c r="M4" t="s">
        <v>186</v>
      </c>
    </row>
    <row r="5" spans="1:13">
      <c r="A5" t="s">
        <v>354</v>
      </c>
      <c r="B5">
        <f>IFERROR(ABS(f1_30),0)</f>
        <v>0</v>
      </c>
      <c r="C5">
        <f>IFERROR(ABS(2),0)</f>
        <v>2</v>
      </c>
      <c r="D5">
        <f>IFERROR(MAX(1,IFERROR(ABS(5),0)),0)</f>
        <v>5</v>
      </c>
      <c r="E5">
        <f>IFERROR(SIGN(f1_30)*SIGN(2)*SIGN(5),0)</f>
        <v>0</v>
      </c>
      <c r="F5">
        <f>IFERROR(ABS(5),0)</f>
        <v>5</v>
      </c>
      <c r="G5" t="b">
        <f>IFERROR(F60,0)</f>
        <v>1</v>
      </c>
      <c r="H5" s="3" t="s">
        <v>355</v>
      </c>
      <c r="I5" t="b">
        <f>IFERROR(inp_special="はい",0)</f>
        <v>0</v>
      </c>
      <c r="J5" t="s">
        <v>365</v>
      </c>
      <c r="K5" t="b">
        <f>IFERROR(AND(ISNUMBER(inp_m9_extra),inp_m9_extra=INT(inp_m9_extra),inp_m9_extra&gt;=0,ABS(inp_m9_extra)&lt;=999999999999999),FALSE)</f>
        <v>1</v>
      </c>
      <c r="L5">
        <f>IFERROR(ABS(inp_m9_extra),0)</f>
        <v>0</v>
      </c>
      <c r="M5" t="s">
        <v>187</v>
      </c>
    </row>
    <row r="6" spans="1:13">
      <c r="D6">
        <v>0</v>
      </c>
      <c r="E6">
        <v>0</v>
      </c>
      <c r="I6" t="b">
        <f>IFERROR(OR(inp_class="該当",inp_class="非該当"),0)</f>
        <v>0</v>
      </c>
      <c r="J6" t="s">
        <v>366</v>
      </c>
      <c r="K6" t="b">
        <f>IFERROR(AND(ISNUMBER(inp_m9_inner),inp_m9_inner=INT(inp_m9_inner),inp_m9_inner&gt;=0,ABS(inp_m9_inner)&lt;=999999999999999),FALSE)</f>
        <v>1</v>
      </c>
      <c r="L6">
        <f>IFERROR(ABS(inp_m9_inner),0)</f>
        <v>0</v>
      </c>
      <c r="M6" t="s">
        <v>188</v>
      </c>
    </row>
    <row r="7" spans="1:13">
      <c r="A7">
        <v>52</v>
      </c>
      <c r="B7">
        <f>IFERROR(QUOTIENT($B$5,2^A7)-2*QUOTIENT($B$5,2^(A7+1)),0)</f>
        <v>0</v>
      </c>
      <c r="C7">
        <f>IFERROR(2*E6+B7*$C$5,0)</f>
        <v>0</v>
      </c>
      <c r="D7">
        <f>IFERROR(2*D6+QUOTIENT(C7,$D$5),0)</f>
        <v>0</v>
      </c>
      <c r="E7">
        <f>IFERROR(C7-$D$5*QUOTIENT(C7,$D$5),0)</f>
        <v>0</v>
      </c>
      <c r="I7" t="b">
        <f>IFERROR(TRUE,0)</f>
        <v>1</v>
      </c>
      <c r="J7" t="s">
        <v>367</v>
      </c>
      <c r="K7" t="b">
        <f>IFERROR(AND(ISNUMBER(inp_prev_div),inp_prev_div=INT(inp_prev_div),inp_prev_div&gt;=0,ABS(inp_prev_div)&lt;=999999999999999),FALSE)</f>
        <v>1</v>
      </c>
      <c r="L7">
        <f>IFERROR(ABS(inp_prev_div),0)</f>
        <v>0</v>
      </c>
      <c r="M7" t="s">
        <v>189</v>
      </c>
    </row>
    <row r="8" spans="1:13">
      <c r="A8">
        <v>51</v>
      </c>
      <c r="B8">
        <f>IFERROR(QUOTIENT($B$5,2^A8)-2*QUOTIENT($B$5,2^(A8+1)),0)</f>
        <v>0</v>
      </c>
      <c r="C8">
        <f>IFERROR(2*E7+B8*$C$5,0)</f>
        <v>0</v>
      </c>
      <c r="D8">
        <f>IFERROR(2*D7+QUOTIENT(C8,$D$5),0)</f>
        <v>0</v>
      </c>
      <c r="E8">
        <f>IFERROR(C8-$D$5*QUOTIENT(C8,$D$5),0)</f>
        <v>0</v>
      </c>
      <c r="I8" t="b">
        <f>IFERROR(AND(cfg_period_input_valid,cfg_applicable,cfg_special_applicable,cfg_class_selected,cfg_group_selected,cfg_f2_period_ok,cfg_f2_input_valid,cfg_exact_domain_ok,cfg_exact_math_valid),FALSE)</f>
        <v>0</v>
      </c>
      <c r="J8" t="s">
        <v>369</v>
      </c>
      <c r="K8" t="b">
        <f>IFERROR(AND(ISNUMBER(inp_curr_div),inp_curr_div=INT(inp_curr_div),inp_curr_div&gt;=0,ABS(inp_curr_div)&lt;=999999999999999),FALSE)</f>
        <v>1</v>
      </c>
      <c r="L8">
        <f>IFERROR(ABS(inp_curr_div),0)</f>
        <v>0</v>
      </c>
      <c r="M8" t="s">
        <v>190</v>
      </c>
    </row>
    <row r="9" spans="1:13">
      <c r="A9">
        <v>50</v>
      </c>
      <c r="B9">
        <f>IFERROR(QUOTIENT($B$5,2^A9)-2*QUOTIENT($B$5,2^(A9+1)),0)</f>
        <v>0</v>
      </c>
      <c r="C9">
        <f>IFERROR(2*E8+B9*$C$5,0)</f>
        <v>0</v>
      </c>
      <c r="D9">
        <f>IFERROR(2*D8+QUOTIENT(C9,$D$5),0)</f>
        <v>0</v>
      </c>
      <c r="E9">
        <f>IFERROR(C9-$D$5*QUOTIENT(C9,$D$5),0)</f>
        <v>0</v>
      </c>
      <c r="I9" t="b">
        <f>IFERROR(AND(ISNUMBER(inp_start),inp_start=INT(inp_start),inp_start&gt;=DATE(1900,1,1),inp_start&lt;=DATE(2100,12,31),ISNUMBER(inp_end),inp_end=INT(inp_end),inp_end&gt;=DATE(1900,1,1),inp_end&lt;=DATE(2100,12,31),inp_end&gt;=inp_start,inp_end&lt;=IF(DAY(EDATE(inp_start,12))&lt;DAY(inp_start),EDATE(inp_start,12),EDATE(inp_start,12)-1),ISNUMBER(inp_months),inp_months=INT(inp_months),inp_months&gt;=1,inp_months&lt;=12),FALSE)</f>
        <v>1</v>
      </c>
      <c r="J9" t="s">
        <v>368</v>
      </c>
      <c r="K9" t="b">
        <f>IFERROR(AND(ISNUMBER(inp_m16),inp_m16=INT(inp_m16),inp_m16&gt;=0,ABS(inp_m16)&lt;=999999999999999),FALSE)</f>
        <v>1</v>
      </c>
      <c r="L9">
        <f>IFERROR(ABS(inp_m16),0)</f>
        <v>0</v>
      </c>
      <c r="M9" t="s">
        <v>191</v>
      </c>
    </row>
    <row r="10" spans="1:13">
      <c r="A10">
        <v>49</v>
      </c>
      <c r="B10">
        <f>IFERROR(QUOTIENT($B$5,2^A10)-2*QUOTIENT($B$5,2^(A10+1)),0)</f>
        <v>0</v>
      </c>
      <c r="C10">
        <f>IFERROR(2*E9+B10*$C$5,0)</f>
        <v>0</v>
      </c>
      <c r="D10">
        <f>IFERROR(2*D9+QUOTIENT(C10,$D$5),0)</f>
        <v>0</v>
      </c>
      <c r="E10">
        <f>IFERROR(C10-$D$5*QUOTIENT(C10,$D$5),0)</f>
        <v>0</v>
      </c>
      <c r="K10" t="b">
        <f>IFERROR(AND(ISNUMBER(inp_m17),inp_m17=INT(inp_m17),inp_m17&gt;=0,ABS(inp_m17)&lt;=999999999999999),FALSE)</f>
        <v>1</v>
      </c>
      <c r="L10">
        <f>IFERROR(ABS(inp_m17),0)</f>
        <v>0</v>
      </c>
      <c r="M10" t="s">
        <v>192</v>
      </c>
    </row>
    <row r="11" spans="1:13">
      <c r="A11">
        <v>48</v>
      </c>
      <c r="B11">
        <f>IFERROR(QUOTIENT($B$5,2^A11)-2*QUOTIENT($B$5,2^(A11+1)),0)</f>
        <v>0</v>
      </c>
      <c r="C11">
        <f>IFERROR(2*E10+B11*$C$5,0)</f>
        <v>0</v>
      </c>
      <c r="D11">
        <f>IFERROR(2*D10+QUOTIENT(C11,$D$5),0)</f>
        <v>0</v>
      </c>
      <c r="E11">
        <f>IFERROR(C11-$D$5*QUOTIENT(C11,$D$5),0)</f>
        <v>0</v>
      </c>
      <c r="K11" t="b">
        <f>IFERROR(AND(ISNUMBER(inp_m18),inp_m18=INT(inp_m18),inp_m18&gt;=0,ABS(inp_m18)&lt;=999999999999999),FALSE)</f>
        <v>1</v>
      </c>
      <c r="L11">
        <f>IFERROR(ABS(inp_m18),0)</f>
        <v>0</v>
      </c>
      <c r="M11" t="s">
        <v>193</v>
      </c>
    </row>
    <row r="12" spans="1:13">
      <c r="A12">
        <v>47</v>
      </c>
      <c r="B12">
        <f>IFERROR(QUOTIENT($B$5,2^A12)-2*QUOTIENT($B$5,2^(A12+1)),0)</f>
        <v>0</v>
      </c>
      <c r="C12">
        <f>IFERROR(2*E11+B12*$C$5,0)</f>
        <v>0</v>
      </c>
      <c r="D12">
        <f>IFERROR(2*D11+QUOTIENT(C12,$D$5),0)</f>
        <v>0</v>
      </c>
      <c r="E12">
        <f>IFERROR(C12-$D$5*QUOTIENT(C12,$D$5),0)</f>
        <v>0</v>
      </c>
      <c r="K12" t="b">
        <f>IFERROR(AND(ISNUMBER(inp_b1_2),inp_b1_2=INT(inp_b1_2),inp_b1_2&gt;=0,ABS(inp_b1_2)&lt;=999999999999999),FALSE)</f>
        <v>1</v>
      </c>
      <c r="L12">
        <f>IFERROR(ABS(inp_b1_2),0)</f>
        <v>0</v>
      </c>
      <c r="M12" t="s">
        <v>194</v>
      </c>
    </row>
    <row r="13" spans="1:13">
      <c r="A13">
        <v>46</v>
      </c>
      <c r="B13">
        <f>IFERROR(QUOTIENT($B$5,2^A13)-2*QUOTIENT($B$5,2^(A13+1)),0)</f>
        <v>0</v>
      </c>
      <c r="C13">
        <f>IFERROR(2*E12+B13*$C$5,0)</f>
        <v>0</v>
      </c>
      <c r="D13">
        <f>IFERROR(2*D12+QUOTIENT(C13,$D$5),0)</f>
        <v>0</v>
      </c>
      <c r="E13">
        <f>IFERROR(C13-$D$5*QUOTIENT(C13,$D$5),0)</f>
        <v>0</v>
      </c>
      <c r="K13" t="b">
        <f>IFERROR(AND(ISNUMBER(inp_b1_4),inp_b1_4=INT(inp_b1_4),inp_b1_4&gt;=0,ABS(inp_b1_4)&lt;=999999999999999),FALSE)</f>
        <v>1</v>
      </c>
      <c r="L13">
        <f>IFERROR(ABS(inp_b1_4),0)</f>
        <v>0</v>
      </c>
      <c r="M13" t="s">
        <v>195</v>
      </c>
    </row>
    <row r="14" spans="1:13">
      <c r="A14">
        <v>45</v>
      </c>
      <c r="B14">
        <f>IFERROR(QUOTIENT($B$5,2^A14)-2*QUOTIENT($B$5,2^(A14+1)),0)</f>
        <v>0</v>
      </c>
      <c r="C14">
        <f>IFERROR(2*E13+B14*$C$5,0)</f>
        <v>0</v>
      </c>
      <c r="D14">
        <f>IFERROR(2*D13+QUOTIENT(C14,$D$5),0)</f>
        <v>0</v>
      </c>
      <c r="E14">
        <f>IFERROR(C14-$D$5*QUOTIENT(C14,$D$5),0)</f>
        <v>0</v>
      </c>
      <c r="K14" t="b">
        <f>IFERROR(AND(ISNUMBER(inp_b1_5),inp_b1_5=INT(inp_b1_5),inp_b1_5&gt;=0,ABS(inp_b1_5)&lt;=999999999999999),FALSE)</f>
        <v>1</v>
      </c>
      <c r="L14">
        <f>IFERROR(ABS(inp_b1_5),0)</f>
        <v>0</v>
      </c>
      <c r="M14" t="s">
        <v>196</v>
      </c>
    </row>
    <row r="15" spans="1:13">
      <c r="A15">
        <v>44</v>
      </c>
      <c r="B15">
        <f>IFERROR(QUOTIENT($B$5,2^A15)-2*QUOTIENT($B$5,2^(A15+1)),0)</f>
        <v>0</v>
      </c>
      <c r="C15">
        <f>IFERROR(2*E14+B15*$C$5,0)</f>
        <v>0</v>
      </c>
      <c r="D15">
        <f>IFERROR(2*D14+QUOTIENT(C15,$D$5),0)</f>
        <v>0</v>
      </c>
      <c r="E15">
        <f>IFERROR(C15-$D$5*QUOTIENT(C15,$D$5),0)</f>
        <v>0</v>
      </c>
      <c r="K15" t="b">
        <f>IFERROR(AND(ISNUMBER(inp_b1_7),inp_b1_7=INT(inp_b1_7),inp_b1_7&gt;=0,ABS(inp_b1_7)&lt;=999999999999999),FALSE)</f>
        <v>1</v>
      </c>
      <c r="L15">
        <f>IFERROR(ABS(inp_b1_7),0)</f>
        <v>0</v>
      </c>
      <c r="M15" t="s">
        <v>197</v>
      </c>
    </row>
    <row r="16" spans="1:13">
      <c r="A16">
        <v>43</v>
      </c>
      <c r="B16">
        <f>IFERROR(QUOTIENT($B$5,2^A16)-2*QUOTIENT($B$5,2^(A16+1)),0)</f>
        <v>0</v>
      </c>
      <c r="C16">
        <f>IFERROR(2*E15+B16*$C$5,0)</f>
        <v>0</v>
      </c>
      <c r="D16">
        <f>IFERROR(2*D15+QUOTIENT(C16,$D$5),0)</f>
        <v>0</v>
      </c>
      <c r="E16">
        <f>IFERROR(C16-$D$5*QUOTIENT(C16,$D$5),0)</f>
        <v>0</v>
      </c>
      <c r="K16" t="b">
        <f>IFERROR(AND(ISNUMBER(inp_b1_10out),inp_b1_10out=INT(inp_b1_10out),inp_b1_10out&gt;=0,ABS(inp_b1_10out)&lt;=999999999999999),FALSE)</f>
        <v>1</v>
      </c>
      <c r="L16">
        <f>IFERROR(ABS(inp_b1_10out),0)</f>
        <v>0</v>
      </c>
      <c r="M16" t="s">
        <v>198</v>
      </c>
    </row>
    <row r="17" spans="1:13">
      <c r="A17">
        <v>42</v>
      </c>
      <c r="B17">
        <f>IFERROR(QUOTIENT($B$5,2^A17)-2*QUOTIENT($B$5,2^(A17+1)),0)</f>
        <v>0</v>
      </c>
      <c r="C17">
        <f>IFERROR(2*E16+B17*$C$5,0)</f>
        <v>0</v>
      </c>
      <c r="D17">
        <f>IFERROR(2*D16+QUOTIENT(C17,$D$5),0)</f>
        <v>0</v>
      </c>
      <c r="E17">
        <f>IFERROR(C17-$D$5*QUOTIENT(C17,$D$5),0)</f>
        <v>0</v>
      </c>
      <c r="K17" t="b">
        <f>IFERROR(AND(ISNUMBER(inp_b1_12),inp_b1_12=INT(inp_b1_12),inp_b1_12&gt;=0,ABS(inp_b1_12)&lt;=999999999999999),FALSE)</f>
        <v>1</v>
      </c>
      <c r="L17">
        <f>IFERROR(ABS(inp_b1_12),0)</f>
        <v>0</v>
      </c>
      <c r="M17" t="s">
        <v>199</v>
      </c>
    </row>
    <row r="18" spans="1:13">
      <c r="A18">
        <v>41</v>
      </c>
      <c r="B18">
        <f>IFERROR(QUOTIENT($B$5,2^A18)-2*QUOTIENT($B$5,2^(A18+1)),0)</f>
        <v>0</v>
      </c>
      <c r="C18">
        <f>IFERROR(2*E17+B18*$C$5,0)</f>
        <v>0</v>
      </c>
      <c r="D18">
        <f>IFERROR(2*D17+QUOTIENT(C18,$D$5),0)</f>
        <v>0</v>
      </c>
      <c r="E18">
        <f>IFERROR(C18-$D$5*QUOTIENT(C18,$D$5),0)</f>
        <v>0</v>
      </c>
      <c r="K18" t="b">
        <f>IFERROR(AND(ISNUMBER(inp_b1_18),inp_b1_18=INT(inp_b1_18),inp_b1_18&gt;=0,ABS(inp_b1_18)&lt;=999999999999999),FALSE)</f>
        <v>1</v>
      </c>
      <c r="L18">
        <f>IFERROR(ABS(inp_b1_18),0)</f>
        <v>0</v>
      </c>
      <c r="M18" t="s">
        <v>200</v>
      </c>
    </row>
    <row r="19" spans="1:13">
      <c r="A19">
        <v>40</v>
      </c>
      <c r="B19">
        <f>IFERROR(QUOTIENT($B$5,2^A19)-2*QUOTIENT($B$5,2^(A19+1)),0)</f>
        <v>0</v>
      </c>
      <c r="C19">
        <f>IFERROR(2*E18+B19*$C$5,0)</f>
        <v>0</v>
      </c>
      <c r="D19">
        <f>IFERROR(2*D18+QUOTIENT(C19,$D$5),0)</f>
        <v>0</v>
      </c>
      <c r="E19">
        <f>IFERROR(C19-$D$5*QUOTIENT(C19,$D$5),0)</f>
        <v>0</v>
      </c>
      <c r="K19" t="b">
        <f>IFERROR(AND(ISNUMBER(inp_b1_19),inp_b1_19=INT(inp_b1_19),inp_b1_19&gt;=0,ABS(inp_b1_19)&lt;=999999999999999),FALSE)</f>
        <v>1</v>
      </c>
      <c r="L19">
        <f>IFERROR(ABS(inp_b1_19),0)</f>
        <v>0</v>
      </c>
      <c r="M19" t="s">
        <v>201</v>
      </c>
    </row>
    <row r="20" spans="1:13">
      <c r="A20">
        <v>39</v>
      </c>
      <c r="B20">
        <f>IFERROR(QUOTIENT($B$5,2^A20)-2*QUOTIENT($B$5,2^(A20+1)),0)</f>
        <v>0</v>
      </c>
      <c r="C20">
        <f>IFERROR(2*E19+B20*$C$5,0)</f>
        <v>0</v>
      </c>
      <c r="D20">
        <f>IFERROR(2*D19+QUOTIENT(C20,$D$5),0)</f>
        <v>0</v>
      </c>
      <c r="E20">
        <f>IFERROR(C20-$D$5*QUOTIENT(C20,$D$5),0)</f>
        <v>0</v>
      </c>
      <c r="K20" t="b">
        <f>IFERROR(AND(ISNUMBER(inp_b1_36),inp_b1_36=INT(inp_b1_36),inp_b1_36&gt;=0,ABS(inp_b1_36)&lt;=999999999999999),FALSE)</f>
        <v>1</v>
      </c>
      <c r="L20">
        <f>IFERROR(ABS(inp_b1_36),0)</f>
        <v>0</v>
      </c>
      <c r="M20" t="s">
        <v>202</v>
      </c>
    </row>
    <row r="21" spans="1:13">
      <c r="A21">
        <v>38</v>
      </c>
      <c r="B21">
        <f>IFERROR(QUOTIENT($B$5,2^A21)-2*QUOTIENT($B$5,2^(A21+1)),0)</f>
        <v>0</v>
      </c>
      <c r="C21">
        <f>IFERROR(2*E20+B21*$C$5,0)</f>
        <v>0</v>
      </c>
      <c r="D21">
        <f>IFERROR(2*D20+QUOTIENT(C21,$D$5),0)</f>
        <v>0</v>
      </c>
      <c r="E21">
        <f>IFERROR(C21-$D$5*QUOTIENT(C21,$D$5),0)</f>
        <v>0</v>
      </c>
      <c r="K21" t="b">
        <f>IFERROR(AND(ISNUMBER(inp_b1_40),inp_b1_40=INT(inp_b1_40),inp_b1_40&gt;=0,ABS(inp_b1_40)&lt;=999999999999999),FALSE)</f>
        <v>1</v>
      </c>
      <c r="L21">
        <f>IFERROR(ABS(inp_b1_40),0)</f>
        <v>0</v>
      </c>
      <c r="M21" t="s">
        <v>203</v>
      </c>
    </row>
    <row r="22" spans="1:13">
      <c r="A22">
        <v>37</v>
      </c>
      <c r="B22">
        <f>IFERROR(QUOTIENT($B$5,2^A22)-2*QUOTIENT($B$5,2^(A22+1)),0)</f>
        <v>0</v>
      </c>
      <c r="C22">
        <f>IFERROR(2*E21+B22*$C$5,0)</f>
        <v>0</v>
      </c>
      <c r="D22">
        <f>IFERROR(2*D21+QUOTIENT(C22,$D$5),0)</f>
        <v>0</v>
      </c>
      <c r="E22">
        <f>IFERROR(C22-$D$5*QUOTIENT(C22,$D$5),0)</f>
        <v>0</v>
      </c>
      <c r="K22" t="b">
        <f>IFERROR(AND(ISNUMBER(inp_b1_41),inp_b1_41=INT(inp_b1_41),inp_b1_41&gt;=0,ABS(inp_b1_41)&lt;=999999999999999),FALSE)</f>
        <v>1</v>
      </c>
      <c r="L22">
        <f>IFERROR(ABS(inp_b1_41),0)</f>
        <v>0</v>
      </c>
      <c r="M22" t="s">
        <v>204</v>
      </c>
    </row>
    <row r="23" spans="1:13">
      <c r="A23">
        <v>36</v>
      </c>
      <c r="B23">
        <f>IFERROR(QUOTIENT($B$5,2^A23)-2*QUOTIENT($B$5,2^(A23+1)),0)</f>
        <v>0</v>
      </c>
      <c r="C23">
        <f>IFERROR(2*E22+B23*$C$5,0)</f>
        <v>0</v>
      </c>
      <c r="D23">
        <f>IFERROR(2*D22+QUOTIENT(C23,$D$5),0)</f>
        <v>0</v>
      </c>
      <c r="E23">
        <f>IFERROR(C23-$D$5*QUOTIENT(C23,$D$5),0)</f>
        <v>0</v>
      </c>
      <c r="K23" t="b">
        <f>IFERROR(AND(ISNUMBER(inp_b6_5_2_5_3),inp_b6_5_2_5_3=INT(inp_b6_5_2_5_3),inp_b6_5_2_5_3&gt;=0,ABS(inp_b6_5_2_5_3)&lt;=999999999999999),FALSE)</f>
        <v>1</v>
      </c>
      <c r="L23">
        <f>IFERROR(ABS(inp_b6_5_2_5_3),0)</f>
        <v>0</v>
      </c>
      <c r="M23" t="s">
        <v>205</v>
      </c>
    </row>
    <row r="24" spans="1:13">
      <c r="A24">
        <v>35</v>
      </c>
      <c r="B24">
        <f>IFERROR(QUOTIENT($B$5,2^A24)-2*QUOTIENT($B$5,2^(A24+1)),0)</f>
        <v>0</v>
      </c>
      <c r="C24">
        <f>IFERROR(2*E23+B24*$C$5,0)</f>
        <v>0</v>
      </c>
      <c r="D24">
        <f>IFERROR(2*D23+QUOTIENT(C24,$D$5),0)</f>
        <v>0</v>
      </c>
      <c r="E24">
        <f>IFERROR(C24-$D$5*QUOTIENT(C24,$D$5),0)</f>
        <v>0</v>
      </c>
      <c r="K24" t="b">
        <f>IFERROR(AND(ISNUMBER(inp_m22_credits),inp_m22_credits=INT(inp_m22_credits),inp_m22_credits&gt;=0,ABS(inp_m22_credits)&lt;=999999999999999),FALSE)</f>
        <v>1</v>
      </c>
      <c r="L24">
        <f>IFERROR(ABS(inp_m22_credits),0)</f>
        <v>0</v>
      </c>
      <c r="M24" t="s">
        <v>206</v>
      </c>
    </row>
    <row r="25" spans="1:13">
      <c r="A25">
        <v>34</v>
      </c>
      <c r="B25">
        <f>IFERROR(QUOTIENT($B$5,2^A25)-2*QUOTIENT($B$5,2^(A25+1)),0)</f>
        <v>0</v>
      </c>
      <c r="C25">
        <f>IFERROR(2*E24+B25*$C$5,0)</f>
        <v>0</v>
      </c>
      <c r="D25">
        <f>IFERROR(2*D24+QUOTIENT(C25,$D$5),0)</f>
        <v>0</v>
      </c>
      <c r="E25">
        <f>IFERROR(C25-$D$5*QUOTIENT(C25,$D$5),0)</f>
        <v>0</v>
      </c>
      <c r="K25" t="b">
        <f>IFERROR(AND(ISNUMBER(inp_m23_credits),inp_m23_credits=INT(inp_m23_credits),inp_m23_credits&gt;=0,ABS(inp_m23_credits)&lt;=999999999999999),FALSE)</f>
        <v>1</v>
      </c>
      <c r="L25">
        <f>IFERROR(ABS(inp_m23_credits),0)</f>
        <v>0</v>
      </c>
      <c r="M25" t="s">
        <v>207</v>
      </c>
    </row>
    <row r="26" spans="1:13">
      <c r="A26">
        <v>33</v>
      </c>
      <c r="B26">
        <f>IFERROR(QUOTIENT($B$5,2^A26)-2*QUOTIENT($B$5,2^(A26+1)),0)</f>
        <v>0</v>
      </c>
      <c r="C26">
        <f>IFERROR(2*E25+B26*$C$5,0)</f>
        <v>0</v>
      </c>
      <c r="D26">
        <f>IFERROR(2*D25+QUOTIENT(C26,$D$5),0)</f>
        <v>0</v>
      </c>
      <c r="E26">
        <f>IFERROR(C26-$D$5*QUOTIENT(C26,$D$5),0)</f>
        <v>0</v>
      </c>
      <c r="K26" t="b">
        <f>IFERROR(AND(ISNUMBER(inp_m14_foreign),inp_m14_foreign=INT(inp_m14_foreign),inp_m14_foreign&gt;=0,ABS(inp_m14_foreign)&lt;=999999999999999),FALSE)</f>
        <v>1</v>
      </c>
      <c r="L26">
        <f>IFERROR(ABS(inp_m14_foreign),0)</f>
        <v>0</v>
      </c>
      <c r="M26" t="s">
        <v>208</v>
      </c>
    </row>
    <row r="27" spans="1:13">
      <c r="A27">
        <v>32</v>
      </c>
      <c r="B27">
        <f>IFERROR(QUOTIENT($B$5,2^A27)-2*QUOTIENT($B$5,2^(A27+1)),0)</f>
        <v>0</v>
      </c>
      <c r="C27">
        <f>IFERROR(2*E26+B27*$C$5,0)</f>
        <v>0</v>
      </c>
      <c r="D27">
        <f>IFERROR(2*D26+QUOTIENT(C27,$D$5),0)</f>
        <v>0</v>
      </c>
      <c r="E27">
        <f>IFERROR(C27-$D$5*QUOTIENT(C27,$D$5),0)</f>
        <v>0</v>
      </c>
      <c r="K27" t="b">
        <f>IFERROR(AND(ISNUMBER(inp_specific_donation_total),inp_specific_donation_total=INT(inp_specific_donation_total),inp_specific_donation_total&gt;=0,ABS(inp_specific_donation_total)&lt;=999999999999999),FALSE)</f>
        <v>1</v>
      </c>
      <c r="L27">
        <f>IFERROR(ABS(inp_specific_donation_total),0)</f>
        <v>0</v>
      </c>
      <c r="M27" t="s">
        <v>209</v>
      </c>
    </row>
    <row r="28" spans="1:13">
      <c r="A28">
        <v>31</v>
      </c>
      <c r="B28">
        <f>IFERROR(QUOTIENT($B$5,2^A28)-2*QUOTIENT($B$5,2^(A28+1)),0)</f>
        <v>0</v>
      </c>
      <c r="C28">
        <f>IFERROR(2*E27+B28*$C$5,0)</f>
        <v>0</v>
      </c>
      <c r="D28">
        <f>IFERROR(2*D27+QUOTIENT(C28,$D$5),0)</f>
        <v>0</v>
      </c>
      <c r="E28">
        <f>IFERROR(C28-$D$5*QUOTIENT(C28,$D$5),0)</f>
        <v>0</v>
      </c>
      <c r="K28" t="b">
        <f>IFERROR(AND(ISNUMBER(inp_f1_capital),inp_f1_capital=INT(inp_f1_capital),inp_f1_capital&gt;=0,ABS(inp_f1_capital)&lt;=999999999999999),FALSE)</f>
        <v>1</v>
      </c>
      <c r="L28">
        <f>IFERROR(ABS(inp_f1_capital),0)</f>
        <v>0</v>
      </c>
      <c r="M28" t="s">
        <v>210</v>
      </c>
    </row>
    <row r="29" spans="1:13">
      <c r="A29">
        <v>30</v>
      </c>
      <c r="B29">
        <f>IFERROR(QUOTIENT($B$5,2^A29)-2*QUOTIENT($B$5,2^(A29+1)),0)</f>
        <v>0</v>
      </c>
      <c r="C29">
        <f>IFERROR(2*E28+B29*$C$5,0)</f>
        <v>0</v>
      </c>
      <c r="D29">
        <f>IFERROR(2*D28+QUOTIENT(C29,$D$5),0)</f>
        <v>0</v>
      </c>
      <c r="E29">
        <f>IFERROR(C29-$D$5*QUOTIENT(C29,$D$5),0)</f>
        <v>0</v>
      </c>
      <c r="K29" t="b">
        <f>IFERROR(AND(ISNUMBER(inp_f1_opening_profit),inp_f1_opening_profit=INT(inp_f1_opening_profit),ABS(inp_f1_opening_profit)&lt;=999999999999999,ABS(inp_f1_opening_profit)&lt;=999999999999999),FALSE)</f>
        <v>1</v>
      </c>
      <c r="L29">
        <f>IFERROR(ABS(inp_f1_opening_profit),0)</f>
        <v>0</v>
      </c>
      <c r="M29" t="s">
        <v>211</v>
      </c>
    </row>
    <row r="30" spans="1:13">
      <c r="A30">
        <v>29</v>
      </c>
      <c r="B30">
        <f>IFERROR(QUOTIENT($B$5,2^A30)-2*QUOTIENT($B$5,2^(A30+1)),0)</f>
        <v>0</v>
      </c>
      <c r="C30">
        <f>IFERROR(2*E29+B30*$C$5,0)</f>
        <v>0</v>
      </c>
      <c r="D30">
        <f>IFERROR(2*D29+QUOTIENT(C30,$D$5),0)</f>
        <v>0</v>
      </c>
      <c r="E30">
        <f>IFERROR(C30-$D$5*QUOTIENT(C30,$D$5),0)</f>
        <v>0</v>
      </c>
      <c r="K30" t="b">
        <f>IFERROR(AND(ISNUMBER(inp_f1_merger_inc),inp_f1_merger_inc=INT(inp_f1_merger_inc),inp_f1_merger_inc&gt;=0,ABS(inp_f1_merger_inc)&lt;=999999999999999),FALSE)</f>
        <v>1</v>
      </c>
      <c r="L30">
        <f>IFERROR(ABS(inp_f1_merger_inc),0)</f>
        <v>0</v>
      </c>
      <c r="M30" t="s">
        <v>212</v>
      </c>
    </row>
    <row r="31" spans="1:13">
      <c r="A31">
        <v>28</v>
      </c>
      <c r="B31">
        <f>IFERROR(QUOTIENT($B$5,2^A31)-2*QUOTIENT($B$5,2^(A31+1)),0)</f>
        <v>0</v>
      </c>
      <c r="C31">
        <f>IFERROR(2*E30+B31*$C$5,0)</f>
        <v>0</v>
      </c>
      <c r="D31">
        <f>IFERROR(2*D30+QUOTIENT(C31,$D$5),0)</f>
        <v>0</v>
      </c>
      <c r="E31">
        <f>IFERROR(C31-$D$5*QUOTIENT(C31,$D$5),0)</f>
        <v>0</v>
      </c>
      <c r="K31" t="b">
        <f>IFERROR(AND(ISNUMBER(inp_f1_split_dec),inp_f1_split_dec=INT(inp_f1_split_dec),inp_f1_split_dec&gt;=0,ABS(inp_f1_split_dec)&lt;=999999999999999),FALSE)</f>
        <v>1</v>
      </c>
      <c r="L31">
        <f>IFERROR(ABS(inp_f1_split_dec),0)</f>
        <v>0</v>
      </c>
      <c r="M31" t="s">
        <v>213</v>
      </c>
    </row>
    <row r="32" spans="1:13">
      <c r="A32">
        <v>27</v>
      </c>
      <c r="B32">
        <f>IFERROR(QUOTIENT($B$5,2^A32)-2*QUOTIENT($B$5,2^(A32+1)),0)</f>
        <v>0</v>
      </c>
      <c r="C32">
        <f>IFERROR(2*E31+B32*$C$5,0)</f>
        <v>0</v>
      </c>
      <c r="D32">
        <f>IFERROR(2*D31+QUOTIENT(C32,$D$5),0)</f>
        <v>0</v>
      </c>
      <c r="E32">
        <f>IFERROR(C32-$D$5*QUOTIENT(C32,$D$5),0)</f>
        <v>0</v>
      </c>
      <c r="K32" t="b">
        <f>IFERROR(AND(ISNUMBER(inp_f1_09),inp_f1_09=INT(inp_f1_09),ABS(inp_f1_09)&lt;=999999999999999,ABS(inp_f1_09)&lt;=999999999999999),FALSE)</f>
        <v>1</v>
      </c>
      <c r="L32">
        <f>IFERROR(ABS(inp_f1_09),0)</f>
        <v>0</v>
      </c>
      <c r="M32" t="s">
        <v>214</v>
      </c>
    </row>
    <row r="33" spans="1:13">
      <c r="A33">
        <v>26</v>
      </c>
      <c r="B33">
        <f>IFERROR(QUOTIENT($B$5,2^A33)-2*QUOTIENT($B$5,2^(A33+1)),0)</f>
        <v>0</v>
      </c>
      <c r="C33">
        <f>IFERROR(2*E32+B33*$C$5,0)</f>
        <v>0</v>
      </c>
      <c r="D33">
        <f>IFERROR(2*D32+QUOTIENT(C33,$D$5),0)</f>
        <v>0</v>
      </c>
      <c r="E33">
        <f>IFERROR(C33-$D$5*QUOTIENT(C33,$D$5),0)</f>
        <v>0</v>
      </c>
      <c r="K33" t="b">
        <f>IFERROR(AND(ISNUMBER(inp_f1_10),inp_f1_10=INT(inp_f1_10),ABS(inp_f1_10)&lt;=999999999999999,ABS(inp_f1_10)&lt;=999999999999999),FALSE)</f>
        <v>1</v>
      </c>
      <c r="L33">
        <f>IFERROR(ABS(inp_f1_10),0)</f>
        <v>0</v>
      </c>
      <c r="M33" t="s">
        <v>215</v>
      </c>
    </row>
    <row r="34" spans="1:13">
      <c r="A34">
        <v>25</v>
      </c>
      <c r="B34">
        <f>IFERROR(QUOTIENT($B$5,2^A34)-2*QUOTIENT($B$5,2^(A34+1)),0)</f>
        <v>0</v>
      </c>
      <c r="C34">
        <f>IFERROR(2*E33+B34*$C$5,0)</f>
        <v>0</v>
      </c>
      <c r="D34">
        <f>IFERROR(2*D33+QUOTIENT(C34,$D$5),0)</f>
        <v>0</v>
      </c>
      <c r="E34">
        <f>IFERROR(C34-$D$5*QUOTIENT(C34,$D$5),0)</f>
        <v>0</v>
      </c>
      <c r="K34" t="b">
        <f>IFERROR(AND(ISNUMBER(inp_f1_11),inp_f1_11=INT(inp_f1_11),inp_f1_11&gt;=0,ABS(inp_f1_11)&lt;=999999999999999),FALSE)</f>
        <v>1</v>
      </c>
      <c r="L34">
        <f>IFERROR(ABS(inp_f1_11),0)</f>
        <v>0</v>
      </c>
      <c r="M34" t="s">
        <v>216</v>
      </c>
    </row>
    <row r="35" spans="1:13">
      <c r="A35">
        <v>24</v>
      </c>
      <c r="B35">
        <f>IFERROR(QUOTIENT($B$5,2^A35)-2*QUOTIENT($B$5,2^(A35+1)),0)</f>
        <v>0</v>
      </c>
      <c r="C35">
        <f>IFERROR(2*E34+B35*$C$5,0)</f>
        <v>0</v>
      </c>
      <c r="D35">
        <f>IFERROR(2*D34+QUOTIENT(C35,$D$5),0)</f>
        <v>0</v>
      </c>
      <c r="E35">
        <f>IFERROR(C35-$D$5*QUOTIENT(C35,$D$5),0)</f>
        <v>0</v>
      </c>
      <c r="K35" t="b">
        <f>IFERROR(AND(ISNUMBER(inp_f1_12),inp_f1_12=INT(inp_f1_12),inp_f1_12&gt;=0,ABS(inp_f1_12)&lt;=999999999999999),FALSE)</f>
        <v>1</v>
      </c>
      <c r="L35">
        <f>IFERROR(ABS(inp_f1_12),0)</f>
        <v>0</v>
      </c>
      <c r="M35" t="s">
        <v>217</v>
      </c>
    </row>
    <row r="36" spans="1:13">
      <c r="A36">
        <v>23</v>
      </c>
      <c r="B36">
        <f>IFERROR(QUOTIENT($B$5,2^A36)-2*QUOTIENT($B$5,2^(A36+1)),0)</f>
        <v>0</v>
      </c>
      <c r="C36">
        <f>IFERROR(2*E35+B36*$C$5,0)</f>
        <v>0</v>
      </c>
      <c r="D36">
        <f>IFERROR(2*D35+QUOTIENT(C36,$D$5),0)</f>
        <v>0</v>
      </c>
      <c r="E36">
        <f>IFERROR(C36-$D$5*QUOTIENT(C36,$D$5),0)</f>
        <v>0</v>
      </c>
      <c r="K36" t="b">
        <f>IFERROR(AND(ISNUMBER(inp_f1_13),inp_f1_13=INT(inp_f1_13),inp_f1_13&gt;=0,ABS(inp_f1_13)&lt;=999999999999999),FALSE)</f>
        <v>1</v>
      </c>
      <c r="L36">
        <f>IFERROR(ABS(inp_f1_13),0)</f>
        <v>0</v>
      </c>
      <c r="M36" t="s">
        <v>218</v>
      </c>
    </row>
    <row r="37" spans="1:13">
      <c r="A37">
        <v>22</v>
      </c>
      <c r="B37">
        <f>IFERROR(QUOTIENT($B$5,2^A37)-2*QUOTIENT($B$5,2^(A37+1)),0)</f>
        <v>0</v>
      </c>
      <c r="C37">
        <f>IFERROR(2*E36+B37*$C$5,0)</f>
        <v>0</v>
      </c>
      <c r="D37">
        <f>IFERROR(2*D36+QUOTIENT(C37,$D$5),0)</f>
        <v>0</v>
      </c>
      <c r="E37">
        <f>IFERROR(C37-$D$5*QUOTIENT(C37,$D$5),0)</f>
        <v>0</v>
      </c>
      <c r="K37" t="b">
        <f>IFERROR(AND(ISNUMBER(inp_f1_14),inp_f1_14=INT(inp_f1_14),inp_f1_14&gt;=0,ABS(inp_f1_14)&lt;=999999999999999),FALSE)</f>
        <v>1</v>
      </c>
      <c r="L37">
        <f>IFERROR(ABS(inp_f1_14),0)</f>
        <v>0</v>
      </c>
      <c r="M37" t="s">
        <v>219</v>
      </c>
    </row>
    <row r="38" spans="1:13">
      <c r="A38">
        <v>21</v>
      </c>
      <c r="B38">
        <f>IFERROR(QUOTIENT($B$5,2^A38)-2*QUOTIENT($B$5,2^(A38+1)),0)</f>
        <v>0</v>
      </c>
      <c r="C38">
        <f>IFERROR(2*E37+B38*$C$5,0)</f>
        <v>0</v>
      </c>
      <c r="D38">
        <f>IFERROR(2*D37+QUOTIENT(C38,$D$5),0)</f>
        <v>0</v>
      </c>
      <c r="E38">
        <f>IFERROR(C38-$D$5*QUOTIENT(C38,$D$5),0)</f>
        <v>0</v>
      </c>
      <c r="K38" t="b">
        <f>IFERROR(AND(ISNUMBER(inp_f1_15),inp_f1_15=INT(inp_f1_15),inp_f1_15&gt;=0,ABS(inp_f1_15)&lt;=999999999999999),FALSE)</f>
        <v>1</v>
      </c>
      <c r="L38">
        <f>IFERROR(ABS(inp_f1_15),0)</f>
        <v>0</v>
      </c>
      <c r="M38" t="s">
        <v>220</v>
      </c>
    </row>
    <row r="39" spans="1:13">
      <c r="A39">
        <v>20</v>
      </c>
      <c r="B39">
        <f>IFERROR(QUOTIENT($B$5,2^A39)-2*QUOTIENT($B$5,2^(A39+1)),0)</f>
        <v>0</v>
      </c>
      <c r="C39">
        <f>IFERROR(2*E38+B39*$C$5,0)</f>
        <v>0</v>
      </c>
      <c r="D39">
        <f>IFERROR(2*D38+QUOTIENT(C39,$D$5),0)</f>
        <v>0</v>
      </c>
      <c r="E39">
        <f>IFERROR(C39-$D$5*QUOTIENT(C39,$D$5),0)</f>
        <v>0</v>
      </c>
      <c r="K39" t="b">
        <f>IFERROR(AND(ISNUMBER(inp_f1_16),inp_f1_16=INT(inp_f1_16),inp_f1_16&gt;=0,ABS(inp_f1_16)&lt;=999999999999999),FALSE)</f>
        <v>1</v>
      </c>
      <c r="L39">
        <f>IFERROR(ABS(inp_f1_16),0)</f>
        <v>0</v>
      </c>
      <c r="M39" t="s">
        <v>221</v>
      </c>
    </row>
    <row r="40" spans="1:13">
      <c r="A40">
        <v>19</v>
      </c>
      <c r="B40">
        <f>IFERROR(QUOTIENT($B$5,2^A40)-2*QUOTIENT($B$5,2^(A40+1)),0)</f>
        <v>0</v>
      </c>
      <c r="C40">
        <f>IFERROR(2*E39+B40*$C$5,0)</f>
        <v>0</v>
      </c>
      <c r="D40">
        <f>IFERROR(2*D39+QUOTIENT(C40,$D$5),0)</f>
        <v>0</v>
      </c>
      <c r="E40">
        <f>IFERROR(C40-$D$5*QUOTIENT(C40,$D$5),0)</f>
        <v>0</v>
      </c>
      <c r="K40" t="b">
        <f>IFERROR(AND(ISNUMBER(inp_f1_17),inp_f1_17=INT(inp_f1_17),inp_f1_17&gt;=0,ABS(inp_f1_17)&lt;=999999999999999),FALSE)</f>
        <v>1</v>
      </c>
      <c r="L40">
        <f>IFERROR(ABS(inp_f1_17),0)</f>
        <v>0</v>
      </c>
      <c r="M40" t="s">
        <v>222</v>
      </c>
    </row>
    <row r="41" spans="1:13">
      <c r="A41">
        <v>18</v>
      </c>
      <c r="B41">
        <f>IFERROR(QUOTIENT($B$5,2^A41)-2*QUOTIENT($B$5,2^(A41+1)),0)</f>
        <v>0</v>
      </c>
      <c r="C41">
        <f>IFERROR(2*E40+B41*$C$5,0)</f>
        <v>0</v>
      </c>
      <c r="D41">
        <f>IFERROR(2*D40+QUOTIENT(C41,$D$5),0)</f>
        <v>0</v>
      </c>
      <c r="E41">
        <f>IFERROR(C41-$D$5*QUOTIENT(C41,$D$5),0)</f>
        <v>0</v>
      </c>
      <c r="K41" t="b">
        <f>IFERROR(AND(ISNUMBER(inp_f1_18),inp_f1_18=INT(inp_f1_18),inp_f1_18&gt;=0,ABS(inp_f1_18)&lt;=999999999999999),FALSE)</f>
        <v>1</v>
      </c>
      <c r="L41">
        <f>IFERROR(ABS(inp_f1_18),0)</f>
        <v>0</v>
      </c>
      <c r="M41" t="s">
        <v>223</v>
      </c>
    </row>
    <row r="42" spans="1:13">
      <c r="A42">
        <v>17</v>
      </c>
      <c r="B42">
        <f>IFERROR(QUOTIENT($B$5,2^A42)-2*QUOTIENT($B$5,2^(A42+1)),0)</f>
        <v>0</v>
      </c>
      <c r="C42">
        <f>IFERROR(2*E41+B42*$C$5,0)</f>
        <v>0</v>
      </c>
      <c r="D42">
        <f>IFERROR(2*D41+QUOTIENT(C42,$D$5),0)</f>
        <v>0</v>
      </c>
      <c r="E42">
        <f>IFERROR(C42-$D$5*QUOTIENT(C42,$D$5),0)</f>
        <v>0</v>
      </c>
      <c r="K42" t="b">
        <f>IFERROR(AND(ISNUMBER(inp_f1_19),inp_f1_19=INT(inp_f1_19),inp_f1_19&gt;=0,ABS(inp_f1_19)&lt;=999999999999999),FALSE)</f>
        <v>1</v>
      </c>
      <c r="L42">
        <f>IFERROR(ABS(inp_f1_19),0)</f>
        <v>0</v>
      </c>
      <c r="M42" t="s">
        <v>224</v>
      </c>
    </row>
    <row r="43" spans="1:13">
      <c r="A43">
        <v>16</v>
      </c>
      <c r="B43">
        <f>IFERROR(QUOTIENT($B$5,2^A43)-2*QUOTIENT($B$5,2^(A43+1)),0)</f>
        <v>0</v>
      </c>
      <c r="C43">
        <f>IFERROR(2*E42+B43*$C$5,0)</f>
        <v>0</v>
      </c>
      <c r="D43">
        <f>IFERROR(2*D42+QUOTIENT(C43,$D$5),0)</f>
        <v>0</v>
      </c>
      <c r="E43">
        <f>IFERROR(C43-$D$5*QUOTIENT(C43,$D$5),0)</f>
        <v>0</v>
      </c>
      <c r="K43" t="b">
        <f>IFERROR(AND(ISNUMBER(inp_f1_20),inp_f1_20=INT(inp_f1_20),inp_f1_20&gt;=0,ABS(inp_f1_20)&lt;=999999999999999),FALSE)</f>
        <v>1</v>
      </c>
      <c r="L43">
        <f>IFERROR(ABS(inp_f1_20),0)</f>
        <v>0</v>
      </c>
      <c r="M43" t="s">
        <v>225</v>
      </c>
    </row>
    <row r="44" spans="1:13">
      <c r="A44">
        <v>15</v>
      </c>
      <c r="B44">
        <f>IFERROR(QUOTIENT($B$5,2^A44)-2*QUOTIENT($B$5,2^(A44+1)),0)</f>
        <v>0</v>
      </c>
      <c r="C44">
        <f>IFERROR(2*E43+B44*$C$5,0)</f>
        <v>0</v>
      </c>
      <c r="D44">
        <f>IFERROR(2*D43+QUOTIENT(C44,$D$5),0)</f>
        <v>0</v>
      </c>
      <c r="E44">
        <f>IFERROR(C44-$D$5*QUOTIENT(C44,$D$5),0)</f>
        <v>0</v>
      </c>
      <c r="K44" t="b">
        <f>IFERROR(AND(ISNUMBER(inp_f1_21),inp_f1_21=INT(inp_f1_21),inp_f1_21&gt;=0,ABS(inp_f1_21)&lt;=999999999999999),FALSE)</f>
        <v>1</v>
      </c>
      <c r="L44">
        <f>IFERROR(ABS(inp_f1_21),0)</f>
        <v>0</v>
      </c>
      <c r="M44" t="s">
        <v>226</v>
      </c>
    </row>
    <row r="45" spans="1:13">
      <c r="A45">
        <v>14</v>
      </c>
      <c r="B45">
        <f>IFERROR(QUOTIENT($B$5,2^A45)-2*QUOTIENT($B$5,2^(A45+1)),0)</f>
        <v>0</v>
      </c>
      <c r="C45">
        <f>IFERROR(2*E44+B45*$C$5,0)</f>
        <v>0</v>
      </c>
      <c r="D45">
        <f>IFERROR(2*D44+QUOTIENT(C45,$D$5),0)</f>
        <v>0</v>
      </c>
      <c r="E45">
        <f>IFERROR(C45-$D$5*QUOTIENT(C45,$D$5),0)</f>
        <v>0</v>
      </c>
      <c r="K45" t="b">
        <f>IFERROR(AND(ISNUMBER(inp_f1_22),inp_f1_22=INT(inp_f1_22),inp_f1_22&gt;=0,ABS(inp_f1_22)&lt;=999999999999999),FALSE)</f>
        <v>1</v>
      </c>
      <c r="L45">
        <f>IFERROR(ABS(inp_f1_22),0)</f>
        <v>0</v>
      </c>
      <c r="M45" t="s">
        <v>227</v>
      </c>
    </row>
    <row r="46" spans="1:13">
      <c r="A46">
        <v>13</v>
      </c>
      <c r="B46">
        <f>IFERROR(QUOTIENT($B$5,2^A46)-2*QUOTIENT($B$5,2^(A46+1)),0)</f>
        <v>0</v>
      </c>
      <c r="C46">
        <f>IFERROR(2*E45+B46*$C$5,0)</f>
        <v>0</v>
      </c>
      <c r="D46">
        <f>IFERROR(2*D45+QUOTIENT(C46,$D$5),0)</f>
        <v>0</v>
      </c>
      <c r="E46">
        <f>IFERROR(C46-$D$5*QUOTIENT(C46,$D$5),0)</f>
        <v>0</v>
      </c>
      <c r="K46" t="b">
        <f>IFERROR(AND(ISNUMBER(inp_f1_23),inp_f1_23=INT(inp_f1_23),inp_f1_23&gt;=0,ABS(inp_f1_23)&lt;=999999999999999),FALSE)</f>
        <v>1</v>
      </c>
      <c r="L46">
        <f>IFERROR(ABS(inp_f1_23),0)</f>
        <v>0</v>
      </c>
      <c r="M46" t="s">
        <v>228</v>
      </c>
    </row>
    <row r="47" spans="1:13">
      <c r="A47">
        <v>12</v>
      </c>
      <c r="B47">
        <f>IFERROR(QUOTIENT($B$5,2^A47)-2*QUOTIENT($B$5,2^(A47+1)),0)</f>
        <v>0</v>
      </c>
      <c r="C47">
        <f>IFERROR(2*E46+B47*$C$5,0)</f>
        <v>0</v>
      </c>
      <c r="D47">
        <f>IFERROR(2*D46+QUOTIENT(C47,$D$5),0)</f>
        <v>0</v>
      </c>
      <c r="E47">
        <f>IFERROR(C47-$D$5*QUOTIENT(C47,$D$5),0)</f>
        <v>0</v>
      </c>
      <c r="K47" t="b">
        <f>IFERROR(AND(ISNUMBER(inp_f1_24),inp_f1_24=INT(inp_f1_24),inp_f1_24&gt;=0,ABS(inp_f1_24)&lt;=999999999999999),FALSE)</f>
        <v>1</v>
      </c>
      <c r="L47">
        <f>IFERROR(ABS(inp_f1_24),0)</f>
        <v>0</v>
      </c>
      <c r="M47" t="s">
        <v>229</v>
      </c>
    </row>
    <row r="48" spans="1:13">
      <c r="A48">
        <v>11</v>
      </c>
      <c r="B48">
        <f>IFERROR(QUOTIENT($B$5,2^A48)-2*QUOTIENT($B$5,2^(A48+1)),0)</f>
        <v>0</v>
      </c>
      <c r="C48">
        <f>IFERROR(2*E47+B48*$C$5,0)</f>
        <v>0</v>
      </c>
      <c r="D48">
        <f>IFERROR(2*D47+QUOTIENT(C48,$D$5),0)</f>
        <v>0</v>
      </c>
      <c r="E48">
        <f>IFERROR(C48-$D$5*QUOTIENT(C48,$D$5),0)</f>
        <v>0</v>
      </c>
      <c r="K48" t="b">
        <f>IFERROR(AND(ISNUMBER(inp_f1_25),inp_f1_25=INT(inp_f1_25),inp_f1_25&gt;=0,ABS(inp_f1_25)&lt;=999999999999999),FALSE)</f>
        <v>1</v>
      </c>
      <c r="L48">
        <f>IFERROR(ABS(inp_f1_25),0)</f>
        <v>0</v>
      </c>
      <c r="M48" t="s">
        <v>230</v>
      </c>
    </row>
    <row r="49" spans="1:13">
      <c r="A49">
        <v>10</v>
      </c>
      <c r="B49">
        <f>IFERROR(QUOTIENT($B$5,2^A49)-2*QUOTIENT($B$5,2^(A49+1)),0)</f>
        <v>0</v>
      </c>
      <c r="C49">
        <f>IFERROR(2*E48+B49*$C$5,0)</f>
        <v>0</v>
      </c>
      <c r="D49">
        <f>IFERROR(2*D48+QUOTIENT(C49,$D$5),0)</f>
        <v>0</v>
      </c>
      <c r="E49">
        <f>IFERROR(C49-$D$5*QUOTIENT(C49,$D$5),0)</f>
        <v>0</v>
      </c>
      <c r="K49" t="b">
        <f>IFERROR(AND(ISNUMBER(inp_f1_26),inp_f1_26=INT(inp_f1_26),inp_f1_26&gt;=0,ABS(inp_f1_26)&lt;=999999999999999),FALSE)</f>
        <v>1</v>
      </c>
      <c r="L49">
        <f>IFERROR(ABS(inp_f1_26),0)</f>
        <v>0</v>
      </c>
      <c r="M49" t="s">
        <v>231</v>
      </c>
    </row>
    <row r="50" spans="1:13">
      <c r="A50">
        <v>9</v>
      </c>
      <c r="B50">
        <f>IFERROR(QUOTIENT($B$5,2^A50)-2*QUOTIENT($B$5,2^(A50+1)),0)</f>
        <v>0</v>
      </c>
      <c r="C50">
        <f>IFERROR(2*E49+B50*$C$5,0)</f>
        <v>0</v>
      </c>
      <c r="D50">
        <f>IFERROR(2*D49+QUOTIENT(C50,$D$5),0)</f>
        <v>0</v>
      </c>
      <c r="E50">
        <f>IFERROR(C50-$D$5*QUOTIENT(C50,$D$5),0)</f>
        <v>0</v>
      </c>
      <c r="K50" t="b">
        <f>IFERROR(AND(ISNUMBER(inp_f1_27),inp_f1_27=INT(inp_f1_27),inp_f1_27&gt;=0,ABS(inp_f1_27)&lt;=999999999999999),FALSE)</f>
        <v>1</v>
      </c>
      <c r="L50">
        <f>IFERROR(ABS(inp_f1_27),0)</f>
        <v>0</v>
      </c>
      <c r="M50" t="s">
        <v>232</v>
      </c>
    </row>
    <row r="51" spans="1:13">
      <c r="A51">
        <v>8</v>
      </c>
      <c r="B51">
        <f>IFERROR(QUOTIENT($B$5,2^A51)-2*QUOTIENT($B$5,2^(A51+1)),0)</f>
        <v>0</v>
      </c>
      <c r="C51">
        <f>IFERROR(2*E50+B51*$C$5,0)</f>
        <v>0</v>
      </c>
      <c r="D51">
        <f>IFERROR(2*D50+QUOTIENT(C51,$D$5),0)</f>
        <v>0</v>
      </c>
      <c r="E51">
        <f>IFERROR(C51-$D$5*QUOTIENT(C51,$D$5),0)</f>
        <v>0</v>
      </c>
      <c r="K51" t="b">
        <f>IFERROR(AND(ISNUMBER(inp_f1_28),inp_f1_28=INT(inp_f1_28),inp_f1_28&gt;=0,ABS(inp_f1_28)&lt;=999999999999999),FALSE)</f>
        <v>1</v>
      </c>
      <c r="L51">
        <f>IFERROR(ABS(inp_f1_28),0)</f>
        <v>0</v>
      </c>
      <c r="M51" t="s">
        <v>233</v>
      </c>
    </row>
    <row r="52" spans="1:13">
      <c r="A52">
        <v>7</v>
      </c>
      <c r="B52">
        <f>IFERROR(QUOTIENT($B$5,2^A52)-2*QUOTIENT($B$5,2^(A52+1)),0)</f>
        <v>0</v>
      </c>
      <c r="C52">
        <f>IFERROR(2*E51+B52*$C$5,0)</f>
        <v>0</v>
      </c>
      <c r="D52">
        <f>IFERROR(2*D51+QUOTIENT(C52,$D$5),0)</f>
        <v>0</v>
      </c>
      <c r="E52">
        <f>IFERROR(C52-$D$5*QUOTIENT(C52,$D$5),0)</f>
        <v>0</v>
      </c>
      <c r="K52" t="b">
        <f>IFERROR(AND(ISNUMBER(inp_f1_29),inp_f1_29=INT(inp_f1_29),inp_f1_29&gt;=0,ABS(inp_f1_29)&lt;=999999999999999),FALSE)</f>
        <v>1</v>
      </c>
      <c r="L52">
        <f>IFERROR(ABS(inp_f1_29),0)</f>
        <v>0</v>
      </c>
      <c r="M52" t="s">
        <v>234</v>
      </c>
    </row>
    <row r="53" spans="1:13">
      <c r="A53">
        <v>6</v>
      </c>
      <c r="B53">
        <f>IFERROR(QUOTIENT($B$5,2^A53)-2*QUOTIENT($B$5,2^(A53+1)),0)</f>
        <v>0</v>
      </c>
      <c r="C53">
        <f>IFERROR(2*E52+B53*$C$5,0)</f>
        <v>0</v>
      </c>
      <c r="D53">
        <f>IFERROR(2*D52+QUOTIENT(C53,$D$5),0)</f>
        <v>0</v>
      </c>
      <c r="E53">
        <f>IFERROR(C53-$D$5*QUOTIENT(C53,$D$5),0)</f>
        <v>0</v>
      </c>
    </row>
    <row r="54" spans="1:13">
      <c r="A54">
        <v>5</v>
      </c>
      <c r="B54">
        <f>IFERROR(QUOTIENT($B$5,2^A54)-2*QUOTIENT($B$5,2^(A54+1)),0)</f>
        <v>0</v>
      </c>
      <c r="C54">
        <f>IFERROR(2*E53+B54*$C$5,0)</f>
        <v>0</v>
      </c>
      <c r="D54">
        <f>IFERROR(2*D53+QUOTIENT(C54,$D$5),0)</f>
        <v>0</v>
      </c>
      <c r="E54">
        <f>IFERROR(C54-$D$5*QUOTIENT(C54,$D$5),0)</f>
        <v>0</v>
      </c>
    </row>
    <row r="55" spans="1:13">
      <c r="A55">
        <v>4</v>
      </c>
      <c r="B55">
        <f>IFERROR(QUOTIENT($B$5,2^A55)-2*QUOTIENT($B$5,2^(A55+1)),0)</f>
        <v>0</v>
      </c>
      <c r="C55">
        <f>IFERROR(2*E54+B55*$C$5,0)</f>
        <v>0</v>
      </c>
      <c r="D55">
        <f>IFERROR(2*D54+QUOTIENT(C55,$D$5),0)</f>
        <v>0</v>
      </c>
      <c r="E55">
        <f>IFERROR(C55-$D$5*QUOTIENT(C55,$D$5),0)</f>
        <v>0</v>
      </c>
    </row>
    <row r="56" spans="1:13">
      <c r="A56">
        <v>3</v>
      </c>
      <c r="B56">
        <f>IFERROR(QUOTIENT($B$5,2^A56)-2*QUOTIENT($B$5,2^(A56+1)),0)</f>
        <v>0</v>
      </c>
      <c r="C56">
        <f>IFERROR(2*E55+B56*$C$5,0)</f>
        <v>0</v>
      </c>
      <c r="D56">
        <f>IFERROR(2*D55+QUOTIENT(C56,$D$5),0)</f>
        <v>0</v>
      </c>
      <c r="E56">
        <f>IFERROR(C56-$D$5*QUOTIENT(C56,$D$5),0)</f>
        <v>0</v>
      </c>
    </row>
    <row r="57" spans="1:13">
      <c r="A57">
        <v>2</v>
      </c>
      <c r="B57">
        <f>IFERROR(QUOTIENT($B$5,2^A57)-2*QUOTIENT($B$5,2^(A57+1)),0)</f>
        <v>0</v>
      </c>
      <c r="C57">
        <f>IFERROR(2*E56+B57*$C$5,0)</f>
        <v>0</v>
      </c>
      <c r="D57">
        <f>IFERROR(2*D56+QUOTIENT(C57,$D$5),0)</f>
        <v>0</v>
      </c>
      <c r="E57">
        <f>IFERROR(C57-$D$5*QUOTIENT(C57,$D$5),0)</f>
        <v>0</v>
      </c>
    </row>
    <row r="58" spans="1:13">
      <c r="A58">
        <v>1</v>
      </c>
      <c r="B58">
        <f>IFERROR(QUOTIENT($B$5,2^A58)-2*QUOTIENT($B$5,2^(A58+1)),0)</f>
        <v>0</v>
      </c>
      <c r="C58">
        <f>IFERROR(2*E57+B58*$C$5,0)</f>
        <v>0</v>
      </c>
      <c r="D58">
        <f>IFERROR(2*D57+QUOTIENT(C58,$D$5),0)</f>
        <v>0</v>
      </c>
      <c r="E58">
        <f>IFERROR(C58-$D$5*QUOTIENT(C58,$D$5),0)</f>
        <v>0</v>
      </c>
    </row>
    <row r="59" spans="1:13">
      <c r="A59">
        <v>0</v>
      </c>
      <c r="B59">
        <f>IFERROR(QUOTIENT($B$5,2^A59)-2*QUOTIENT($B$5,2^(A59+1)),0)</f>
        <v>0</v>
      </c>
      <c r="C59">
        <f>IFERROR(2*E58+B59*$C$5,0)</f>
        <v>0</v>
      </c>
      <c r="D59">
        <f>IFERROR(2*D58+QUOTIENT(C59,$D$5),0)</f>
        <v>0</v>
      </c>
      <c r="E59">
        <f>IFERROR(C59-$D$5*QUOTIENT(C59,$D$5),0)</f>
        <v>0</v>
      </c>
    </row>
    <row r="60" spans="1:13">
      <c r="A60" t="s">
        <v>356</v>
      </c>
      <c r="B60">
        <f>IFERROR(E5*D59,0)</f>
        <v>0</v>
      </c>
      <c r="C60">
        <f>IFERROR(E59,0)</f>
        <v>0</v>
      </c>
      <c r="D60">
        <f>IFERROR(B60-IF(E5&lt;0,IF(C60=0,0,1),0),0)</f>
        <v>0</v>
      </c>
      <c r="E60">
        <f>IFERROR(IF(E5&lt;0,IF(C60=0,0,D5-C60),C60),0)</f>
        <v>0</v>
      </c>
      <c r="F60" t="b">
        <f>IFERROR(AND(B5&lt;=9007199254740990,C5&lt;=9007199254740990,F5&gt;0,F5&lt;=9007199254740990,2*D5+C5&lt;=9007199254740990,ABS(B60)&lt;=9007199254740990),0)</f>
        <v>1</v>
      </c>
    </row>
    <row r="62" spans="1:13">
      <c r="A62" s="2" t="s">
        <v>349</v>
      </c>
      <c r="B62" s="2" t="s">
        <v>350</v>
      </c>
      <c r="C62" s="2" t="s">
        <v>351</v>
      </c>
      <c r="D62" s="2" t="s">
        <v>352</v>
      </c>
      <c r="E62" s="2" t="s">
        <v>353</v>
      </c>
      <c r="F62" s="2"/>
      <c r="G62" s="2"/>
      <c r="H62" s="2"/>
    </row>
    <row r="63" spans="1:13">
      <c r="A63" t="s">
        <v>357</v>
      </c>
      <c r="B63">
        <f>IFERROR(ABS(MAX(0,IF(inp_class="該当",m_23,m_22))),0)</f>
        <v>0</v>
      </c>
      <c r="C63">
        <f>IFERROR(ABS(13),0)</f>
        <v>13</v>
      </c>
      <c r="D63">
        <f>IFERROR(MAX(1,IFERROR(ABS(125),0)),0)</f>
        <v>125</v>
      </c>
      <c r="E63">
        <f>IFERROR(SIGN(MAX(0,IF(inp_class="該当",m_23,m_22)))*SIGN(13)*SIGN(125),0)</f>
        <v>0</v>
      </c>
      <c r="F63">
        <f>IFERROR(ABS(125),0)</f>
        <v>125</v>
      </c>
      <c r="G63" t="b">
        <f>IFERROR(F118,0)</f>
        <v>1</v>
      </c>
      <c r="H63" s="3" t="s">
        <v>358</v>
      </c>
    </row>
    <row r="64" spans="1:13">
      <c r="D64">
        <v>0</v>
      </c>
      <c r="E64">
        <v>0</v>
      </c>
    </row>
    <row r="65" spans="1:5">
      <c r="A65">
        <v>52</v>
      </c>
      <c r="B65">
        <f>IFERROR(QUOTIENT($B$63,2^A65)-2*QUOTIENT($B$63,2^(A65+1)),0)</f>
        <v>0</v>
      </c>
      <c r="C65">
        <f>IFERROR(2*E64+B65*$C$63,0)</f>
        <v>0</v>
      </c>
      <c r="D65">
        <f>IFERROR(2*D64+QUOTIENT(C65,$D$63),0)</f>
        <v>0</v>
      </c>
      <c r="E65">
        <f>IFERROR(C65-$D$63*QUOTIENT(C65,$D$63),0)</f>
        <v>0</v>
      </c>
    </row>
    <row r="66" spans="1:5">
      <c r="A66">
        <v>51</v>
      </c>
      <c r="B66">
        <f>IFERROR(QUOTIENT($B$63,2^A66)-2*QUOTIENT($B$63,2^(A66+1)),0)</f>
        <v>0</v>
      </c>
      <c r="C66">
        <f>IFERROR(2*E65+B66*$C$63,0)</f>
        <v>0</v>
      </c>
      <c r="D66">
        <f>IFERROR(2*D65+QUOTIENT(C66,$D$63),0)</f>
        <v>0</v>
      </c>
      <c r="E66">
        <f>IFERROR(C66-$D$63*QUOTIENT(C66,$D$63),0)</f>
        <v>0</v>
      </c>
    </row>
    <row r="67" spans="1:5">
      <c r="A67">
        <v>50</v>
      </c>
      <c r="B67">
        <f>IFERROR(QUOTIENT($B$63,2^A67)-2*QUOTIENT($B$63,2^(A67+1)),0)</f>
        <v>0</v>
      </c>
      <c r="C67">
        <f>IFERROR(2*E66+B67*$C$63,0)</f>
        <v>0</v>
      </c>
      <c r="D67">
        <f>IFERROR(2*D66+QUOTIENT(C67,$D$63),0)</f>
        <v>0</v>
      </c>
      <c r="E67">
        <f>IFERROR(C67-$D$63*QUOTIENT(C67,$D$63),0)</f>
        <v>0</v>
      </c>
    </row>
    <row r="68" spans="1:5">
      <c r="A68">
        <v>49</v>
      </c>
      <c r="B68">
        <f>IFERROR(QUOTIENT($B$63,2^A68)-2*QUOTIENT($B$63,2^(A68+1)),0)</f>
        <v>0</v>
      </c>
      <c r="C68">
        <f>IFERROR(2*E67+B68*$C$63,0)</f>
        <v>0</v>
      </c>
      <c r="D68">
        <f>IFERROR(2*D67+QUOTIENT(C68,$D$63),0)</f>
        <v>0</v>
      </c>
      <c r="E68">
        <f>IFERROR(C68-$D$63*QUOTIENT(C68,$D$63),0)</f>
        <v>0</v>
      </c>
    </row>
    <row r="69" spans="1:5">
      <c r="A69">
        <v>48</v>
      </c>
      <c r="B69">
        <f>IFERROR(QUOTIENT($B$63,2^A69)-2*QUOTIENT($B$63,2^(A69+1)),0)</f>
        <v>0</v>
      </c>
      <c r="C69">
        <f>IFERROR(2*E68+B69*$C$63,0)</f>
        <v>0</v>
      </c>
      <c r="D69">
        <f>IFERROR(2*D68+QUOTIENT(C69,$D$63),0)</f>
        <v>0</v>
      </c>
      <c r="E69">
        <f>IFERROR(C69-$D$63*QUOTIENT(C69,$D$63),0)</f>
        <v>0</v>
      </c>
    </row>
    <row r="70" spans="1:5">
      <c r="A70">
        <v>47</v>
      </c>
      <c r="B70">
        <f>IFERROR(QUOTIENT($B$63,2^A70)-2*QUOTIENT($B$63,2^(A70+1)),0)</f>
        <v>0</v>
      </c>
      <c r="C70">
        <f>IFERROR(2*E69+B70*$C$63,0)</f>
        <v>0</v>
      </c>
      <c r="D70">
        <f>IFERROR(2*D69+QUOTIENT(C70,$D$63),0)</f>
        <v>0</v>
      </c>
      <c r="E70">
        <f>IFERROR(C70-$D$63*QUOTIENT(C70,$D$63),0)</f>
        <v>0</v>
      </c>
    </row>
    <row r="71" spans="1:5">
      <c r="A71">
        <v>46</v>
      </c>
      <c r="B71">
        <f>IFERROR(QUOTIENT($B$63,2^A71)-2*QUOTIENT($B$63,2^(A71+1)),0)</f>
        <v>0</v>
      </c>
      <c r="C71">
        <f>IFERROR(2*E70+B71*$C$63,0)</f>
        <v>0</v>
      </c>
      <c r="D71">
        <f>IFERROR(2*D70+QUOTIENT(C71,$D$63),0)</f>
        <v>0</v>
      </c>
      <c r="E71">
        <f>IFERROR(C71-$D$63*QUOTIENT(C71,$D$63),0)</f>
        <v>0</v>
      </c>
    </row>
    <row r="72" spans="1:5">
      <c r="A72">
        <v>45</v>
      </c>
      <c r="B72">
        <f>IFERROR(QUOTIENT($B$63,2^A72)-2*QUOTIENT($B$63,2^(A72+1)),0)</f>
        <v>0</v>
      </c>
      <c r="C72">
        <f>IFERROR(2*E71+B72*$C$63,0)</f>
        <v>0</v>
      </c>
      <c r="D72">
        <f>IFERROR(2*D71+QUOTIENT(C72,$D$63),0)</f>
        <v>0</v>
      </c>
      <c r="E72">
        <f>IFERROR(C72-$D$63*QUOTIENT(C72,$D$63),0)</f>
        <v>0</v>
      </c>
    </row>
    <row r="73" spans="1:5">
      <c r="A73">
        <v>44</v>
      </c>
      <c r="B73">
        <f>IFERROR(QUOTIENT($B$63,2^A73)-2*QUOTIENT($B$63,2^(A73+1)),0)</f>
        <v>0</v>
      </c>
      <c r="C73">
        <f>IFERROR(2*E72+B73*$C$63,0)</f>
        <v>0</v>
      </c>
      <c r="D73">
        <f>IFERROR(2*D72+QUOTIENT(C73,$D$63),0)</f>
        <v>0</v>
      </c>
      <c r="E73">
        <f>IFERROR(C73-$D$63*QUOTIENT(C73,$D$63),0)</f>
        <v>0</v>
      </c>
    </row>
    <row r="74" spans="1:5">
      <c r="A74">
        <v>43</v>
      </c>
      <c r="B74">
        <f>IFERROR(QUOTIENT($B$63,2^A74)-2*QUOTIENT($B$63,2^(A74+1)),0)</f>
        <v>0</v>
      </c>
      <c r="C74">
        <f>IFERROR(2*E73+B74*$C$63,0)</f>
        <v>0</v>
      </c>
      <c r="D74">
        <f>IFERROR(2*D73+QUOTIENT(C74,$D$63),0)</f>
        <v>0</v>
      </c>
      <c r="E74">
        <f>IFERROR(C74-$D$63*QUOTIENT(C74,$D$63),0)</f>
        <v>0</v>
      </c>
    </row>
    <row r="75" spans="1:5">
      <c r="A75">
        <v>42</v>
      </c>
      <c r="B75">
        <f>IFERROR(QUOTIENT($B$63,2^A75)-2*QUOTIENT($B$63,2^(A75+1)),0)</f>
        <v>0</v>
      </c>
      <c r="C75">
        <f>IFERROR(2*E74+B75*$C$63,0)</f>
        <v>0</v>
      </c>
      <c r="D75">
        <f>IFERROR(2*D74+QUOTIENT(C75,$D$63),0)</f>
        <v>0</v>
      </c>
      <c r="E75">
        <f>IFERROR(C75-$D$63*QUOTIENT(C75,$D$63),0)</f>
        <v>0</v>
      </c>
    </row>
    <row r="76" spans="1:5">
      <c r="A76">
        <v>41</v>
      </c>
      <c r="B76">
        <f>IFERROR(QUOTIENT($B$63,2^A76)-2*QUOTIENT($B$63,2^(A76+1)),0)</f>
        <v>0</v>
      </c>
      <c r="C76">
        <f>IFERROR(2*E75+B76*$C$63,0)</f>
        <v>0</v>
      </c>
      <c r="D76">
        <f>IFERROR(2*D75+QUOTIENT(C76,$D$63),0)</f>
        <v>0</v>
      </c>
      <c r="E76">
        <f>IFERROR(C76-$D$63*QUOTIENT(C76,$D$63),0)</f>
        <v>0</v>
      </c>
    </row>
    <row r="77" spans="1:5">
      <c r="A77">
        <v>40</v>
      </c>
      <c r="B77">
        <f>IFERROR(QUOTIENT($B$63,2^A77)-2*QUOTIENT($B$63,2^(A77+1)),0)</f>
        <v>0</v>
      </c>
      <c r="C77">
        <f>IFERROR(2*E76+B77*$C$63,0)</f>
        <v>0</v>
      </c>
      <c r="D77">
        <f>IFERROR(2*D76+QUOTIENT(C77,$D$63),0)</f>
        <v>0</v>
      </c>
      <c r="E77">
        <f>IFERROR(C77-$D$63*QUOTIENT(C77,$D$63),0)</f>
        <v>0</v>
      </c>
    </row>
    <row r="78" spans="1:5">
      <c r="A78">
        <v>39</v>
      </c>
      <c r="B78">
        <f>IFERROR(QUOTIENT($B$63,2^A78)-2*QUOTIENT($B$63,2^(A78+1)),0)</f>
        <v>0</v>
      </c>
      <c r="C78">
        <f>IFERROR(2*E77+B78*$C$63,0)</f>
        <v>0</v>
      </c>
      <c r="D78">
        <f>IFERROR(2*D77+QUOTIENT(C78,$D$63),0)</f>
        <v>0</v>
      </c>
      <c r="E78">
        <f>IFERROR(C78-$D$63*QUOTIENT(C78,$D$63),0)</f>
        <v>0</v>
      </c>
    </row>
    <row r="79" spans="1:5">
      <c r="A79">
        <v>38</v>
      </c>
      <c r="B79">
        <f>IFERROR(QUOTIENT($B$63,2^A79)-2*QUOTIENT($B$63,2^(A79+1)),0)</f>
        <v>0</v>
      </c>
      <c r="C79">
        <f>IFERROR(2*E78+B79*$C$63,0)</f>
        <v>0</v>
      </c>
      <c r="D79">
        <f>IFERROR(2*D78+QUOTIENT(C79,$D$63),0)</f>
        <v>0</v>
      </c>
      <c r="E79">
        <f>IFERROR(C79-$D$63*QUOTIENT(C79,$D$63),0)</f>
        <v>0</v>
      </c>
    </row>
    <row r="80" spans="1:5">
      <c r="A80">
        <v>37</v>
      </c>
      <c r="B80">
        <f>IFERROR(QUOTIENT($B$63,2^A80)-2*QUOTIENT($B$63,2^(A80+1)),0)</f>
        <v>0</v>
      </c>
      <c r="C80">
        <f>IFERROR(2*E79+B80*$C$63,0)</f>
        <v>0</v>
      </c>
      <c r="D80">
        <f>IFERROR(2*D79+QUOTIENT(C80,$D$63),0)</f>
        <v>0</v>
      </c>
      <c r="E80">
        <f>IFERROR(C80-$D$63*QUOTIENT(C80,$D$63),0)</f>
        <v>0</v>
      </c>
    </row>
    <row r="81" spans="1:5">
      <c r="A81">
        <v>36</v>
      </c>
      <c r="B81">
        <f>IFERROR(QUOTIENT($B$63,2^A81)-2*QUOTIENT($B$63,2^(A81+1)),0)</f>
        <v>0</v>
      </c>
      <c r="C81">
        <f>IFERROR(2*E80+B81*$C$63,0)</f>
        <v>0</v>
      </c>
      <c r="D81">
        <f>IFERROR(2*D80+QUOTIENT(C81,$D$63),0)</f>
        <v>0</v>
      </c>
      <c r="E81">
        <f>IFERROR(C81-$D$63*QUOTIENT(C81,$D$63),0)</f>
        <v>0</v>
      </c>
    </row>
    <row r="82" spans="1:5">
      <c r="A82">
        <v>35</v>
      </c>
      <c r="B82">
        <f>IFERROR(QUOTIENT($B$63,2^A82)-2*QUOTIENT($B$63,2^(A82+1)),0)</f>
        <v>0</v>
      </c>
      <c r="C82">
        <f>IFERROR(2*E81+B82*$C$63,0)</f>
        <v>0</v>
      </c>
      <c r="D82">
        <f>IFERROR(2*D81+QUOTIENT(C82,$D$63),0)</f>
        <v>0</v>
      </c>
      <c r="E82">
        <f>IFERROR(C82-$D$63*QUOTIENT(C82,$D$63),0)</f>
        <v>0</v>
      </c>
    </row>
    <row r="83" spans="1:5">
      <c r="A83">
        <v>34</v>
      </c>
      <c r="B83">
        <f>IFERROR(QUOTIENT($B$63,2^A83)-2*QUOTIENT($B$63,2^(A83+1)),0)</f>
        <v>0</v>
      </c>
      <c r="C83">
        <f>IFERROR(2*E82+B83*$C$63,0)</f>
        <v>0</v>
      </c>
      <c r="D83">
        <f>IFERROR(2*D82+QUOTIENT(C83,$D$63),0)</f>
        <v>0</v>
      </c>
      <c r="E83">
        <f>IFERROR(C83-$D$63*QUOTIENT(C83,$D$63),0)</f>
        <v>0</v>
      </c>
    </row>
    <row r="84" spans="1:5">
      <c r="A84">
        <v>33</v>
      </c>
      <c r="B84">
        <f>IFERROR(QUOTIENT($B$63,2^A84)-2*QUOTIENT($B$63,2^(A84+1)),0)</f>
        <v>0</v>
      </c>
      <c r="C84">
        <f>IFERROR(2*E83+B84*$C$63,0)</f>
        <v>0</v>
      </c>
      <c r="D84">
        <f>IFERROR(2*D83+QUOTIENT(C84,$D$63),0)</f>
        <v>0</v>
      </c>
      <c r="E84">
        <f>IFERROR(C84-$D$63*QUOTIENT(C84,$D$63),0)</f>
        <v>0</v>
      </c>
    </row>
    <row r="85" spans="1:5">
      <c r="A85">
        <v>32</v>
      </c>
      <c r="B85">
        <f>IFERROR(QUOTIENT($B$63,2^A85)-2*QUOTIENT($B$63,2^(A85+1)),0)</f>
        <v>0</v>
      </c>
      <c r="C85">
        <f>IFERROR(2*E84+B85*$C$63,0)</f>
        <v>0</v>
      </c>
      <c r="D85">
        <f>IFERROR(2*D84+QUOTIENT(C85,$D$63),0)</f>
        <v>0</v>
      </c>
      <c r="E85">
        <f>IFERROR(C85-$D$63*QUOTIENT(C85,$D$63),0)</f>
        <v>0</v>
      </c>
    </row>
    <row r="86" spans="1:5">
      <c r="A86">
        <v>31</v>
      </c>
      <c r="B86">
        <f>IFERROR(QUOTIENT($B$63,2^A86)-2*QUOTIENT($B$63,2^(A86+1)),0)</f>
        <v>0</v>
      </c>
      <c r="C86">
        <f>IFERROR(2*E85+B86*$C$63,0)</f>
        <v>0</v>
      </c>
      <c r="D86">
        <f>IFERROR(2*D85+QUOTIENT(C86,$D$63),0)</f>
        <v>0</v>
      </c>
      <c r="E86">
        <f>IFERROR(C86-$D$63*QUOTIENT(C86,$D$63),0)</f>
        <v>0</v>
      </c>
    </row>
    <row r="87" spans="1:5">
      <c r="A87">
        <v>30</v>
      </c>
      <c r="B87">
        <f>IFERROR(QUOTIENT($B$63,2^A87)-2*QUOTIENT($B$63,2^(A87+1)),0)</f>
        <v>0</v>
      </c>
      <c r="C87">
        <f>IFERROR(2*E86+B87*$C$63,0)</f>
        <v>0</v>
      </c>
      <c r="D87">
        <f>IFERROR(2*D86+QUOTIENT(C87,$D$63),0)</f>
        <v>0</v>
      </c>
      <c r="E87">
        <f>IFERROR(C87-$D$63*QUOTIENT(C87,$D$63),0)</f>
        <v>0</v>
      </c>
    </row>
    <row r="88" spans="1:5">
      <c r="A88">
        <v>29</v>
      </c>
      <c r="B88">
        <f>IFERROR(QUOTIENT($B$63,2^A88)-2*QUOTIENT($B$63,2^(A88+1)),0)</f>
        <v>0</v>
      </c>
      <c r="C88">
        <f>IFERROR(2*E87+B88*$C$63,0)</f>
        <v>0</v>
      </c>
      <c r="D88">
        <f>IFERROR(2*D87+QUOTIENT(C88,$D$63),0)</f>
        <v>0</v>
      </c>
      <c r="E88">
        <f>IFERROR(C88-$D$63*QUOTIENT(C88,$D$63),0)</f>
        <v>0</v>
      </c>
    </row>
    <row r="89" spans="1:5">
      <c r="A89">
        <v>28</v>
      </c>
      <c r="B89">
        <f>IFERROR(QUOTIENT($B$63,2^A89)-2*QUOTIENT($B$63,2^(A89+1)),0)</f>
        <v>0</v>
      </c>
      <c r="C89">
        <f>IFERROR(2*E88+B89*$C$63,0)</f>
        <v>0</v>
      </c>
      <c r="D89">
        <f>IFERROR(2*D88+QUOTIENT(C89,$D$63),0)</f>
        <v>0</v>
      </c>
      <c r="E89">
        <f>IFERROR(C89-$D$63*QUOTIENT(C89,$D$63),0)</f>
        <v>0</v>
      </c>
    </row>
    <row r="90" spans="1:5">
      <c r="A90">
        <v>27</v>
      </c>
      <c r="B90">
        <f>IFERROR(QUOTIENT($B$63,2^A90)-2*QUOTIENT($B$63,2^(A90+1)),0)</f>
        <v>0</v>
      </c>
      <c r="C90">
        <f>IFERROR(2*E89+B90*$C$63,0)</f>
        <v>0</v>
      </c>
      <c r="D90">
        <f>IFERROR(2*D89+QUOTIENT(C90,$D$63),0)</f>
        <v>0</v>
      </c>
      <c r="E90">
        <f>IFERROR(C90-$D$63*QUOTIENT(C90,$D$63),0)</f>
        <v>0</v>
      </c>
    </row>
    <row r="91" spans="1:5">
      <c r="A91">
        <v>26</v>
      </c>
      <c r="B91">
        <f>IFERROR(QUOTIENT($B$63,2^A91)-2*QUOTIENT($B$63,2^(A91+1)),0)</f>
        <v>0</v>
      </c>
      <c r="C91">
        <f>IFERROR(2*E90+B91*$C$63,0)</f>
        <v>0</v>
      </c>
      <c r="D91">
        <f>IFERROR(2*D90+QUOTIENT(C91,$D$63),0)</f>
        <v>0</v>
      </c>
      <c r="E91">
        <f>IFERROR(C91-$D$63*QUOTIENT(C91,$D$63),0)</f>
        <v>0</v>
      </c>
    </row>
    <row r="92" spans="1:5">
      <c r="A92">
        <v>25</v>
      </c>
      <c r="B92">
        <f>IFERROR(QUOTIENT($B$63,2^A92)-2*QUOTIENT($B$63,2^(A92+1)),0)</f>
        <v>0</v>
      </c>
      <c r="C92">
        <f>IFERROR(2*E91+B92*$C$63,0)</f>
        <v>0</v>
      </c>
      <c r="D92">
        <f>IFERROR(2*D91+QUOTIENT(C92,$D$63),0)</f>
        <v>0</v>
      </c>
      <c r="E92">
        <f>IFERROR(C92-$D$63*QUOTIENT(C92,$D$63),0)</f>
        <v>0</v>
      </c>
    </row>
    <row r="93" spans="1:5">
      <c r="A93">
        <v>24</v>
      </c>
      <c r="B93">
        <f>IFERROR(QUOTIENT($B$63,2^A93)-2*QUOTIENT($B$63,2^(A93+1)),0)</f>
        <v>0</v>
      </c>
      <c r="C93">
        <f>IFERROR(2*E92+B93*$C$63,0)</f>
        <v>0</v>
      </c>
      <c r="D93">
        <f>IFERROR(2*D92+QUOTIENT(C93,$D$63),0)</f>
        <v>0</v>
      </c>
      <c r="E93">
        <f>IFERROR(C93-$D$63*QUOTIENT(C93,$D$63),0)</f>
        <v>0</v>
      </c>
    </row>
    <row r="94" spans="1:5">
      <c r="A94">
        <v>23</v>
      </c>
      <c r="B94">
        <f>IFERROR(QUOTIENT($B$63,2^A94)-2*QUOTIENT($B$63,2^(A94+1)),0)</f>
        <v>0</v>
      </c>
      <c r="C94">
        <f>IFERROR(2*E93+B94*$C$63,0)</f>
        <v>0</v>
      </c>
      <c r="D94">
        <f>IFERROR(2*D93+QUOTIENT(C94,$D$63),0)</f>
        <v>0</v>
      </c>
      <c r="E94">
        <f>IFERROR(C94-$D$63*QUOTIENT(C94,$D$63),0)</f>
        <v>0</v>
      </c>
    </row>
    <row r="95" spans="1:5">
      <c r="A95">
        <v>22</v>
      </c>
      <c r="B95">
        <f>IFERROR(QUOTIENT($B$63,2^A95)-2*QUOTIENT($B$63,2^(A95+1)),0)</f>
        <v>0</v>
      </c>
      <c r="C95">
        <f>IFERROR(2*E94+B95*$C$63,0)</f>
        <v>0</v>
      </c>
      <c r="D95">
        <f>IFERROR(2*D94+QUOTIENT(C95,$D$63),0)</f>
        <v>0</v>
      </c>
      <c r="E95">
        <f>IFERROR(C95-$D$63*QUOTIENT(C95,$D$63),0)</f>
        <v>0</v>
      </c>
    </row>
    <row r="96" spans="1:5">
      <c r="A96">
        <v>21</v>
      </c>
      <c r="B96">
        <f>IFERROR(QUOTIENT($B$63,2^A96)-2*QUOTIENT($B$63,2^(A96+1)),0)</f>
        <v>0</v>
      </c>
      <c r="C96">
        <f>IFERROR(2*E95+B96*$C$63,0)</f>
        <v>0</v>
      </c>
      <c r="D96">
        <f>IFERROR(2*D95+QUOTIENT(C96,$D$63),0)</f>
        <v>0</v>
      </c>
      <c r="E96">
        <f>IFERROR(C96-$D$63*QUOTIENT(C96,$D$63),0)</f>
        <v>0</v>
      </c>
    </row>
    <row r="97" spans="1:5">
      <c r="A97">
        <v>20</v>
      </c>
      <c r="B97">
        <f>IFERROR(QUOTIENT($B$63,2^A97)-2*QUOTIENT($B$63,2^(A97+1)),0)</f>
        <v>0</v>
      </c>
      <c r="C97">
        <f>IFERROR(2*E96+B97*$C$63,0)</f>
        <v>0</v>
      </c>
      <c r="D97">
        <f>IFERROR(2*D96+QUOTIENT(C97,$D$63),0)</f>
        <v>0</v>
      </c>
      <c r="E97">
        <f>IFERROR(C97-$D$63*QUOTIENT(C97,$D$63),0)</f>
        <v>0</v>
      </c>
    </row>
    <row r="98" spans="1:5">
      <c r="A98">
        <v>19</v>
      </c>
      <c r="B98">
        <f>IFERROR(QUOTIENT($B$63,2^A98)-2*QUOTIENT($B$63,2^(A98+1)),0)</f>
        <v>0</v>
      </c>
      <c r="C98">
        <f>IFERROR(2*E97+B98*$C$63,0)</f>
        <v>0</v>
      </c>
      <c r="D98">
        <f>IFERROR(2*D97+QUOTIENT(C98,$D$63),0)</f>
        <v>0</v>
      </c>
      <c r="E98">
        <f>IFERROR(C98-$D$63*QUOTIENT(C98,$D$63),0)</f>
        <v>0</v>
      </c>
    </row>
    <row r="99" spans="1:5">
      <c r="A99">
        <v>18</v>
      </c>
      <c r="B99">
        <f>IFERROR(QUOTIENT($B$63,2^A99)-2*QUOTIENT($B$63,2^(A99+1)),0)</f>
        <v>0</v>
      </c>
      <c r="C99">
        <f>IFERROR(2*E98+B99*$C$63,0)</f>
        <v>0</v>
      </c>
      <c r="D99">
        <f>IFERROR(2*D98+QUOTIENT(C99,$D$63),0)</f>
        <v>0</v>
      </c>
      <c r="E99">
        <f>IFERROR(C99-$D$63*QUOTIENT(C99,$D$63),0)</f>
        <v>0</v>
      </c>
    </row>
    <row r="100" spans="1:5">
      <c r="A100">
        <v>17</v>
      </c>
      <c r="B100">
        <f>IFERROR(QUOTIENT($B$63,2^A100)-2*QUOTIENT($B$63,2^(A100+1)),0)</f>
        <v>0</v>
      </c>
      <c r="C100">
        <f>IFERROR(2*E99+B100*$C$63,0)</f>
        <v>0</v>
      </c>
      <c r="D100">
        <f>IFERROR(2*D99+QUOTIENT(C100,$D$63),0)</f>
        <v>0</v>
      </c>
      <c r="E100">
        <f>IFERROR(C100-$D$63*QUOTIENT(C100,$D$63),0)</f>
        <v>0</v>
      </c>
    </row>
    <row r="101" spans="1:5">
      <c r="A101">
        <v>16</v>
      </c>
      <c r="B101">
        <f>IFERROR(QUOTIENT($B$63,2^A101)-2*QUOTIENT($B$63,2^(A101+1)),0)</f>
        <v>0</v>
      </c>
      <c r="C101">
        <f>IFERROR(2*E100+B101*$C$63,0)</f>
        <v>0</v>
      </c>
      <c r="D101">
        <f>IFERROR(2*D100+QUOTIENT(C101,$D$63),0)</f>
        <v>0</v>
      </c>
      <c r="E101">
        <f>IFERROR(C101-$D$63*QUOTIENT(C101,$D$63),0)</f>
        <v>0</v>
      </c>
    </row>
    <row r="102" spans="1:5">
      <c r="A102">
        <v>15</v>
      </c>
      <c r="B102">
        <f>IFERROR(QUOTIENT($B$63,2^A102)-2*QUOTIENT($B$63,2^(A102+1)),0)</f>
        <v>0</v>
      </c>
      <c r="C102">
        <f>IFERROR(2*E101+B102*$C$63,0)</f>
        <v>0</v>
      </c>
      <c r="D102">
        <f>IFERROR(2*D101+QUOTIENT(C102,$D$63),0)</f>
        <v>0</v>
      </c>
      <c r="E102">
        <f>IFERROR(C102-$D$63*QUOTIENT(C102,$D$63),0)</f>
        <v>0</v>
      </c>
    </row>
    <row r="103" spans="1:5">
      <c r="A103">
        <v>14</v>
      </c>
      <c r="B103">
        <f>IFERROR(QUOTIENT($B$63,2^A103)-2*QUOTIENT($B$63,2^(A103+1)),0)</f>
        <v>0</v>
      </c>
      <c r="C103">
        <f>IFERROR(2*E102+B103*$C$63,0)</f>
        <v>0</v>
      </c>
      <c r="D103">
        <f>IFERROR(2*D102+QUOTIENT(C103,$D$63),0)</f>
        <v>0</v>
      </c>
      <c r="E103">
        <f>IFERROR(C103-$D$63*QUOTIENT(C103,$D$63),0)</f>
        <v>0</v>
      </c>
    </row>
    <row r="104" spans="1:5">
      <c r="A104">
        <v>13</v>
      </c>
      <c r="B104">
        <f>IFERROR(QUOTIENT($B$63,2^A104)-2*QUOTIENT($B$63,2^(A104+1)),0)</f>
        <v>0</v>
      </c>
      <c r="C104">
        <f>IFERROR(2*E103+B104*$C$63,0)</f>
        <v>0</v>
      </c>
      <c r="D104">
        <f>IFERROR(2*D103+QUOTIENT(C104,$D$63),0)</f>
        <v>0</v>
      </c>
      <c r="E104">
        <f>IFERROR(C104-$D$63*QUOTIENT(C104,$D$63),0)</f>
        <v>0</v>
      </c>
    </row>
    <row r="105" spans="1:5">
      <c r="A105">
        <v>12</v>
      </c>
      <c r="B105">
        <f>IFERROR(QUOTIENT($B$63,2^A105)-2*QUOTIENT($B$63,2^(A105+1)),0)</f>
        <v>0</v>
      </c>
      <c r="C105">
        <f>IFERROR(2*E104+B105*$C$63,0)</f>
        <v>0</v>
      </c>
      <c r="D105">
        <f>IFERROR(2*D104+QUOTIENT(C105,$D$63),0)</f>
        <v>0</v>
      </c>
      <c r="E105">
        <f>IFERROR(C105-$D$63*QUOTIENT(C105,$D$63),0)</f>
        <v>0</v>
      </c>
    </row>
    <row r="106" spans="1:5">
      <c r="A106">
        <v>11</v>
      </c>
      <c r="B106">
        <f>IFERROR(QUOTIENT($B$63,2^A106)-2*QUOTIENT($B$63,2^(A106+1)),0)</f>
        <v>0</v>
      </c>
      <c r="C106">
        <f>IFERROR(2*E105+B106*$C$63,0)</f>
        <v>0</v>
      </c>
      <c r="D106">
        <f>IFERROR(2*D105+QUOTIENT(C106,$D$63),0)</f>
        <v>0</v>
      </c>
      <c r="E106">
        <f>IFERROR(C106-$D$63*QUOTIENT(C106,$D$63),0)</f>
        <v>0</v>
      </c>
    </row>
    <row r="107" spans="1:5">
      <c r="A107">
        <v>10</v>
      </c>
      <c r="B107">
        <f>IFERROR(QUOTIENT($B$63,2^A107)-2*QUOTIENT($B$63,2^(A107+1)),0)</f>
        <v>0</v>
      </c>
      <c r="C107">
        <f>IFERROR(2*E106+B107*$C$63,0)</f>
        <v>0</v>
      </c>
      <c r="D107">
        <f>IFERROR(2*D106+QUOTIENT(C107,$D$63),0)</f>
        <v>0</v>
      </c>
      <c r="E107">
        <f>IFERROR(C107-$D$63*QUOTIENT(C107,$D$63),0)</f>
        <v>0</v>
      </c>
    </row>
    <row r="108" spans="1:5">
      <c r="A108">
        <v>9</v>
      </c>
      <c r="B108">
        <f>IFERROR(QUOTIENT($B$63,2^A108)-2*QUOTIENT($B$63,2^(A108+1)),0)</f>
        <v>0</v>
      </c>
      <c r="C108">
        <f>IFERROR(2*E107+B108*$C$63,0)</f>
        <v>0</v>
      </c>
      <c r="D108">
        <f>IFERROR(2*D107+QUOTIENT(C108,$D$63),0)</f>
        <v>0</v>
      </c>
      <c r="E108">
        <f>IFERROR(C108-$D$63*QUOTIENT(C108,$D$63),0)</f>
        <v>0</v>
      </c>
    </row>
    <row r="109" spans="1:5">
      <c r="A109">
        <v>8</v>
      </c>
      <c r="B109">
        <f>IFERROR(QUOTIENT($B$63,2^A109)-2*QUOTIENT($B$63,2^(A109+1)),0)</f>
        <v>0</v>
      </c>
      <c r="C109">
        <f>IFERROR(2*E108+B109*$C$63,0)</f>
        <v>0</v>
      </c>
      <c r="D109">
        <f>IFERROR(2*D108+QUOTIENT(C109,$D$63),0)</f>
        <v>0</v>
      </c>
      <c r="E109">
        <f>IFERROR(C109-$D$63*QUOTIENT(C109,$D$63),0)</f>
        <v>0</v>
      </c>
    </row>
    <row r="110" spans="1:5">
      <c r="A110">
        <v>7</v>
      </c>
      <c r="B110">
        <f>IFERROR(QUOTIENT($B$63,2^A110)-2*QUOTIENT($B$63,2^(A110+1)),0)</f>
        <v>0</v>
      </c>
      <c r="C110">
        <f>IFERROR(2*E109+B110*$C$63,0)</f>
        <v>0</v>
      </c>
      <c r="D110">
        <f>IFERROR(2*D109+QUOTIENT(C110,$D$63),0)</f>
        <v>0</v>
      </c>
      <c r="E110">
        <f>IFERROR(C110-$D$63*QUOTIENT(C110,$D$63),0)</f>
        <v>0</v>
      </c>
    </row>
    <row r="111" spans="1:5">
      <c r="A111">
        <v>6</v>
      </c>
      <c r="B111">
        <f>IFERROR(QUOTIENT($B$63,2^A111)-2*QUOTIENT($B$63,2^(A111+1)),0)</f>
        <v>0</v>
      </c>
      <c r="C111">
        <f>IFERROR(2*E110+B111*$C$63,0)</f>
        <v>0</v>
      </c>
      <c r="D111">
        <f>IFERROR(2*D110+QUOTIENT(C111,$D$63),0)</f>
        <v>0</v>
      </c>
      <c r="E111">
        <f>IFERROR(C111-$D$63*QUOTIENT(C111,$D$63),0)</f>
        <v>0</v>
      </c>
    </row>
    <row r="112" spans="1:5">
      <c r="A112">
        <v>5</v>
      </c>
      <c r="B112">
        <f>IFERROR(QUOTIENT($B$63,2^A112)-2*QUOTIENT($B$63,2^(A112+1)),0)</f>
        <v>0</v>
      </c>
      <c r="C112">
        <f>IFERROR(2*E111+B112*$C$63,0)</f>
        <v>0</v>
      </c>
      <c r="D112">
        <f>IFERROR(2*D111+QUOTIENT(C112,$D$63),0)</f>
        <v>0</v>
      </c>
      <c r="E112">
        <f>IFERROR(C112-$D$63*QUOTIENT(C112,$D$63),0)</f>
        <v>0</v>
      </c>
    </row>
    <row r="113" spans="1:8">
      <c r="A113">
        <v>4</v>
      </c>
      <c r="B113">
        <f>IFERROR(QUOTIENT($B$63,2^A113)-2*QUOTIENT($B$63,2^(A113+1)),0)</f>
        <v>0</v>
      </c>
      <c r="C113">
        <f>IFERROR(2*E112+B113*$C$63,0)</f>
        <v>0</v>
      </c>
      <c r="D113">
        <f>IFERROR(2*D112+QUOTIENT(C113,$D$63),0)</f>
        <v>0</v>
      </c>
      <c r="E113">
        <f>IFERROR(C113-$D$63*QUOTIENT(C113,$D$63),0)</f>
        <v>0</v>
      </c>
    </row>
    <row r="114" spans="1:8">
      <c r="A114">
        <v>3</v>
      </c>
      <c r="B114">
        <f>IFERROR(QUOTIENT($B$63,2^A114)-2*QUOTIENT($B$63,2^(A114+1)),0)</f>
        <v>0</v>
      </c>
      <c r="C114">
        <f>IFERROR(2*E113+B114*$C$63,0)</f>
        <v>0</v>
      </c>
      <c r="D114">
        <f>IFERROR(2*D113+QUOTIENT(C114,$D$63),0)</f>
        <v>0</v>
      </c>
      <c r="E114">
        <f>IFERROR(C114-$D$63*QUOTIENT(C114,$D$63),0)</f>
        <v>0</v>
      </c>
    </row>
    <row r="115" spans="1:8">
      <c r="A115">
        <v>2</v>
      </c>
      <c r="B115">
        <f>IFERROR(QUOTIENT($B$63,2^A115)-2*QUOTIENT($B$63,2^(A115+1)),0)</f>
        <v>0</v>
      </c>
      <c r="C115">
        <f>IFERROR(2*E114+B115*$C$63,0)</f>
        <v>0</v>
      </c>
      <c r="D115">
        <f>IFERROR(2*D114+QUOTIENT(C115,$D$63),0)</f>
        <v>0</v>
      </c>
      <c r="E115">
        <f>IFERROR(C115-$D$63*QUOTIENT(C115,$D$63),0)</f>
        <v>0</v>
      </c>
    </row>
    <row r="116" spans="1:8">
      <c r="A116">
        <v>1</v>
      </c>
      <c r="B116">
        <f>IFERROR(QUOTIENT($B$63,2^A116)-2*QUOTIENT($B$63,2^(A116+1)),0)</f>
        <v>0</v>
      </c>
      <c r="C116">
        <f>IFERROR(2*E115+B116*$C$63,0)</f>
        <v>0</v>
      </c>
      <c r="D116">
        <f>IFERROR(2*D115+QUOTIENT(C116,$D$63),0)</f>
        <v>0</v>
      </c>
      <c r="E116">
        <f>IFERROR(C116-$D$63*QUOTIENT(C116,$D$63),0)</f>
        <v>0</v>
      </c>
    </row>
    <row r="117" spans="1:8">
      <c r="A117">
        <v>0</v>
      </c>
      <c r="B117">
        <f>IFERROR(QUOTIENT($B$63,2^A117)-2*QUOTIENT($B$63,2^(A117+1)),0)</f>
        <v>0</v>
      </c>
      <c r="C117">
        <f>IFERROR(2*E116+B117*$C$63,0)</f>
        <v>0</v>
      </c>
      <c r="D117">
        <f>IFERROR(2*D116+QUOTIENT(C117,$D$63),0)</f>
        <v>0</v>
      </c>
      <c r="E117">
        <f>IFERROR(C117-$D$63*QUOTIENT(C117,$D$63),0)</f>
        <v>0</v>
      </c>
    </row>
    <row r="118" spans="1:8">
      <c r="A118" t="s">
        <v>356</v>
      </c>
      <c r="B118">
        <f>IFERROR(E63*D117,0)</f>
        <v>0</v>
      </c>
      <c r="C118">
        <f>IFERROR(E117,0)</f>
        <v>0</v>
      </c>
      <c r="D118">
        <f>IFERROR(B118-IF(E63&lt;0,IF(C118=0,0,1),0),0)</f>
        <v>0</v>
      </c>
      <c r="E118">
        <f>IFERROR(IF(E63&lt;0,IF(C118=0,0,D63-C118),C118),0)</f>
        <v>0</v>
      </c>
      <c r="F118" t="b">
        <f>IFERROR(AND(B63&lt;=9007199254740990,C63&lt;=9007199254740990,F63&gt;0,F63&lt;=9007199254740990,2*D63+C63&lt;=9007199254740990,ABS(B118)&lt;=9007199254740990),0)</f>
        <v>1</v>
      </c>
    </row>
    <row r="120" spans="1:8">
      <c r="A120" s="2" t="s">
        <v>349</v>
      </c>
      <c r="B120" s="2" t="s">
        <v>350</v>
      </c>
      <c r="C120" s="2" t="s">
        <v>351</v>
      </c>
      <c r="D120" s="2" t="s">
        <v>352</v>
      </c>
      <c r="E120" s="2" t="s">
        <v>353</v>
      </c>
      <c r="F120" s="2"/>
      <c r="G120" s="2"/>
      <c r="H120" s="2"/>
    </row>
    <row r="121" spans="1:8">
      <c r="A121" t="s">
        <v>359</v>
      </c>
      <c r="B121">
        <f>IFERROR(ABS(m_24),0)</f>
        <v>0</v>
      </c>
      <c r="C121">
        <f>IFERROR(ABS(125),0)</f>
        <v>125</v>
      </c>
      <c r="D121">
        <f>IFERROR(MAX(1,IFERROR(ABS(625),0)),0)</f>
        <v>625</v>
      </c>
      <c r="E121">
        <f>IFERROR(SIGN(m_24)*SIGN(125)*SIGN(625),0)</f>
        <v>0</v>
      </c>
      <c r="F121">
        <f>IFERROR(ABS(625),0)</f>
        <v>625</v>
      </c>
      <c r="G121" t="b">
        <f>IFERROR(F176,0)</f>
        <v>1</v>
      </c>
      <c r="H121" s="3" t="s">
        <v>360</v>
      </c>
    </row>
    <row r="122" spans="1:8">
      <c r="D122">
        <v>0</v>
      </c>
      <c r="E122">
        <v>0</v>
      </c>
    </row>
    <row r="123" spans="1:8">
      <c r="A123">
        <v>52</v>
      </c>
      <c r="B123">
        <f>IFERROR(QUOTIENT($B$121,2^A123)-2*QUOTIENT($B$121,2^(A123+1)),0)</f>
        <v>0</v>
      </c>
      <c r="C123">
        <f>IFERROR(2*E122+B123*$C$121,0)</f>
        <v>0</v>
      </c>
      <c r="D123">
        <f>IFERROR(2*D122+QUOTIENT(C123,$D$121),0)</f>
        <v>0</v>
      </c>
      <c r="E123">
        <f>IFERROR(C123-$D$121*QUOTIENT(C123,$D$121),0)</f>
        <v>0</v>
      </c>
    </row>
    <row r="124" spans="1:8">
      <c r="A124">
        <v>51</v>
      </c>
      <c r="B124">
        <f>IFERROR(QUOTIENT($B$121,2^A124)-2*QUOTIENT($B$121,2^(A124+1)),0)</f>
        <v>0</v>
      </c>
      <c r="C124">
        <f>IFERROR(2*E123+B124*$C$121,0)</f>
        <v>0</v>
      </c>
      <c r="D124">
        <f>IFERROR(2*D123+QUOTIENT(C124,$D$121),0)</f>
        <v>0</v>
      </c>
      <c r="E124">
        <f>IFERROR(C124-$D$121*QUOTIENT(C124,$D$121),0)</f>
        <v>0</v>
      </c>
    </row>
    <row r="125" spans="1:8">
      <c r="A125">
        <v>50</v>
      </c>
      <c r="B125">
        <f>IFERROR(QUOTIENT($B$121,2^A125)-2*QUOTIENT($B$121,2^(A125+1)),0)</f>
        <v>0</v>
      </c>
      <c r="C125">
        <f>IFERROR(2*E124+B125*$C$121,0)</f>
        <v>0</v>
      </c>
      <c r="D125">
        <f>IFERROR(2*D124+QUOTIENT(C125,$D$121),0)</f>
        <v>0</v>
      </c>
      <c r="E125">
        <f>IFERROR(C125-$D$121*QUOTIENT(C125,$D$121),0)</f>
        <v>0</v>
      </c>
    </row>
    <row r="126" spans="1:8">
      <c r="A126">
        <v>49</v>
      </c>
      <c r="B126">
        <f>IFERROR(QUOTIENT($B$121,2^A126)-2*QUOTIENT($B$121,2^(A126+1)),0)</f>
        <v>0</v>
      </c>
      <c r="C126">
        <f>IFERROR(2*E125+B126*$C$121,0)</f>
        <v>0</v>
      </c>
      <c r="D126">
        <f>IFERROR(2*D125+QUOTIENT(C126,$D$121),0)</f>
        <v>0</v>
      </c>
      <c r="E126">
        <f>IFERROR(C126-$D$121*QUOTIENT(C126,$D$121),0)</f>
        <v>0</v>
      </c>
    </row>
    <row r="127" spans="1:8">
      <c r="A127">
        <v>48</v>
      </c>
      <c r="B127">
        <f>IFERROR(QUOTIENT($B$121,2^A127)-2*QUOTIENT($B$121,2^(A127+1)),0)</f>
        <v>0</v>
      </c>
      <c r="C127">
        <f>IFERROR(2*E126+B127*$C$121,0)</f>
        <v>0</v>
      </c>
      <c r="D127">
        <f>IFERROR(2*D126+QUOTIENT(C127,$D$121),0)</f>
        <v>0</v>
      </c>
      <c r="E127">
        <f>IFERROR(C127-$D$121*QUOTIENT(C127,$D$121),0)</f>
        <v>0</v>
      </c>
    </row>
    <row r="128" spans="1:8">
      <c r="A128">
        <v>47</v>
      </c>
      <c r="B128">
        <f>IFERROR(QUOTIENT($B$121,2^A128)-2*QUOTIENT($B$121,2^(A128+1)),0)</f>
        <v>0</v>
      </c>
      <c r="C128">
        <f>IFERROR(2*E127+B128*$C$121,0)</f>
        <v>0</v>
      </c>
      <c r="D128">
        <f>IFERROR(2*D127+QUOTIENT(C128,$D$121),0)</f>
        <v>0</v>
      </c>
      <c r="E128">
        <f>IFERROR(C128-$D$121*QUOTIENT(C128,$D$121),0)</f>
        <v>0</v>
      </c>
    </row>
    <row r="129" spans="1:5">
      <c r="A129">
        <v>46</v>
      </c>
      <c r="B129">
        <f>IFERROR(QUOTIENT($B$121,2^A129)-2*QUOTIENT($B$121,2^(A129+1)),0)</f>
        <v>0</v>
      </c>
      <c r="C129">
        <f>IFERROR(2*E128+B129*$C$121,0)</f>
        <v>0</v>
      </c>
      <c r="D129">
        <f>IFERROR(2*D128+QUOTIENT(C129,$D$121),0)</f>
        <v>0</v>
      </c>
      <c r="E129">
        <f>IFERROR(C129-$D$121*QUOTIENT(C129,$D$121),0)</f>
        <v>0</v>
      </c>
    </row>
    <row r="130" spans="1:5">
      <c r="A130">
        <v>45</v>
      </c>
      <c r="B130">
        <f>IFERROR(QUOTIENT($B$121,2^A130)-2*QUOTIENT($B$121,2^(A130+1)),0)</f>
        <v>0</v>
      </c>
      <c r="C130">
        <f>IFERROR(2*E129+B130*$C$121,0)</f>
        <v>0</v>
      </c>
      <c r="D130">
        <f>IFERROR(2*D129+QUOTIENT(C130,$D$121),0)</f>
        <v>0</v>
      </c>
      <c r="E130">
        <f>IFERROR(C130-$D$121*QUOTIENT(C130,$D$121),0)</f>
        <v>0</v>
      </c>
    </row>
    <row r="131" spans="1:5">
      <c r="A131">
        <v>44</v>
      </c>
      <c r="B131">
        <f>IFERROR(QUOTIENT($B$121,2^A131)-2*QUOTIENT($B$121,2^(A131+1)),0)</f>
        <v>0</v>
      </c>
      <c r="C131">
        <f>IFERROR(2*E130+B131*$C$121,0)</f>
        <v>0</v>
      </c>
      <c r="D131">
        <f>IFERROR(2*D130+QUOTIENT(C131,$D$121),0)</f>
        <v>0</v>
      </c>
      <c r="E131">
        <f>IFERROR(C131-$D$121*QUOTIENT(C131,$D$121),0)</f>
        <v>0</v>
      </c>
    </row>
    <row r="132" spans="1:5">
      <c r="A132">
        <v>43</v>
      </c>
      <c r="B132">
        <f>IFERROR(QUOTIENT($B$121,2^A132)-2*QUOTIENT($B$121,2^(A132+1)),0)</f>
        <v>0</v>
      </c>
      <c r="C132">
        <f>IFERROR(2*E131+B132*$C$121,0)</f>
        <v>0</v>
      </c>
      <c r="D132">
        <f>IFERROR(2*D131+QUOTIENT(C132,$D$121),0)</f>
        <v>0</v>
      </c>
      <c r="E132">
        <f>IFERROR(C132-$D$121*QUOTIENT(C132,$D$121),0)</f>
        <v>0</v>
      </c>
    </row>
    <row r="133" spans="1:5">
      <c r="A133">
        <v>42</v>
      </c>
      <c r="B133">
        <f>IFERROR(QUOTIENT($B$121,2^A133)-2*QUOTIENT($B$121,2^(A133+1)),0)</f>
        <v>0</v>
      </c>
      <c r="C133">
        <f>IFERROR(2*E132+B133*$C$121,0)</f>
        <v>0</v>
      </c>
      <c r="D133">
        <f>IFERROR(2*D132+QUOTIENT(C133,$D$121),0)</f>
        <v>0</v>
      </c>
      <c r="E133">
        <f>IFERROR(C133-$D$121*QUOTIENT(C133,$D$121),0)</f>
        <v>0</v>
      </c>
    </row>
    <row r="134" spans="1:5">
      <c r="A134">
        <v>41</v>
      </c>
      <c r="B134">
        <f>IFERROR(QUOTIENT($B$121,2^A134)-2*QUOTIENT($B$121,2^(A134+1)),0)</f>
        <v>0</v>
      </c>
      <c r="C134">
        <f>IFERROR(2*E133+B134*$C$121,0)</f>
        <v>0</v>
      </c>
      <c r="D134">
        <f>IFERROR(2*D133+QUOTIENT(C134,$D$121),0)</f>
        <v>0</v>
      </c>
      <c r="E134">
        <f>IFERROR(C134-$D$121*QUOTIENT(C134,$D$121),0)</f>
        <v>0</v>
      </c>
    </row>
    <row r="135" spans="1:5">
      <c r="A135">
        <v>40</v>
      </c>
      <c r="B135">
        <f>IFERROR(QUOTIENT($B$121,2^A135)-2*QUOTIENT($B$121,2^(A135+1)),0)</f>
        <v>0</v>
      </c>
      <c r="C135">
        <f>IFERROR(2*E134+B135*$C$121,0)</f>
        <v>0</v>
      </c>
      <c r="D135">
        <f>IFERROR(2*D134+QUOTIENT(C135,$D$121),0)</f>
        <v>0</v>
      </c>
      <c r="E135">
        <f>IFERROR(C135-$D$121*QUOTIENT(C135,$D$121),0)</f>
        <v>0</v>
      </c>
    </row>
    <row r="136" spans="1:5">
      <c r="A136">
        <v>39</v>
      </c>
      <c r="B136">
        <f>IFERROR(QUOTIENT($B$121,2^A136)-2*QUOTIENT($B$121,2^(A136+1)),0)</f>
        <v>0</v>
      </c>
      <c r="C136">
        <f>IFERROR(2*E135+B136*$C$121,0)</f>
        <v>0</v>
      </c>
      <c r="D136">
        <f>IFERROR(2*D135+QUOTIENT(C136,$D$121),0)</f>
        <v>0</v>
      </c>
      <c r="E136">
        <f>IFERROR(C136-$D$121*QUOTIENT(C136,$D$121),0)</f>
        <v>0</v>
      </c>
    </row>
    <row r="137" spans="1:5">
      <c r="A137">
        <v>38</v>
      </c>
      <c r="B137">
        <f>IFERROR(QUOTIENT($B$121,2^A137)-2*QUOTIENT($B$121,2^(A137+1)),0)</f>
        <v>0</v>
      </c>
      <c r="C137">
        <f>IFERROR(2*E136+B137*$C$121,0)</f>
        <v>0</v>
      </c>
      <c r="D137">
        <f>IFERROR(2*D136+QUOTIENT(C137,$D$121),0)</f>
        <v>0</v>
      </c>
      <c r="E137">
        <f>IFERROR(C137-$D$121*QUOTIENT(C137,$D$121),0)</f>
        <v>0</v>
      </c>
    </row>
    <row r="138" spans="1:5">
      <c r="A138">
        <v>37</v>
      </c>
      <c r="B138">
        <f>IFERROR(QUOTIENT($B$121,2^A138)-2*QUOTIENT($B$121,2^(A138+1)),0)</f>
        <v>0</v>
      </c>
      <c r="C138">
        <f>IFERROR(2*E137+B138*$C$121,0)</f>
        <v>0</v>
      </c>
      <c r="D138">
        <f>IFERROR(2*D137+QUOTIENT(C138,$D$121),0)</f>
        <v>0</v>
      </c>
      <c r="E138">
        <f>IFERROR(C138-$D$121*QUOTIENT(C138,$D$121),0)</f>
        <v>0</v>
      </c>
    </row>
    <row r="139" spans="1:5">
      <c r="A139">
        <v>36</v>
      </c>
      <c r="B139">
        <f>IFERROR(QUOTIENT($B$121,2^A139)-2*QUOTIENT($B$121,2^(A139+1)),0)</f>
        <v>0</v>
      </c>
      <c r="C139">
        <f>IFERROR(2*E138+B139*$C$121,0)</f>
        <v>0</v>
      </c>
      <c r="D139">
        <f>IFERROR(2*D138+QUOTIENT(C139,$D$121),0)</f>
        <v>0</v>
      </c>
      <c r="E139">
        <f>IFERROR(C139-$D$121*QUOTIENT(C139,$D$121),0)</f>
        <v>0</v>
      </c>
    </row>
    <row r="140" spans="1:5">
      <c r="A140">
        <v>35</v>
      </c>
      <c r="B140">
        <f>IFERROR(QUOTIENT($B$121,2^A140)-2*QUOTIENT($B$121,2^(A140+1)),0)</f>
        <v>0</v>
      </c>
      <c r="C140">
        <f>IFERROR(2*E139+B140*$C$121,0)</f>
        <v>0</v>
      </c>
      <c r="D140">
        <f>IFERROR(2*D139+QUOTIENT(C140,$D$121),0)</f>
        <v>0</v>
      </c>
      <c r="E140">
        <f>IFERROR(C140-$D$121*QUOTIENT(C140,$D$121),0)</f>
        <v>0</v>
      </c>
    </row>
    <row r="141" spans="1:5">
      <c r="A141">
        <v>34</v>
      </c>
      <c r="B141">
        <f>IFERROR(QUOTIENT($B$121,2^A141)-2*QUOTIENT($B$121,2^(A141+1)),0)</f>
        <v>0</v>
      </c>
      <c r="C141">
        <f>IFERROR(2*E140+B141*$C$121,0)</f>
        <v>0</v>
      </c>
      <c r="D141">
        <f>IFERROR(2*D140+QUOTIENT(C141,$D$121),0)</f>
        <v>0</v>
      </c>
      <c r="E141">
        <f>IFERROR(C141-$D$121*QUOTIENT(C141,$D$121),0)</f>
        <v>0</v>
      </c>
    </row>
    <row r="142" spans="1:5">
      <c r="A142">
        <v>33</v>
      </c>
      <c r="B142">
        <f>IFERROR(QUOTIENT($B$121,2^A142)-2*QUOTIENT($B$121,2^(A142+1)),0)</f>
        <v>0</v>
      </c>
      <c r="C142">
        <f>IFERROR(2*E141+B142*$C$121,0)</f>
        <v>0</v>
      </c>
      <c r="D142">
        <f>IFERROR(2*D141+QUOTIENT(C142,$D$121),0)</f>
        <v>0</v>
      </c>
      <c r="E142">
        <f>IFERROR(C142-$D$121*QUOTIENT(C142,$D$121),0)</f>
        <v>0</v>
      </c>
    </row>
    <row r="143" spans="1:5">
      <c r="A143">
        <v>32</v>
      </c>
      <c r="B143">
        <f>IFERROR(QUOTIENT($B$121,2^A143)-2*QUOTIENT($B$121,2^(A143+1)),0)</f>
        <v>0</v>
      </c>
      <c r="C143">
        <f>IFERROR(2*E142+B143*$C$121,0)</f>
        <v>0</v>
      </c>
      <c r="D143">
        <f>IFERROR(2*D142+QUOTIENT(C143,$D$121),0)</f>
        <v>0</v>
      </c>
      <c r="E143">
        <f>IFERROR(C143-$D$121*QUOTIENT(C143,$D$121),0)</f>
        <v>0</v>
      </c>
    </row>
    <row r="144" spans="1:5">
      <c r="A144">
        <v>31</v>
      </c>
      <c r="B144">
        <f>IFERROR(QUOTIENT($B$121,2^A144)-2*QUOTIENT($B$121,2^(A144+1)),0)</f>
        <v>0</v>
      </c>
      <c r="C144">
        <f>IFERROR(2*E143+B144*$C$121,0)</f>
        <v>0</v>
      </c>
      <c r="D144">
        <f>IFERROR(2*D143+QUOTIENT(C144,$D$121),0)</f>
        <v>0</v>
      </c>
      <c r="E144">
        <f>IFERROR(C144-$D$121*QUOTIENT(C144,$D$121),0)</f>
        <v>0</v>
      </c>
    </row>
    <row r="145" spans="1:5">
      <c r="A145">
        <v>30</v>
      </c>
      <c r="B145">
        <f>IFERROR(QUOTIENT($B$121,2^A145)-2*QUOTIENT($B$121,2^(A145+1)),0)</f>
        <v>0</v>
      </c>
      <c r="C145">
        <f>IFERROR(2*E144+B145*$C$121,0)</f>
        <v>0</v>
      </c>
      <c r="D145">
        <f>IFERROR(2*D144+QUOTIENT(C145,$D$121),0)</f>
        <v>0</v>
      </c>
      <c r="E145">
        <f>IFERROR(C145-$D$121*QUOTIENT(C145,$D$121),0)</f>
        <v>0</v>
      </c>
    </row>
    <row r="146" spans="1:5">
      <c r="A146">
        <v>29</v>
      </c>
      <c r="B146">
        <f>IFERROR(QUOTIENT($B$121,2^A146)-2*QUOTIENT($B$121,2^(A146+1)),0)</f>
        <v>0</v>
      </c>
      <c r="C146">
        <f>IFERROR(2*E145+B146*$C$121,0)</f>
        <v>0</v>
      </c>
      <c r="D146">
        <f>IFERROR(2*D145+QUOTIENT(C146,$D$121),0)</f>
        <v>0</v>
      </c>
      <c r="E146">
        <f>IFERROR(C146-$D$121*QUOTIENT(C146,$D$121),0)</f>
        <v>0</v>
      </c>
    </row>
    <row r="147" spans="1:5">
      <c r="A147">
        <v>28</v>
      </c>
      <c r="B147">
        <f>IFERROR(QUOTIENT($B$121,2^A147)-2*QUOTIENT($B$121,2^(A147+1)),0)</f>
        <v>0</v>
      </c>
      <c r="C147">
        <f>IFERROR(2*E146+B147*$C$121,0)</f>
        <v>0</v>
      </c>
      <c r="D147">
        <f>IFERROR(2*D146+QUOTIENT(C147,$D$121),0)</f>
        <v>0</v>
      </c>
      <c r="E147">
        <f>IFERROR(C147-$D$121*QUOTIENT(C147,$D$121),0)</f>
        <v>0</v>
      </c>
    </row>
    <row r="148" spans="1:5">
      <c r="A148">
        <v>27</v>
      </c>
      <c r="B148">
        <f>IFERROR(QUOTIENT($B$121,2^A148)-2*QUOTIENT($B$121,2^(A148+1)),0)</f>
        <v>0</v>
      </c>
      <c r="C148">
        <f>IFERROR(2*E147+B148*$C$121,0)</f>
        <v>0</v>
      </c>
      <c r="D148">
        <f>IFERROR(2*D147+QUOTIENT(C148,$D$121),0)</f>
        <v>0</v>
      </c>
      <c r="E148">
        <f>IFERROR(C148-$D$121*QUOTIENT(C148,$D$121),0)</f>
        <v>0</v>
      </c>
    </row>
    <row r="149" spans="1:5">
      <c r="A149">
        <v>26</v>
      </c>
      <c r="B149">
        <f>IFERROR(QUOTIENT($B$121,2^A149)-2*QUOTIENT($B$121,2^(A149+1)),0)</f>
        <v>0</v>
      </c>
      <c r="C149">
        <f>IFERROR(2*E148+B149*$C$121,0)</f>
        <v>0</v>
      </c>
      <c r="D149">
        <f>IFERROR(2*D148+QUOTIENT(C149,$D$121),0)</f>
        <v>0</v>
      </c>
      <c r="E149">
        <f>IFERROR(C149-$D$121*QUOTIENT(C149,$D$121),0)</f>
        <v>0</v>
      </c>
    </row>
    <row r="150" spans="1:5">
      <c r="A150">
        <v>25</v>
      </c>
      <c r="B150">
        <f>IFERROR(QUOTIENT($B$121,2^A150)-2*QUOTIENT($B$121,2^(A150+1)),0)</f>
        <v>0</v>
      </c>
      <c r="C150">
        <f>IFERROR(2*E149+B150*$C$121,0)</f>
        <v>0</v>
      </c>
      <c r="D150">
        <f>IFERROR(2*D149+QUOTIENT(C150,$D$121),0)</f>
        <v>0</v>
      </c>
      <c r="E150">
        <f>IFERROR(C150-$D$121*QUOTIENT(C150,$D$121),0)</f>
        <v>0</v>
      </c>
    </row>
    <row r="151" spans="1:5">
      <c r="A151">
        <v>24</v>
      </c>
      <c r="B151">
        <f>IFERROR(QUOTIENT($B$121,2^A151)-2*QUOTIENT($B$121,2^(A151+1)),0)</f>
        <v>0</v>
      </c>
      <c r="C151">
        <f>IFERROR(2*E150+B151*$C$121,0)</f>
        <v>0</v>
      </c>
      <c r="D151">
        <f>IFERROR(2*D150+QUOTIENT(C151,$D$121),0)</f>
        <v>0</v>
      </c>
      <c r="E151">
        <f>IFERROR(C151-$D$121*QUOTIENT(C151,$D$121),0)</f>
        <v>0</v>
      </c>
    </row>
    <row r="152" spans="1:5">
      <c r="A152">
        <v>23</v>
      </c>
      <c r="B152">
        <f>IFERROR(QUOTIENT($B$121,2^A152)-2*QUOTIENT($B$121,2^(A152+1)),0)</f>
        <v>0</v>
      </c>
      <c r="C152">
        <f>IFERROR(2*E151+B152*$C$121,0)</f>
        <v>0</v>
      </c>
      <c r="D152">
        <f>IFERROR(2*D151+QUOTIENT(C152,$D$121),0)</f>
        <v>0</v>
      </c>
      <c r="E152">
        <f>IFERROR(C152-$D$121*QUOTIENT(C152,$D$121),0)</f>
        <v>0</v>
      </c>
    </row>
    <row r="153" spans="1:5">
      <c r="A153">
        <v>22</v>
      </c>
      <c r="B153">
        <f>IFERROR(QUOTIENT($B$121,2^A153)-2*QUOTIENT($B$121,2^(A153+1)),0)</f>
        <v>0</v>
      </c>
      <c r="C153">
        <f>IFERROR(2*E152+B153*$C$121,0)</f>
        <v>0</v>
      </c>
      <c r="D153">
        <f>IFERROR(2*D152+QUOTIENT(C153,$D$121),0)</f>
        <v>0</v>
      </c>
      <c r="E153">
        <f>IFERROR(C153-$D$121*QUOTIENT(C153,$D$121),0)</f>
        <v>0</v>
      </c>
    </row>
    <row r="154" spans="1:5">
      <c r="A154">
        <v>21</v>
      </c>
      <c r="B154">
        <f>IFERROR(QUOTIENT($B$121,2^A154)-2*QUOTIENT($B$121,2^(A154+1)),0)</f>
        <v>0</v>
      </c>
      <c r="C154">
        <f>IFERROR(2*E153+B154*$C$121,0)</f>
        <v>0</v>
      </c>
      <c r="D154">
        <f>IFERROR(2*D153+QUOTIENT(C154,$D$121),0)</f>
        <v>0</v>
      </c>
      <c r="E154">
        <f>IFERROR(C154-$D$121*QUOTIENT(C154,$D$121),0)</f>
        <v>0</v>
      </c>
    </row>
    <row r="155" spans="1:5">
      <c r="A155">
        <v>20</v>
      </c>
      <c r="B155">
        <f>IFERROR(QUOTIENT($B$121,2^A155)-2*QUOTIENT($B$121,2^(A155+1)),0)</f>
        <v>0</v>
      </c>
      <c r="C155">
        <f>IFERROR(2*E154+B155*$C$121,0)</f>
        <v>0</v>
      </c>
      <c r="D155">
        <f>IFERROR(2*D154+QUOTIENT(C155,$D$121),0)</f>
        <v>0</v>
      </c>
      <c r="E155">
        <f>IFERROR(C155-$D$121*QUOTIENT(C155,$D$121),0)</f>
        <v>0</v>
      </c>
    </row>
    <row r="156" spans="1:5">
      <c r="A156">
        <v>19</v>
      </c>
      <c r="B156">
        <f>IFERROR(QUOTIENT($B$121,2^A156)-2*QUOTIENT($B$121,2^(A156+1)),0)</f>
        <v>0</v>
      </c>
      <c r="C156">
        <f>IFERROR(2*E155+B156*$C$121,0)</f>
        <v>0</v>
      </c>
      <c r="D156">
        <f>IFERROR(2*D155+QUOTIENT(C156,$D$121),0)</f>
        <v>0</v>
      </c>
      <c r="E156">
        <f>IFERROR(C156-$D$121*QUOTIENT(C156,$D$121),0)</f>
        <v>0</v>
      </c>
    </row>
    <row r="157" spans="1:5">
      <c r="A157">
        <v>18</v>
      </c>
      <c r="B157">
        <f>IFERROR(QUOTIENT($B$121,2^A157)-2*QUOTIENT($B$121,2^(A157+1)),0)</f>
        <v>0</v>
      </c>
      <c r="C157">
        <f>IFERROR(2*E156+B157*$C$121,0)</f>
        <v>0</v>
      </c>
      <c r="D157">
        <f>IFERROR(2*D156+QUOTIENT(C157,$D$121),0)</f>
        <v>0</v>
      </c>
      <c r="E157">
        <f>IFERROR(C157-$D$121*QUOTIENT(C157,$D$121),0)</f>
        <v>0</v>
      </c>
    </row>
    <row r="158" spans="1:5">
      <c r="A158">
        <v>17</v>
      </c>
      <c r="B158">
        <f>IFERROR(QUOTIENT($B$121,2^A158)-2*QUOTIENT($B$121,2^(A158+1)),0)</f>
        <v>0</v>
      </c>
      <c r="C158">
        <f>IFERROR(2*E157+B158*$C$121,0)</f>
        <v>0</v>
      </c>
      <c r="D158">
        <f>IFERROR(2*D157+QUOTIENT(C158,$D$121),0)</f>
        <v>0</v>
      </c>
      <c r="E158">
        <f>IFERROR(C158-$D$121*QUOTIENT(C158,$D$121),0)</f>
        <v>0</v>
      </c>
    </row>
    <row r="159" spans="1:5">
      <c r="A159">
        <v>16</v>
      </c>
      <c r="B159">
        <f>IFERROR(QUOTIENT($B$121,2^A159)-2*QUOTIENT($B$121,2^(A159+1)),0)</f>
        <v>0</v>
      </c>
      <c r="C159">
        <f>IFERROR(2*E158+B159*$C$121,0)</f>
        <v>0</v>
      </c>
      <c r="D159">
        <f>IFERROR(2*D158+QUOTIENT(C159,$D$121),0)</f>
        <v>0</v>
      </c>
      <c r="E159">
        <f>IFERROR(C159-$D$121*QUOTIENT(C159,$D$121),0)</f>
        <v>0</v>
      </c>
    </row>
    <row r="160" spans="1:5">
      <c r="A160">
        <v>15</v>
      </c>
      <c r="B160">
        <f>IFERROR(QUOTIENT($B$121,2^A160)-2*QUOTIENT($B$121,2^(A160+1)),0)</f>
        <v>0</v>
      </c>
      <c r="C160">
        <f>IFERROR(2*E159+B160*$C$121,0)</f>
        <v>0</v>
      </c>
      <c r="D160">
        <f>IFERROR(2*D159+QUOTIENT(C160,$D$121),0)</f>
        <v>0</v>
      </c>
      <c r="E160">
        <f>IFERROR(C160-$D$121*QUOTIENT(C160,$D$121),0)</f>
        <v>0</v>
      </c>
    </row>
    <row r="161" spans="1:6">
      <c r="A161">
        <v>14</v>
      </c>
      <c r="B161">
        <f>IFERROR(QUOTIENT($B$121,2^A161)-2*QUOTIENT($B$121,2^(A161+1)),0)</f>
        <v>0</v>
      </c>
      <c r="C161">
        <f>IFERROR(2*E160+B161*$C$121,0)</f>
        <v>0</v>
      </c>
      <c r="D161">
        <f>IFERROR(2*D160+QUOTIENT(C161,$D$121),0)</f>
        <v>0</v>
      </c>
      <c r="E161">
        <f>IFERROR(C161-$D$121*QUOTIENT(C161,$D$121),0)</f>
        <v>0</v>
      </c>
    </row>
    <row r="162" spans="1:6">
      <c r="A162">
        <v>13</v>
      </c>
      <c r="B162">
        <f>IFERROR(QUOTIENT($B$121,2^A162)-2*QUOTIENT($B$121,2^(A162+1)),0)</f>
        <v>0</v>
      </c>
      <c r="C162">
        <f>IFERROR(2*E161+B162*$C$121,0)</f>
        <v>0</v>
      </c>
      <c r="D162">
        <f>IFERROR(2*D161+QUOTIENT(C162,$D$121),0)</f>
        <v>0</v>
      </c>
      <c r="E162">
        <f>IFERROR(C162-$D$121*QUOTIENT(C162,$D$121),0)</f>
        <v>0</v>
      </c>
    </row>
    <row r="163" spans="1:6">
      <c r="A163">
        <v>12</v>
      </c>
      <c r="B163">
        <f>IFERROR(QUOTIENT($B$121,2^A163)-2*QUOTIENT($B$121,2^(A163+1)),0)</f>
        <v>0</v>
      </c>
      <c r="C163">
        <f>IFERROR(2*E162+B163*$C$121,0)</f>
        <v>0</v>
      </c>
      <c r="D163">
        <f>IFERROR(2*D162+QUOTIENT(C163,$D$121),0)</f>
        <v>0</v>
      </c>
      <c r="E163">
        <f>IFERROR(C163-$D$121*QUOTIENT(C163,$D$121),0)</f>
        <v>0</v>
      </c>
    </row>
    <row r="164" spans="1:6">
      <c r="A164">
        <v>11</v>
      </c>
      <c r="B164">
        <f>IFERROR(QUOTIENT($B$121,2^A164)-2*QUOTIENT($B$121,2^(A164+1)),0)</f>
        <v>0</v>
      </c>
      <c r="C164">
        <f>IFERROR(2*E163+B164*$C$121,0)</f>
        <v>0</v>
      </c>
      <c r="D164">
        <f>IFERROR(2*D163+QUOTIENT(C164,$D$121),0)</f>
        <v>0</v>
      </c>
      <c r="E164">
        <f>IFERROR(C164-$D$121*QUOTIENT(C164,$D$121),0)</f>
        <v>0</v>
      </c>
    </row>
    <row r="165" spans="1:6">
      <c r="A165">
        <v>10</v>
      </c>
      <c r="B165">
        <f>IFERROR(QUOTIENT($B$121,2^A165)-2*QUOTIENT($B$121,2^(A165+1)),0)</f>
        <v>0</v>
      </c>
      <c r="C165">
        <f>IFERROR(2*E164+B165*$C$121,0)</f>
        <v>0</v>
      </c>
      <c r="D165">
        <f>IFERROR(2*D164+QUOTIENT(C165,$D$121),0)</f>
        <v>0</v>
      </c>
      <c r="E165">
        <f>IFERROR(C165-$D$121*QUOTIENT(C165,$D$121),0)</f>
        <v>0</v>
      </c>
    </row>
    <row r="166" spans="1:6">
      <c r="A166">
        <v>9</v>
      </c>
      <c r="B166">
        <f>IFERROR(QUOTIENT($B$121,2^A166)-2*QUOTIENT($B$121,2^(A166+1)),0)</f>
        <v>0</v>
      </c>
      <c r="C166">
        <f>IFERROR(2*E165+B166*$C$121,0)</f>
        <v>0</v>
      </c>
      <c r="D166">
        <f>IFERROR(2*D165+QUOTIENT(C166,$D$121),0)</f>
        <v>0</v>
      </c>
      <c r="E166">
        <f>IFERROR(C166-$D$121*QUOTIENT(C166,$D$121),0)</f>
        <v>0</v>
      </c>
    </row>
    <row r="167" spans="1:6">
      <c r="A167">
        <v>8</v>
      </c>
      <c r="B167">
        <f>IFERROR(QUOTIENT($B$121,2^A167)-2*QUOTIENT($B$121,2^(A167+1)),0)</f>
        <v>0</v>
      </c>
      <c r="C167">
        <f>IFERROR(2*E166+B167*$C$121,0)</f>
        <v>0</v>
      </c>
      <c r="D167">
        <f>IFERROR(2*D166+QUOTIENT(C167,$D$121),0)</f>
        <v>0</v>
      </c>
      <c r="E167">
        <f>IFERROR(C167-$D$121*QUOTIENT(C167,$D$121),0)</f>
        <v>0</v>
      </c>
    </row>
    <row r="168" spans="1:6">
      <c r="A168">
        <v>7</v>
      </c>
      <c r="B168">
        <f>IFERROR(QUOTIENT($B$121,2^A168)-2*QUOTIENT($B$121,2^(A168+1)),0)</f>
        <v>0</v>
      </c>
      <c r="C168">
        <f>IFERROR(2*E167+B168*$C$121,0)</f>
        <v>0</v>
      </c>
      <c r="D168">
        <f>IFERROR(2*D167+QUOTIENT(C168,$D$121),0)</f>
        <v>0</v>
      </c>
      <c r="E168">
        <f>IFERROR(C168-$D$121*QUOTIENT(C168,$D$121),0)</f>
        <v>0</v>
      </c>
    </row>
    <row r="169" spans="1:6">
      <c r="A169">
        <v>6</v>
      </c>
      <c r="B169">
        <f>IFERROR(QUOTIENT($B$121,2^A169)-2*QUOTIENT($B$121,2^(A169+1)),0)</f>
        <v>0</v>
      </c>
      <c r="C169">
        <f>IFERROR(2*E168+B169*$C$121,0)</f>
        <v>0</v>
      </c>
      <c r="D169">
        <f>IFERROR(2*D168+QUOTIENT(C169,$D$121),0)</f>
        <v>0</v>
      </c>
      <c r="E169">
        <f>IFERROR(C169-$D$121*QUOTIENT(C169,$D$121),0)</f>
        <v>0</v>
      </c>
    </row>
    <row r="170" spans="1:6">
      <c r="A170">
        <v>5</v>
      </c>
      <c r="B170">
        <f>IFERROR(QUOTIENT($B$121,2^A170)-2*QUOTIENT($B$121,2^(A170+1)),0)</f>
        <v>0</v>
      </c>
      <c r="C170">
        <f>IFERROR(2*E169+B170*$C$121,0)</f>
        <v>0</v>
      </c>
      <c r="D170">
        <f>IFERROR(2*D169+QUOTIENT(C170,$D$121),0)</f>
        <v>0</v>
      </c>
      <c r="E170">
        <f>IFERROR(C170-$D$121*QUOTIENT(C170,$D$121),0)</f>
        <v>0</v>
      </c>
    </row>
    <row r="171" spans="1:6">
      <c r="A171">
        <v>4</v>
      </c>
      <c r="B171">
        <f>IFERROR(QUOTIENT($B$121,2^A171)-2*QUOTIENT($B$121,2^(A171+1)),0)</f>
        <v>0</v>
      </c>
      <c r="C171">
        <f>IFERROR(2*E170+B171*$C$121,0)</f>
        <v>0</v>
      </c>
      <c r="D171">
        <f>IFERROR(2*D170+QUOTIENT(C171,$D$121),0)</f>
        <v>0</v>
      </c>
      <c r="E171">
        <f>IFERROR(C171-$D$121*QUOTIENT(C171,$D$121),0)</f>
        <v>0</v>
      </c>
    </row>
    <row r="172" spans="1:6">
      <c r="A172">
        <v>3</v>
      </c>
      <c r="B172">
        <f>IFERROR(QUOTIENT($B$121,2^A172)-2*QUOTIENT($B$121,2^(A172+1)),0)</f>
        <v>0</v>
      </c>
      <c r="C172">
        <f>IFERROR(2*E171+B172*$C$121,0)</f>
        <v>0</v>
      </c>
      <c r="D172">
        <f>IFERROR(2*D171+QUOTIENT(C172,$D$121),0)</f>
        <v>0</v>
      </c>
      <c r="E172">
        <f>IFERROR(C172-$D$121*QUOTIENT(C172,$D$121),0)</f>
        <v>0</v>
      </c>
    </row>
    <row r="173" spans="1:6">
      <c r="A173">
        <v>2</v>
      </c>
      <c r="B173">
        <f>IFERROR(QUOTIENT($B$121,2^A173)-2*QUOTIENT($B$121,2^(A173+1)),0)</f>
        <v>0</v>
      </c>
      <c r="C173">
        <f>IFERROR(2*E172+B173*$C$121,0)</f>
        <v>0</v>
      </c>
      <c r="D173">
        <f>IFERROR(2*D172+QUOTIENT(C173,$D$121),0)</f>
        <v>0</v>
      </c>
      <c r="E173">
        <f>IFERROR(C173-$D$121*QUOTIENT(C173,$D$121),0)</f>
        <v>0</v>
      </c>
    </row>
    <row r="174" spans="1:6">
      <c r="A174">
        <v>1</v>
      </c>
      <c r="B174">
        <f>IFERROR(QUOTIENT($B$121,2^A174)-2*QUOTIENT($B$121,2^(A174+1)),0)</f>
        <v>0</v>
      </c>
      <c r="C174">
        <f>IFERROR(2*E173+B174*$C$121,0)</f>
        <v>0</v>
      </c>
      <c r="D174">
        <f>IFERROR(2*D173+QUOTIENT(C174,$D$121),0)</f>
        <v>0</v>
      </c>
      <c r="E174">
        <f>IFERROR(C174-$D$121*QUOTIENT(C174,$D$121),0)</f>
        <v>0</v>
      </c>
    </row>
    <row r="175" spans="1:6">
      <c r="A175">
        <v>0</v>
      </c>
      <c r="B175">
        <f>IFERROR(QUOTIENT($B$121,2^A175)-2*QUOTIENT($B$121,2^(A175+1)),0)</f>
        <v>0</v>
      </c>
      <c r="C175">
        <f>IFERROR(2*E174+B175*$C$121,0)</f>
        <v>0</v>
      </c>
      <c r="D175">
        <f>IFERROR(2*D174+QUOTIENT(C175,$D$121),0)</f>
        <v>0</v>
      </c>
      <c r="E175">
        <f>IFERROR(C175-$D$121*QUOTIENT(C175,$D$121),0)</f>
        <v>0</v>
      </c>
    </row>
    <row r="176" spans="1:6">
      <c r="A176" t="s">
        <v>356</v>
      </c>
      <c r="B176">
        <f>IFERROR(E121*D175,0)</f>
        <v>0</v>
      </c>
      <c r="C176">
        <f>IFERROR(E175,0)</f>
        <v>0</v>
      </c>
      <c r="D176">
        <f>IFERROR(B176-IF(E121&lt;0,IF(C176=0,0,1),0),0)</f>
        <v>0</v>
      </c>
      <c r="E176">
        <f>IFERROR(IF(E121&lt;0,IF(C176=0,0,D121-C176),C176),0)</f>
        <v>0</v>
      </c>
      <c r="F176" t="b">
        <f>IFERROR(AND(B121&lt;=9007199254740990,C121&lt;=9007199254740990,F121&gt;0,F121&lt;=9007199254740990,2*D121+C121&lt;=9007199254740990,ABS(B176)&lt;=9007199254740990),0)</f>
        <v>1</v>
      </c>
    </row>
    <row r="178" spans="1:8">
      <c r="A178" s="2" t="s">
        <v>349</v>
      </c>
      <c r="B178" s="2" t="s">
        <v>350</v>
      </c>
      <c r="C178" s="2" t="s">
        <v>351</v>
      </c>
      <c r="D178" s="2" t="s">
        <v>352</v>
      </c>
      <c r="E178" s="2" t="s">
        <v>353</v>
      </c>
      <c r="F178" s="2"/>
      <c r="G178" s="2"/>
      <c r="H178" s="2"/>
    </row>
    <row r="179" spans="1:8">
      <c r="A179" t="s">
        <v>361</v>
      </c>
      <c r="B179">
        <f>IFERROR(ABS((inp_b1_12+inp_b1_18)),0)</f>
        <v>0</v>
      </c>
      <c r="C179">
        <f>IFERROR(ABS(13),0)</f>
        <v>13</v>
      </c>
      <c r="D179">
        <f>IFERROR(MAX(1,IFERROR(ABS(625),0)),0)</f>
        <v>625</v>
      </c>
      <c r="E179">
        <f>IFERROR(SIGN((inp_b1_12+inp_b1_18))*SIGN(13)*SIGN(625),0)</f>
        <v>0</v>
      </c>
      <c r="F179">
        <f>IFERROR(ABS(625),0)</f>
        <v>625</v>
      </c>
      <c r="G179" t="b">
        <f>IFERROR(F234,0)</f>
        <v>1</v>
      </c>
      <c r="H179" s="3" t="s">
        <v>362</v>
      </c>
    </row>
    <row r="180" spans="1:8">
      <c r="D180">
        <v>0</v>
      </c>
      <c r="E180">
        <v>0</v>
      </c>
    </row>
    <row r="181" spans="1:8">
      <c r="A181">
        <v>52</v>
      </c>
      <c r="B181">
        <f>IFERROR(QUOTIENT($B$179,2^A181)-2*QUOTIENT($B$179,2^(A181+1)),0)</f>
        <v>0</v>
      </c>
      <c r="C181">
        <f>IFERROR(2*E180+B181*$C$179,0)</f>
        <v>0</v>
      </c>
      <c r="D181">
        <f>IFERROR(2*D180+QUOTIENT(C181,$D$179),0)</f>
        <v>0</v>
      </c>
      <c r="E181">
        <f>IFERROR(C181-$D$179*QUOTIENT(C181,$D$179),0)</f>
        <v>0</v>
      </c>
    </row>
    <row r="182" spans="1:8">
      <c r="A182">
        <v>51</v>
      </c>
      <c r="B182">
        <f>IFERROR(QUOTIENT($B$179,2^A182)-2*QUOTIENT($B$179,2^(A182+1)),0)</f>
        <v>0</v>
      </c>
      <c r="C182">
        <f>IFERROR(2*E181+B182*$C$179,0)</f>
        <v>0</v>
      </c>
      <c r="D182">
        <f>IFERROR(2*D181+QUOTIENT(C182,$D$179),0)</f>
        <v>0</v>
      </c>
      <c r="E182">
        <f>IFERROR(C182-$D$179*QUOTIENT(C182,$D$179),0)</f>
        <v>0</v>
      </c>
    </row>
    <row r="183" spans="1:8">
      <c r="A183">
        <v>50</v>
      </c>
      <c r="B183">
        <f>IFERROR(QUOTIENT($B$179,2^A183)-2*QUOTIENT($B$179,2^(A183+1)),0)</f>
        <v>0</v>
      </c>
      <c r="C183">
        <f>IFERROR(2*E182+B183*$C$179,0)</f>
        <v>0</v>
      </c>
      <c r="D183">
        <f>IFERROR(2*D182+QUOTIENT(C183,$D$179),0)</f>
        <v>0</v>
      </c>
      <c r="E183">
        <f>IFERROR(C183-$D$179*QUOTIENT(C183,$D$179),0)</f>
        <v>0</v>
      </c>
    </row>
    <row r="184" spans="1:8">
      <c r="A184">
        <v>49</v>
      </c>
      <c r="B184">
        <f>IFERROR(QUOTIENT($B$179,2^A184)-2*QUOTIENT($B$179,2^(A184+1)),0)</f>
        <v>0</v>
      </c>
      <c r="C184">
        <f>IFERROR(2*E183+B184*$C$179,0)</f>
        <v>0</v>
      </c>
      <c r="D184">
        <f>IFERROR(2*D183+QUOTIENT(C184,$D$179),0)</f>
        <v>0</v>
      </c>
      <c r="E184">
        <f>IFERROR(C184-$D$179*QUOTIENT(C184,$D$179),0)</f>
        <v>0</v>
      </c>
    </row>
    <row r="185" spans="1:8">
      <c r="A185">
        <v>48</v>
      </c>
      <c r="B185">
        <f>IFERROR(QUOTIENT($B$179,2^A185)-2*QUOTIENT($B$179,2^(A185+1)),0)</f>
        <v>0</v>
      </c>
      <c r="C185">
        <f>IFERROR(2*E184+B185*$C$179,0)</f>
        <v>0</v>
      </c>
      <c r="D185">
        <f>IFERROR(2*D184+QUOTIENT(C185,$D$179),0)</f>
        <v>0</v>
      </c>
      <c r="E185">
        <f>IFERROR(C185-$D$179*QUOTIENT(C185,$D$179),0)</f>
        <v>0</v>
      </c>
    </row>
    <row r="186" spans="1:8">
      <c r="A186">
        <v>47</v>
      </c>
      <c r="B186">
        <f>IFERROR(QUOTIENT($B$179,2^A186)-2*QUOTIENT($B$179,2^(A186+1)),0)</f>
        <v>0</v>
      </c>
      <c r="C186">
        <f>IFERROR(2*E185+B186*$C$179,0)</f>
        <v>0</v>
      </c>
      <c r="D186">
        <f>IFERROR(2*D185+QUOTIENT(C186,$D$179),0)</f>
        <v>0</v>
      </c>
      <c r="E186">
        <f>IFERROR(C186-$D$179*QUOTIENT(C186,$D$179),0)</f>
        <v>0</v>
      </c>
    </row>
    <row r="187" spans="1:8">
      <c r="A187">
        <v>46</v>
      </c>
      <c r="B187">
        <f>IFERROR(QUOTIENT($B$179,2^A187)-2*QUOTIENT($B$179,2^(A187+1)),0)</f>
        <v>0</v>
      </c>
      <c r="C187">
        <f>IFERROR(2*E186+B187*$C$179,0)</f>
        <v>0</v>
      </c>
      <c r="D187">
        <f>IFERROR(2*D186+QUOTIENT(C187,$D$179),0)</f>
        <v>0</v>
      </c>
      <c r="E187">
        <f>IFERROR(C187-$D$179*QUOTIENT(C187,$D$179),0)</f>
        <v>0</v>
      </c>
    </row>
    <row r="188" spans="1:8">
      <c r="A188">
        <v>45</v>
      </c>
      <c r="B188">
        <f>IFERROR(QUOTIENT($B$179,2^A188)-2*QUOTIENT($B$179,2^(A188+1)),0)</f>
        <v>0</v>
      </c>
      <c r="C188">
        <f>IFERROR(2*E187+B188*$C$179,0)</f>
        <v>0</v>
      </c>
      <c r="D188">
        <f>IFERROR(2*D187+QUOTIENT(C188,$D$179),0)</f>
        <v>0</v>
      </c>
      <c r="E188">
        <f>IFERROR(C188-$D$179*QUOTIENT(C188,$D$179),0)</f>
        <v>0</v>
      </c>
    </row>
    <row r="189" spans="1:8">
      <c r="A189">
        <v>44</v>
      </c>
      <c r="B189">
        <f>IFERROR(QUOTIENT($B$179,2^A189)-2*QUOTIENT($B$179,2^(A189+1)),0)</f>
        <v>0</v>
      </c>
      <c r="C189">
        <f>IFERROR(2*E188+B189*$C$179,0)</f>
        <v>0</v>
      </c>
      <c r="D189">
        <f>IFERROR(2*D188+QUOTIENT(C189,$D$179),0)</f>
        <v>0</v>
      </c>
      <c r="E189">
        <f>IFERROR(C189-$D$179*QUOTIENT(C189,$D$179),0)</f>
        <v>0</v>
      </c>
    </row>
    <row r="190" spans="1:8">
      <c r="A190">
        <v>43</v>
      </c>
      <c r="B190">
        <f>IFERROR(QUOTIENT($B$179,2^A190)-2*QUOTIENT($B$179,2^(A190+1)),0)</f>
        <v>0</v>
      </c>
      <c r="C190">
        <f>IFERROR(2*E189+B190*$C$179,0)</f>
        <v>0</v>
      </c>
      <c r="D190">
        <f>IFERROR(2*D189+QUOTIENT(C190,$D$179),0)</f>
        <v>0</v>
      </c>
      <c r="E190">
        <f>IFERROR(C190-$D$179*QUOTIENT(C190,$D$179),0)</f>
        <v>0</v>
      </c>
    </row>
    <row r="191" spans="1:8">
      <c r="A191">
        <v>42</v>
      </c>
      <c r="B191">
        <f>IFERROR(QUOTIENT($B$179,2^A191)-2*QUOTIENT($B$179,2^(A191+1)),0)</f>
        <v>0</v>
      </c>
      <c r="C191">
        <f>IFERROR(2*E190+B191*$C$179,0)</f>
        <v>0</v>
      </c>
      <c r="D191">
        <f>IFERROR(2*D190+QUOTIENT(C191,$D$179),0)</f>
        <v>0</v>
      </c>
      <c r="E191">
        <f>IFERROR(C191-$D$179*QUOTIENT(C191,$D$179),0)</f>
        <v>0</v>
      </c>
    </row>
    <row r="192" spans="1:8">
      <c r="A192">
        <v>41</v>
      </c>
      <c r="B192">
        <f>IFERROR(QUOTIENT($B$179,2^A192)-2*QUOTIENT($B$179,2^(A192+1)),0)</f>
        <v>0</v>
      </c>
      <c r="C192">
        <f>IFERROR(2*E191+B192*$C$179,0)</f>
        <v>0</v>
      </c>
      <c r="D192">
        <f>IFERROR(2*D191+QUOTIENT(C192,$D$179),0)</f>
        <v>0</v>
      </c>
      <c r="E192">
        <f>IFERROR(C192-$D$179*QUOTIENT(C192,$D$179),0)</f>
        <v>0</v>
      </c>
    </row>
    <row r="193" spans="1:5">
      <c r="A193">
        <v>40</v>
      </c>
      <c r="B193">
        <f>IFERROR(QUOTIENT($B$179,2^A193)-2*QUOTIENT($B$179,2^(A193+1)),0)</f>
        <v>0</v>
      </c>
      <c r="C193">
        <f>IFERROR(2*E192+B193*$C$179,0)</f>
        <v>0</v>
      </c>
      <c r="D193">
        <f>IFERROR(2*D192+QUOTIENT(C193,$D$179),0)</f>
        <v>0</v>
      </c>
      <c r="E193">
        <f>IFERROR(C193-$D$179*QUOTIENT(C193,$D$179),0)</f>
        <v>0</v>
      </c>
    </row>
    <row r="194" spans="1:5">
      <c r="A194">
        <v>39</v>
      </c>
      <c r="B194">
        <f>IFERROR(QUOTIENT($B$179,2^A194)-2*QUOTIENT($B$179,2^(A194+1)),0)</f>
        <v>0</v>
      </c>
      <c r="C194">
        <f>IFERROR(2*E193+B194*$C$179,0)</f>
        <v>0</v>
      </c>
      <c r="D194">
        <f>IFERROR(2*D193+QUOTIENT(C194,$D$179),0)</f>
        <v>0</v>
      </c>
      <c r="E194">
        <f>IFERROR(C194-$D$179*QUOTIENT(C194,$D$179),0)</f>
        <v>0</v>
      </c>
    </row>
    <row r="195" spans="1:5">
      <c r="A195">
        <v>38</v>
      </c>
      <c r="B195">
        <f>IFERROR(QUOTIENT($B$179,2^A195)-2*QUOTIENT($B$179,2^(A195+1)),0)</f>
        <v>0</v>
      </c>
      <c r="C195">
        <f>IFERROR(2*E194+B195*$C$179,0)</f>
        <v>0</v>
      </c>
      <c r="D195">
        <f>IFERROR(2*D194+QUOTIENT(C195,$D$179),0)</f>
        <v>0</v>
      </c>
      <c r="E195">
        <f>IFERROR(C195-$D$179*QUOTIENT(C195,$D$179),0)</f>
        <v>0</v>
      </c>
    </row>
    <row r="196" spans="1:5">
      <c r="A196">
        <v>37</v>
      </c>
      <c r="B196">
        <f>IFERROR(QUOTIENT($B$179,2^A196)-2*QUOTIENT($B$179,2^(A196+1)),0)</f>
        <v>0</v>
      </c>
      <c r="C196">
        <f>IFERROR(2*E195+B196*$C$179,0)</f>
        <v>0</v>
      </c>
      <c r="D196">
        <f>IFERROR(2*D195+QUOTIENT(C196,$D$179),0)</f>
        <v>0</v>
      </c>
      <c r="E196">
        <f>IFERROR(C196-$D$179*QUOTIENT(C196,$D$179),0)</f>
        <v>0</v>
      </c>
    </row>
    <row r="197" spans="1:5">
      <c r="A197">
        <v>36</v>
      </c>
      <c r="B197">
        <f>IFERROR(QUOTIENT($B$179,2^A197)-2*QUOTIENT($B$179,2^(A197+1)),0)</f>
        <v>0</v>
      </c>
      <c r="C197">
        <f>IFERROR(2*E196+B197*$C$179,0)</f>
        <v>0</v>
      </c>
      <c r="D197">
        <f>IFERROR(2*D196+QUOTIENT(C197,$D$179),0)</f>
        <v>0</v>
      </c>
      <c r="E197">
        <f>IFERROR(C197-$D$179*QUOTIENT(C197,$D$179),0)</f>
        <v>0</v>
      </c>
    </row>
    <row r="198" spans="1:5">
      <c r="A198">
        <v>35</v>
      </c>
      <c r="B198">
        <f>IFERROR(QUOTIENT($B$179,2^A198)-2*QUOTIENT($B$179,2^(A198+1)),0)</f>
        <v>0</v>
      </c>
      <c r="C198">
        <f>IFERROR(2*E197+B198*$C$179,0)</f>
        <v>0</v>
      </c>
      <c r="D198">
        <f>IFERROR(2*D197+QUOTIENT(C198,$D$179),0)</f>
        <v>0</v>
      </c>
      <c r="E198">
        <f>IFERROR(C198-$D$179*QUOTIENT(C198,$D$179),0)</f>
        <v>0</v>
      </c>
    </row>
    <row r="199" spans="1:5">
      <c r="A199">
        <v>34</v>
      </c>
      <c r="B199">
        <f>IFERROR(QUOTIENT($B$179,2^A199)-2*QUOTIENT($B$179,2^(A199+1)),0)</f>
        <v>0</v>
      </c>
      <c r="C199">
        <f>IFERROR(2*E198+B199*$C$179,0)</f>
        <v>0</v>
      </c>
      <c r="D199">
        <f>IFERROR(2*D198+QUOTIENT(C199,$D$179),0)</f>
        <v>0</v>
      </c>
      <c r="E199">
        <f>IFERROR(C199-$D$179*QUOTIENT(C199,$D$179),0)</f>
        <v>0</v>
      </c>
    </row>
    <row r="200" spans="1:5">
      <c r="A200">
        <v>33</v>
      </c>
      <c r="B200">
        <f>IFERROR(QUOTIENT($B$179,2^A200)-2*QUOTIENT($B$179,2^(A200+1)),0)</f>
        <v>0</v>
      </c>
      <c r="C200">
        <f>IFERROR(2*E199+B200*$C$179,0)</f>
        <v>0</v>
      </c>
      <c r="D200">
        <f>IFERROR(2*D199+QUOTIENT(C200,$D$179),0)</f>
        <v>0</v>
      </c>
      <c r="E200">
        <f>IFERROR(C200-$D$179*QUOTIENT(C200,$D$179),0)</f>
        <v>0</v>
      </c>
    </row>
    <row r="201" spans="1:5">
      <c r="A201">
        <v>32</v>
      </c>
      <c r="B201">
        <f>IFERROR(QUOTIENT($B$179,2^A201)-2*QUOTIENT($B$179,2^(A201+1)),0)</f>
        <v>0</v>
      </c>
      <c r="C201">
        <f>IFERROR(2*E200+B201*$C$179,0)</f>
        <v>0</v>
      </c>
      <c r="D201">
        <f>IFERROR(2*D200+QUOTIENT(C201,$D$179),0)</f>
        <v>0</v>
      </c>
      <c r="E201">
        <f>IFERROR(C201-$D$179*QUOTIENT(C201,$D$179),0)</f>
        <v>0</v>
      </c>
    </row>
    <row r="202" spans="1:5">
      <c r="A202">
        <v>31</v>
      </c>
      <c r="B202">
        <f>IFERROR(QUOTIENT($B$179,2^A202)-2*QUOTIENT($B$179,2^(A202+1)),0)</f>
        <v>0</v>
      </c>
      <c r="C202">
        <f>IFERROR(2*E201+B202*$C$179,0)</f>
        <v>0</v>
      </c>
      <c r="D202">
        <f>IFERROR(2*D201+QUOTIENT(C202,$D$179),0)</f>
        <v>0</v>
      </c>
      <c r="E202">
        <f>IFERROR(C202-$D$179*QUOTIENT(C202,$D$179),0)</f>
        <v>0</v>
      </c>
    </row>
    <row r="203" spans="1:5">
      <c r="A203">
        <v>30</v>
      </c>
      <c r="B203">
        <f>IFERROR(QUOTIENT($B$179,2^A203)-2*QUOTIENT($B$179,2^(A203+1)),0)</f>
        <v>0</v>
      </c>
      <c r="C203">
        <f>IFERROR(2*E202+B203*$C$179,0)</f>
        <v>0</v>
      </c>
      <c r="D203">
        <f>IFERROR(2*D202+QUOTIENT(C203,$D$179),0)</f>
        <v>0</v>
      </c>
      <c r="E203">
        <f>IFERROR(C203-$D$179*QUOTIENT(C203,$D$179),0)</f>
        <v>0</v>
      </c>
    </row>
    <row r="204" spans="1:5">
      <c r="A204">
        <v>29</v>
      </c>
      <c r="B204">
        <f>IFERROR(QUOTIENT($B$179,2^A204)-2*QUOTIENT($B$179,2^(A204+1)),0)</f>
        <v>0</v>
      </c>
      <c r="C204">
        <f>IFERROR(2*E203+B204*$C$179,0)</f>
        <v>0</v>
      </c>
      <c r="D204">
        <f>IFERROR(2*D203+QUOTIENT(C204,$D$179),0)</f>
        <v>0</v>
      </c>
      <c r="E204">
        <f>IFERROR(C204-$D$179*QUOTIENT(C204,$D$179),0)</f>
        <v>0</v>
      </c>
    </row>
    <row r="205" spans="1:5">
      <c r="A205">
        <v>28</v>
      </c>
      <c r="B205">
        <f>IFERROR(QUOTIENT($B$179,2^A205)-2*QUOTIENT($B$179,2^(A205+1)),0)</f>
        <v>0</v>
      </c>
      <c r="C205">
        <f>IFERROR(2*E204+B205*$C$179,0)</f>
        <v>0</v>
      </c>
      <c r="D205">
        <f>IFERROR(2*D204+QUOTIENT(C205,$D$179),0)</f>
        <v>0</v>
      </c>
      <c r="E205">
        <f>IFERROR(C205-$D$179*QUOTIENT(C205,$D$179),0)</f>
        <v>0</v>
      </c>
    </row>
    <row r="206" spans="1:5">
      <c r="A206">
        <v>27</v>
      </c>
      <c r="B206">
        <f>IFERROR(QUOTIENT($B$179,2^A206)-2*QUOTIENT($B$179,2^(A206+1)),0)</f>
        <v>0</v>
      </c>
      <c r="C206">
        <f>IFERROR(2*E205+B206*$C$179,0)</f>
        <v>0</v>
      </c>
      <c r="D206">
        <f>IFERROR(2*D205+QUOTIENT(C206,$D$179),0)</f>
        <v>0</v>
      </c>
      <c r="E206">
        <f>IFERROR(C206-$D$179*QUOTIENT(C206,$D$179),0)</f>
        <v>0</v>
      </c>
    </row>
    <row r="207" spans="1:5">
      <c r="A207">
        <v>26</v>
      </c>
      <c r="B207">
        <f>IFERROR(QUOTIENT($B$179,2^A207)-2*QUOTIENT($B$179,2^(A207+1)),0)</f>
        <v>0</v>
      </c>
      <c r="C207">
        <f>IFERROR(2*E206+B207*$C$179,0)</f>
        <v>0</v>
      </c>
      <c r="D207">
        <f>IFERROR(2*D206+QUOTIENT(C207,$D$179),0)</f>
        <v>0</v>
      </c>
      <c r="E207">
        <f>IFERROR(C207-$D$179*QUOTIENT(C207,$D$179),0)</f>
        <v>0</v>
      </c>
    </row>
    <row r="208" spans="1:5">
      <c r="A208">
        <v>25</v>
      </c>
      <c r="B208">
        <f>IFERROR(QUOTIENT($B$179,2^A208)-2*QUOTIENT($B$179,2^(A208+1)),0)</f>
        <v>0</v>
      </c>
      <c r="C208">
        <f>IFERROR(2*E207+B208*$C$179,0)</f>
        <v>0</v>
      </c>
      <c r="D208">
        <f>IFERROR(2*D207+QUOTIENT(C208,$D$179),0)</f>
        <v>0</v>
      </c>
      <c r="E208">
        <f>IFERROR(C208-$D$179*QUOTIENT(C208,$D$179),0)</f>
        <v>0</v>
      </c>
    </row>
    <row r="209" spans="1:5">
      <c r="A209">
        <v>24</v>
      </c>
      <c r="B209">
        <f>IFERROR(QUOTIENT($B$179,2^A209)-2*QUOTIENT($B$179,2^(A209+1)),0)</f>
        <v>0</v>
      </c>
      <c r="C209">
        <f>IFERROR(2*E208+B209*$C$179,0)</f>
        <v>0</v>
      </c>
      <c r="D209">
        <f>IFERROR(2*D208+QUOTIENT(C209,$D$179),0)</f>
        <v>0</v>
      </c>
      <c r="E209">
        <f>IFERROR(C209-$D$179*QUOTIENT(C209,$D$179),0)</f>
        <v>0</v>
      </c>
    </row>
    <row r="210" spans="1:5">
      <c r="A210">
        <v>23</v>
      </c>
      <c r="B210">
        <f>IFERROR(QUOTIENT($B$179,2^A210)-2*QUOTIENT($B$179,2^(A210+1)),0)</f>
        <v>0</v>
      </c>
      <c r="C210">
        <f>IFERROR(2*E209+B210*$C$179,0)</f>
        <v>0</v>
      </c>
      <c r="D210">
        <f>IFERROR(2*D209+QUOTIENT(C210,$D$179),0)</f>
        <v>0</v>
      </c>
      <c r="E210">
        <f>IFERROR(C210-$D$179*QUOTIENT(C210,$D$179),0)</f>
        <v>0</v>
      </c>
    </row>
    <row r="211" spans="1:5">
      <c r="A211">
        <v>22</v>
      </c>
      <c r="B211">
        <f>IFERROR(QUOTIENT($B$179,2^A211)-2*QUOTIENT($B$179,2^(A211+1)),0)</f>
        <v>0</v>
      </c>
      <c r="C211">
        <f>IFERROR(2*E210+B211*$C$179,0)</f>
        <v>0</v>
      </c>
      <c r="D211">
        <f>IFERROR(2*D210+QUOTIENT(C211,$D$179),0)</f>
        <v>0</v>
      </c>
      <c r="E211">
        <f>IFERROR(C211-$D$179*QUOTIENT(C211,$D$179),0)</f>
        <v>0</v>
      </c>
    </row>
    <row r="212" spans="1:5">
      <c r="A212">
        <v>21</v>
      </c>
      <c r="B212">
        <f>IFERROR(QUOTIENT($B$179,2^A212)-2*QUOTIENT($B$179,2^(A212+1)),0)</f>
        <v>0</v>
      </c>
      <c r="C212">
        <f>IFERROR(2*E211+B212*$C$179,0)</f>
        <v>0</v>
      </c>
      <c r="D212">
        <f>IFERROR(2*D211+QUOTIENT(C212,$D$179),0)</f>
        <v>0</v>
      </c>
      <c r="E212">
        <f>IFERROR(C212-$D$179*QUOTIENT(C212,$D$179),0)</f>
        <v>0</v>
      </c>
    </row>
    <row r="213" spans="1:5">
      <c r="A213">
        <v>20</v>
      </c>
      <c r="B213">
        <f>IFERROR(QUOTIENT($B$179,2^A213)-2*QUOTIENT($B$179,2^(A213+1)),0)</f>
        <v>0</v>
      </c>
      <c r="C213">
        <f>IFERROR(2*E212+B213*$C$179,0)</f>
        <v>0</v>
      </c>
      <c r="D213">
        <f>IFERROR(2*D212+QUOTIENT(C213,$D$179),0)</f>
        <v>0</v>
      </c>
      <c r="E213">
        <f>IFERROR(C213-$D$179*QUOTIENT(C213,$D$179),0)</f>
        <v>0</v>
      </c>
    </row>
    <row r="214" spans="1:5">
      <c r="A214">
        <v>19</v>
      </c>
      <c r="B214">
        <f>IFERROR(QUOTIENT($B$179,2^A214)-2*QUOTIENT($B$179,2^(A214+1)),0)</f>
        <v>0</v>
      </c>
      <c r="C214">
        <f>IFERROR(2*E213+B214*$C$179,0)</f>
        <v>0</v>
      </c>
      <c r="D214">
        <f>IFERROR(2*D213+QUOTIENT(C214,$D$179),0)</f>
        <v>0</v>
      </c>
      <c r="E214">
        <f>IFERROR(C214-$D$179*QUOTIENT(C214,$D$179),0)</f>
        <v>0</v>
      </c>
    </row>
    <row r="215" spans="1:5">
      <c r="A215">
        <v>18</v>
      </c>
      <c r="B215">
        <f>IFERROR(QUOTIENT($B$179,2^A215)-2*QUOTIENT($B$179,2^(A215+1)),0)</f>
        <v>0</v>
      </c>
      <c r="C215">
        <f>IFERROR(2*E214+B215*$C$179,0)</f>
        <v>0</v>
      </c>
      <c r="D215">
        <f>IFERROR(2*D214+QUOTIENT(C215,$D$179),0)</f>
        <v>0</v>
      </c>
      <c r="E215">
        <f>IFERROR(C215-$D$179*QUOTIENT(C215,$D$179),0)</f>
        <v>0</v>
      </c>
    </row>
    <row r="216" spans="1:5">
      <c r="A216">
        <v>17</v>
      </c>
      <c r="B216">
        <f>IFERROR(QUOTIENT($B$179,2^A216)-2*QUOTIENT($B$179,2^(A216+1)),0)</f>
        <v>0</v>
      </c>
      <c r="C216">
        <f>IFERROR(2*E215+B216*$C$179,0)</f>
        <v>0</v>
      </c>
      <c r="D216">
        <f>IFERROR(2*D215+QUOTIENT(C216,$D$179),0)</f>
        <v>0</v>
      </c>
      <c r="E216">
        <f>IFERROR(C216-$D$179*QUOTIENT(C216,$D$179),0)</f>
        <v>0</v>
      </c>
    </row>
    <row r="217" spans="1:5">
      <c r="A217">
        <v>16</v>
      </c>
      <c r="B217">
        <f>IFERROR(QUOTIENT($B$179,2^A217)-2*QUOTIENT($B$179,2^(A217+1)),0)</f>
        <v>0</v>
      </c>
      <c r="C217">
        <f>IFERROR(2*E216+B217*$C$179,0)</f>
        <v>0</v>
      </c>
      <c r="D217">
        <f>IFERROR(2*D216+QUOTIENT(C217,$D$179),0)</f>
        <v>0</v>
      </c>
      <c r="E217">
        <f>IFERROR(C217-$D$179*QUOTIENT(C217,$D$179),0)</f>
        <v>0</v>
      </c>
    </row>
    <row r="218" spans="1:5">
      <c r="A218">
        <v>15</v>
      </c>
      <c r="B218">
        <f>IFERROR(QUOTIENT($B$179,2^A218)-2*QUOTIENT($B$179,2^(A218+1)),0)</f>
        <v>0</v>
      </c>
      <c r="C218">
        <f>IFERROR(2*E217+B218*$C$179,0)</f>
        <v>0</v>
      </c>
      <c r="D218">
        <f>IFERROR(2*D217+QUOTIENT(C218,$D$179),0)</f>
        <v>0</v>
      </c>
      <c r="E218">
        <f>IFERROR(C218-$D$179*QUOTIENT(C218,$D$179),0)</f>
        <v>0</v>
      </c>
    </row>
    <row r="219" spans="1:5">
      <c r="A219">
        <v>14</v>
      </c>
      <c r="B219">
        <f>IFERROR(QUOTIENT($B$179,2^A219)-2*QUOTIENT($B$179,2^(A219+1)),0)</f>
        <v>0</v>
      </c>
      <c r="C219">
        <f>IFERROR(2*E218+B219*$C$179,0)</f>
        <v>0</v>
      </c>
      <c r="D219">
        <f>IFERROR(2*D218+QUOTIENT(C219,$D$179),0)</f>
        <v>0</v>
      </c>
      <c r="E219">
        <f>IFERROR(C219-$D$179*QUOTIENT(C219,$D$179),0)</f>
        <v>0</v>
      </c>
    </row>
    <row r="220" spans="1:5">
      <c r="A220">
        <v>13</v>
      </c>
      <c r="B220">
        <f>IFERROR(QUOTIENT($B$179,2^A220)-2*QUOTIENT($B$179,2^(A220+1)),0)</f>
        <v>0</v>
      </c>
      <c r="C220">
        <f>IFERROR(2*E219+B220*$C$179,0)</f>
        <v>0</v>
      </c>
      <c r="D220">
        <f>IFERROR(2*D219+QUOTIENT(C220,$D$179),0)</f>
        <v>0</v>
      </c>
      <c r="E220">
        <f>IFERROR(C220-$D$179*QUOTIENT(C220,$D$179),0)</f>
        <v>0</v>
      </c>
    </row>
    <row r="221" spans="1:5">
      <c r="A221">
        <v>12</v>
      </c>
      <c r="B221">
        <f>IFERROR(QUOTIENT($B$179,2^A221)-2*QUOTIENT($B$179,2^(A221+1)),0)</f>
        <v>0</v>
      </c>
      <c r="C221">
        <f>IFERROR(2*E220+B221*$C$179,0)</f>
        <v>0</v>
      </c>
      <c r="D221">
        <f>IFERROR(2*D220+QUOTIENT(C221,$D$179),0)</f>
        <v>0</v>
      </c>
      <c r="E221">
        <f>IFERROR(C221-$D$179*QUOTIENT(C221,$D$179),0)</f>
        <v>0</v>
      </c>
    </row>
    <row r="222" spans="1:5">
      <c r="A222">
        <v>11</v>
      </c>
      <c r="B222">
        <f>IFERROR(QUOTIENT($B$179,2^A222)-2*QUOTIENT($B$179,2^(A222+1)),0)</f>
        <v>0</v>
      </c>
      <c r="C222">
        <f>IFERROR(2*E221+B222*$C$179,0)</f>
        <v>0</v>
      </c>
      <c r="D222">
        <f>IFERROR(2*D221+QUOTIENT(C222,$D$179),0)</f>
        <v>0</v>
      </c>
      <c r="E222">
        <f>IFERROR(C222-$D$179*QUOTIENT(C222,$D$179),0)</f>
        <v>0</v>
      </c>
    </row>
    <row r="223" spans="1:5">
      <c r="A223">
        <v>10</v>
      </c>
      <c r="B223">
        <f>IFERROR(QUOTIENT($B$179,2^A223)-2*QUOTIENT($B$179,2^(A223+1)),0)</f>
        <v>0</v>
      </c>
      <c r="C223">
        <f>IFERROR(2*E222+B223*$C$179,0)</f>
        <v>0</v>
      </c>
      <c r="D223">
        <f>IFERROR(2*D222+QUOTIENT(C223,$D$179),0)</f>
        <v>0</v>
      </c>
      <c r="E223">
        <f>IFERROR(C223-$D$179*QUOTIENT(C223,$D$179),0)</f>
        <v>0</v>
      </c>
    </row>
    <row r="224" spans="1:5">
      <c r="A224">
        <v>9</v>
      </c>
      <c r="B224">
        <f>IFERROR(QUOTIENT($B$179,2^A224)-2*QUOTIENT($B$179,2^(A224+1)),0)</f>
        <v>0</v>
      </c>
      <c r="C224">
        <f>IFERROR(2*E223+B224*$C$179,0)</f>
        <v>0</v>
      </c>
      <c r="D224">
        <f>IFERROR(2*D223+QUOTIENT(C224,$D$179),0)</f>
        <v>0</v>
      </c>
      <c r="E224">
        <f>IFERROR(C224-$D$179*QUOTIENT(C224,$D$179),0)</f>
        <v>0</v>
      </c>
    </row>
    <row r="225" spans="1:6">
      <c r="A225">
        <v>8</v>
      </c>
      <c r="B225">
        <f>IFERROR(QUOTIENT($B$179,2^A225)-2*QUOTIENT($B$179,2^(A225+1)),0)</f>
        <v>0</v>
      </c>
      <c r="C225">
        <f>IFERROR(2*E224+B225*$C$179,0)</f>
        <v>0</v>
      </c>
      <c r="D225">
        <f>IFERROR(2*D224+QUOTIENT(C225,$D$179),0)</f>
        <v>0</v>
      </c>
      <c r="E225">
        <f>IFERROR(C225-$D$179*QUOTIENT(C225,$D$179),0)</f>
        <v>0</v>
      </c>
    </row>
    <row r="226" spans="1:6">
      <c r="A226">
        <v>7</v>
      </c>
      <c r="B226">
        <f>IFERROR(QUOTIENT($B$179,2^A226)-2*QUOTIENT($B$179,2^(A226+1)),0)</f>
        <v>0</v>
      </c>
      <c r="C226">
        <f>IFERROR(2*E225+B226*$C$179,0)</f>
        <v>0</v>
      </c>
      <c r="D226">
        <f>IFERROR(2*D225+QUOTIENT(C226,$D$179),0)</f>
        <v>0</v>
      </c>
      <c r="E226">
        <f>IFERROR(C226-$D$179*QUOTIENT(C226,$D$179),0)</f>
        <v>0</v>
      </c>
    </row>
    <row r="227" spans="1:6">
      <c r="A227">
        <v>6</v>
      </c>
      <c r="B227">
        <f>IFERROR(QUOTIENT($B$179,2^A227)-2*QUOTIENT($B$179,2^(A227+1)),0)</f>
        <v>0</v>
      </c>
      <c r="C227">
        <f>IFERROR(2*E226+B227*$C$179,0)</f>
        <v>0</v>
      </c>
      <c r="D227">
        <f>IFERROR(2*D226+QUOTIENT(C227,$D$179),0)</f>
        <v>0</v>
      </c>
      <c r="E227">
        <f>IFERROR(C227-$D$179*QUOTIENT(C227,$D$179),0)</f>
        <v>0</v>
      </c>
    </row>
    <row r="228" spans="1:6">
      <c r="A228">
        <v>5</v>
      </c>
      <c r="B228">
        <f>IFERROR(QUOTIENT($B$179,2^A228)-2*QUOTIENT($B$179,2^(A228+1)),0)</f>
        <v>0</v>
      </c>
      <c r="C228">
        <f>IFERROR(2*E227+B228*$C$179,0)</f>
        <v>0</v>
      </c>
      <c r="D228">
        <f>IFERROR(2*D227+QUOTIENT(C228,$D$179),0)</f>
        <v>0</v>
      </c>
      <c r="E228">
        <f>IFERROR(C228-$D$179*QUOTIENT(C228,$D$179),0)</f>
        <v>0</v>
      </c>
    </row>
    <row r="229" spans="1:6">
      <c r="A229">
        <v>4</v>
      </c>
      <c r="B229">
        <f>IFERROR(QUOTIENT($B$179,2^A229)-2*QUOTIENT($B$179,2^(A229+1)),0)</f>
        <v>0</v>
      </c>
      <c r="C229">
        <f>IFERROR(2*E228+B229*$C$179,0)</f>
        <v>0</v>
      </c>
      <c r="D229">
        <f>IFERROR(2*D228+QUOTIENT(C229,$D$179),0)</f>
        <v>0</v>
      </c>
      <c r="E229">
        <f>IFERROR(C229-$D$179*QUOTIENT(C229,$D$179),0)</f>
        <v>0</v>
      </c>
    </row>
    <row r="230" spans="1:6">
      <c r="A230">
        <v>3</v>
      </c>
      <c r="B230">
        <f>IFERROR(QUOTIENT($B$179,2^A230)-2*QUOTIENT($B$179,2^(A230+1)),0)</f>
        <v>0</v>
      </c>
      <c r="C230">
        <f>IFERROR(2*E229+B230*$C$179,0)</f>
        <v>0</v>
      </c>
      <c r="D230">
        <f>IFERROR(2*D229+QUOTIENT(C230,$D$179),0)</f>
        <v>0</v>
      </c>
      <c r="E230">
        <f>IFERROR(C230-$D$179*QUOTIENT(C230,$D$179),0)</f>
        <v>0</v>
      </c>
    </row>
    <row r="231" spans="1:6">
      <c r="A231">
        <v>2</v>
      </c>
      <c r="B231">
        <f>IFERROR(QUOTIENT($B$179,2^A231)-2*QUOTIENT($B$179,2^(A231+1)),0)</f>
        <v>0</v>
      </c>
      <c r="C231">
        <f>IFERROR(2*E230+B231*$C$179,0)</f>
        <v>0</v>
      </c>
      <c r="D231">
        <f>IFERROR(2*D230+QUOTIENT(C231,$D$179),0)</f>
        <v>0</v>
      </c>
      <c r="E231">
        <f>IFERROR(C231-$D$179*QUOTIENT(C231,$D$179),0)</f>
        <v>0</v>
      </c>
    </row>
    <row r="232" spans="1:6">
      <c r="A232">
        <v>1</v>
      </c>
      <c r="B232">
        <f>IFERROR(QUOTIENT($B$179,2^A232)-2*QUOTIENT($B$179,2^(A232+1)),0)</f>
        <v>0</v>
      </c>
      <c r="C232">
        <f>IFERROR(2*E231+B232*$C$179,0)</f>
        <v>0</v>
      </c>
      <c r="D232">
        <f>IFERROR(2*D231+QUOTIENT(C232,$D$179),0)</f>
        <v>0</v>
      </c>
      <c r="E232">
        <f>IFERROR(C232-$D$179*QUOTIENT(C232,$D$179),0)</f>
        <v>0</v>
      </c>
    </row>
    <row r="233" spans="1:6">
      <c r="A233">
        <v>0</v>
      </c>
      <c r="B233">
        <f>IFERROR(QUOTIENT($B$179,2^A233)-2*QUOTIENT($B$179,2^(A233+1)),0)</f>
        <v>0</v>
      </c>
      <c r="C233">
        <f>IFERROR(2*E232+B233*$C$179,0)</f>
        <v>0</v>
      </c>
      <c r="D233">
        <f>IFERROR(2*D232+QUOTIENT(C233,$D$179),0)</f>
        <v>0</v>
      </c>
      <c r="E233">
        <f>IFERROR(C233-$D$179*QUOTIENT(C233,$D$179),0)</f>
        <v>0</v>
      </c>
    </row>
    <row r="234" spans="1:6">
      <c r="A234" t="s">
        <v>356</v>
      </c>
      <c r="B234">
        <f>IFERROR(E179*D233,0)</f>
        <v>0</v>
      </c>
      <c r="C234">
        <f>IFERROR(E233,0)</f>
        <v>0</v>
      </c>
      <c r="D234">
        <f>IFERROR(B234-IF(E179&lt;0,IF(C234=0,0,1),0),0)</f>
        <v>0</v>
      </c>
      <c r="E234">
        <f>IFERROR(IF(E179&lt;0,IF(C234=0,0,D179-C234),C234),0)</f>
        <v>0</v>
      </c>
      <c r="F234" t="b">
        <f>IFERROR(AND(B179&lt;=9007199254740990,C179&lt;=9007199254740990,F179&gt;0,F179&lt;=9007199254740990,2*D179+C179&lt;=9007199254740990,ABS(B234)&lt;=9007199254740990),0)</f>
        <v>1</v>
      </c>
    </row>
  </sheetData>
  <sheetProtection sheet="1" objects="1" scenarios="1"/>
  <mergeCells count="1">
    <mergeCell ref="A1:H1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159</vt:i4>
      </vt:variant>
    </vt:vector>
  </HeadingPairs>
  <TitlesOfParts>
    <vt:vector size="167" baseType="lpstr">
      <vt:lpstr>使い方</vt:lpstr>
      <vt:lpstr>入力</vt:lpstr>
      <vt:lpstr>別表三一_計算</vt:lpstr>
      <vt:lpstr>付表_計算</vt:lpstr>
      <vt:lpstr>別表三(一)</vt:lpstr>
      <vt:lpstr>別表三(一)付表</vt:lpstr>
      <vt:lpstr>検算</vt:lpstr>
      <vt:lpstr>根拠・出典</vt:lpstr>
      <vt:lpstr>cfg_applicable</vt:lpstr>
      <vt:lpstr>cfg_calculation_ready</vt:lpstr>
      <vt:lpstr>cfg_class_selected</vt:lpstr>
      <vt:lpstr>cfg_donation_rate</vt:lpstr>
      <vt:lpstr>cfg_exact_domain_ok</vt:lpstr>
      <vt:lpstr>cfg_exact_math_valid</vt:lpstr>
      <vt:lpstr>cfg_f2_input_valid</vt:lpstr>
      <vt:lpstr>cfg_f2_period_ok</vt:lpstr>
      <vt:lpstr>cfg_group_selected</vt:lpstr>
      <vt:lpstr>cfg_period_input_valid</vt:lpstr>
      <vt:lpstr>cfg_resident_rate</vt:lpstr>
      <vt:lpstr>cfg_special_applicable</vt:lpstr>
      <vt:lpstr>exact_r3_f1_31_income_absrem</vt:lpstr>
      <vt:lpstr>exact_r3_f1_31_income_floor</vt:lpstr>
      <vt:lpstr>exact_r3_f1_31_income_q</vt:lpstr>
      <vt:lpstr>exact_r3_f1_31_income_rem</vt:lpstr>
      <vt:lpstr>exact_r3_f1_31_income_valid</vt:lpstr>
      <vt:lpstr>exact_r3_m_24_resident_absrem</vt:lpstr>
      <vt:lpstr>exact_r3_m_24_resident_floor</vt:lpstr>
      <vt:lpstr>exact_r3_m_24_resident_q</vt:lpstr>
      <vt:lpstr>exact_r3_m_24_resident_rem</vt:lpstr>
      <vt:lpstr>exact_r3_m_24_resident_valid</vt:lpstr>
      <vt:lpstr>exact_r3_m_26_delta_absrem</vt:lpstr>
      <vt:lpstr>exact_r3_m_26_delta_floor</vt:lpstr>
      <vt:lpstr>exact_r3_m_26_delta_q</vt:lpstr>
      <vt:lpstr>exact_r3_m_26_delta_rem</vt:lpstr>
      <vt:lpstr>exact_r3_m_26_delta_valid</vt:lpstr>
      <vt:lpstr>exact_r3_m_26_municipal_absrem</vt:lpstr>
      <vt:lpstr>exact_r3_m_26_municipal_floor</vt:lpstr>
      <vt:lpstr>exact_r3_m_26_municipal_q</vt:lpstr>
      <vt:lpstr>exact_r3_m_26_municipal_rem</vt:lpstr>
      <vt:lpstr>exact_r3_m_26_municipal_valid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inp_b1_10out</vt:lpstr>
      <vt:lpstr>inp_b1_12</vt:lpstr>
      <vt:lpstr>inp_b1_18</vt:lpstr>
      <vt:lpstr>inp_b1_19</vt:lpstr>
      <vt:lpstr>inp_b1_2</vt:lpstr>
      <vt:lpstr>inp_b1_36</vt:lpstr>
      <vt:lpstr>inp_b1_4</vt:lpstr>
      <vt:lpstr>inp_b1_40</vt:lpstr>
      <vt:lpstr>inp_b1_41</vt:lpstr>
      <vt:lpstr>inp_b1_5</vt:lpstr>
      <vt:lpstr>inp_b1_7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inp_f1_17</vt:lpstr>
      <vt:lpstr>inp_f1_18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inp_f1_capital</vt:lpstr>
      <vt:lpstr>inp_f1_merger_inc</vt:lpstr>
      <vt:lpstr>inp_f1_opening_profit</vt:lpstr>
      <vt:lpstr>inp_f1_split_dec</vt:lpstr>
      <vt:lpstr>inp_m14_foreign</vt:lpstr>
      <vt:lpstr>inp_m16</vt:lpstr>
      <vt:lpstr>inp_m17</vt:lpstr>
      <vt:lpstr>inp_m18</vt:lpstr>
      <vt:lpstr>inp_m22_credits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付表_計算!Print_Area</vt:lpstr>
      <vt:lpstr>'別表三(一)'!Print_Area</vt:lpstr>
      <vt:lpstr>'別表三(一)付表'!Print_Area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2026-07-16T14:56:07Z</dcterms:created>
  <dcterms:modified xsi:type="dcterms:W3CDTF">2026-07-16T14:57:48Z</dcterms:modified>
</cp:coreProperties>
</file>