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bookViews>
    <workbookView xWindow="-108" yWindow="-108" windowWidth="23256" windowHeight="12456"/>
  </bookViews>
  <sheets>
    <sheet name="使い方" sheetId="1" r:id="rId1"/>
    <sheet name="入力" sheetId="2" r:id="rId2"/>
    <sheet name="別表三一_計算" sheetId="3" r:id="rId3"/>
    <sheet name="付表_計算" sheetId="4" r:id="rId4"/>
    <sheet name="別表三(一)" sheetId="5" r:id="rId5"/>
    <sheet name="別表三(一)付表" sheetId="6" r:id="rId6"/>
    <sheet name="検算" sheetId="7" r:id="rId7"/>
    <sheet name="根拠・出典" sheetId="8" r:id="rId8"/>
    <sheet name="印字値" sheetId="9" state="veryHidden" r:id="rId9"/>
  </sheets>
  <definedNames>
    <definedName name="cfg_applicable">入力!$H$5</definedName>
    <definedName name="cfg_donation_rate">入力!$H$7</definedName>
    <definedName name="cfg_resident_rate">入力!$H$6</definedName>
    <definedName name="f1_01">付表_計算!$D$5</definedName>
    <definedName name="f1_02">付表_計算!$D$6</definedName>
    <definedName name="f1_03">付表_計算!$D$7</definedName>
    <definedName name="f1_04">付表_計算!$D$8</definedName>
    <definedName name="f1_05">付表_計算!$D$9</definedName>
    <definedName name="f1_06">付表_計算!$D$10</definedName>
    <definedName name="f1_07">付表_計算!$D$11</definedName>
    <definedName name="f1_08">付表_計算!$D$12</definedName>
    <definedName name="f1_09">付表_計算!$D$13</definedName>
    <definedName name="f1_10">付表_計算!$D$14</definedName>
    <definedName name="f1_11">付表_計算!$D$15</definedName>
    <definedName name="f1_12">付表_計算!$D$16</definedName>
    <definedName name="f1_13">付表_計算!$D$17</definedName>
    <definedName name="f1_14">付表_計算!$D$18</definedName>
    <definedName name="f1_15">付表_計算!$D$19</definedName>
    <definedName name="f1_16">付表_計算!$D$20</definedName>
    <definedName name="f1_17">付表_計算!$D$21</definedName>
    <definedName name="f1_18">付表_計算!$D$22</definedName>
    <definedName name="f1_19">付表_計算!$D$23</definedName>
    <definedName name="f1_20">付表_計算!$D$24</definedName>
    <definedName name="f1_21">付表_計算!$D$25</definedName>
    <definedName name="f1_22">付表_計算!$D$26</definedName>
    <definedName name="f1_23">付表_計算!$D$27</definedName>
    <definedName name="f1_24">付表_計算!$D$28</definedName>
    <definedName name="f1_25">付表_計算!$D$29</definedName>
    <definedName name="f1_26">付表_計算!$D$30</definedName>
    <definedName name="f1_27">付表_計算!$D$31</definedName>
    <definedName name="f1_28">付表_計算!$D$32</definedName>
    <definedName name="f1_29">付表_計算!$D$33</definedName>
    <definedName name="f1_30">付表_計算!$D$34</definedName>
    <definedName name="f1_31">付表_計算!$D$35</definedName>
    <definedName name="f1_32">付表_計算!$D$36</definedName>
    <definedName name="inp_b1_10out">入力!$D$27</definedName>
    <definedName name="inp_b1_12">入力!$D$28</definedName>
    <definedName name="inp_b1_18">入力!$D$29</definedName>
    <definedName name="inp_b1_19">入力!$D$30</definedName>
    <definedName name="inp_b1_2">入力!$D$23</definedName>
    <definedName name="inp_b1_36">入力!$D$31</definedName>
    <definedName name="inp_b1_4">入力!$D$24</definedName>
    <definedName name="inp_b1_40">入力!$D$32</definedName>
    <definedName name="inp_b1_41">入力!$D$33</definedName>
    <definedName name="inp_b1_5">入力!$D$25</definedName>
    <definedName name="inp_b1_7">入力!$D$26</definedName>
    <definedName name="inp_b6_5_2_5_3">入力!$D$34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09">入力!$D$46</definedName>
    <definedName name="inp_f1_10">入力!$D$47</definedName>
    <definedName name="inp_f1_11">入力!$D$48</definedName>
    <definedName name="inp_f1_12">入力!$D$49</definedName>
    <definedName name="inp_f1_13">入力!$D$50</definedName>
    <definedName name="inp_f1_14">入力!$D$51</definedName>
    <definedName name="inp_f1_15">入力!$D$52</definedName>
    <definedName name="inp_f1_16">入力!$D$53</definedName>
    <definedName name="inp_f1_17">入力!$D$54</definedName>
    <definedName name="inp_f1_18">入力!$D$55</definedName>
    <definedName name="inp_f1_19">入力!$D$56</definedName>
    <definedName name="inp_f1_20">入力!$D$57</definedName>
    <definedName name="inp_f1_21">入力!$D$58</definedName>
    <definedName name="inp_f1_22">入力!$D$59</definedName>
    <definedName name="inp_f1_23">入力!$D$60</definedName>
    <definedName name="inp_f1_24">入力!$D$61</definedName>
    <definedName name="inp_f1_25">入力!$D$62</definedName>
    <definedName name="inp_f1_26">入力!$D$63</definedName>
    <definedName name="inp_f1_27">入力!$D$64</definedName>
    <definedName name="inp_f1_28">入力!$D$65</definedName>
    <definedName name="inp_f1_29">入力!$D$66</definedName>
    <definedName name="inp_f1_capital">入力!$D$42</definedName>
    <definedName name="inp_f1_merger_inc">入力!$D$44</definedName>
    <definedName name="inp_f1_opening_profit">入力!$D$43</definedName>
    <definedName name="inp_f1_split_dec">入力!$D$45</definedName>
    <definedName name="inp_group">入力!$D$10</definedName>
    <definedName name="inp_m14_foreign">入力!$D$37</definedName>
    <definedName name="inp_m16">入力!$D$20</definedName>
    <definedName name="inp_m17">入力!$D$21</definedName>
    <definedName name="inp_m18">入力!$D$22</definedName>
    <definedName name="inp_m22_credits">入力!$D$35</definedName>
    <definedName name="inp_m23_credits">入力!$D$36</definedName>
    <definedName name="inp_m9_base">入力!$D$15</definedName>
    <definedName name="inp_m9_extra">入力!$D$16</definedName>
    <definedName name="inp_m9_inner">入力!$D$17</definedName>
    <definedName name="inp_months">入力!$D$8</definedName>
    <definedName name="inp_prev_div">入力!$D$18</definedName>
    <definedName name="inp_special">入力!$D$11</definedName>
    <definedName name="inp_specific_donation_total">入力!$D$38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m_26">別表三一_計算!$D$30</definedName>
    <definedName name="m_27">別表三一_計算!$D$31</definedName>
    <definedName name="m_28">別表三一_計算!$D$32</definedName>
    <definedName name="out_municipal_tax">別表三一_計算!$D$32</definedName>
    <definedName name="out_retained_tax">別表三一_計算!$D$12</definedName>
    <definedName name="out_retention_allowance">付表_計算!$D$36</definedName>
    <definedName name="out_taxable_retained">別表三一_計算!$D$25</definedName>
    <definedName name="_xlnm.Print_Area" localSheetId="6">検算!$A$1:$D$19</definedName>
    <definedName name="_xlnm.Print_Area" localSheetId="7">根拠・出典!$A$1:$E$13</definedName>
    <definedName name="_xlnm.Print_Area" localSheetId="0">使い方!$A$1:$H$40</definedName>
    <definedName name="_xlnm.Print_Area" localSheetId="1">入力!$A$1:$H$66</definedName>
    <definedName name="_xlnm.Print_Area" localSheetId="3">付表_計算!$A$1:$E$36</definedName>
    <definedName name="_xlnm.Print_Area" localSheetId="4">'別表三(一)'!$A$1:$L$3</definedName>
    <definedName name="_xlnm.Print_Area" localSheetId="5">'別表三(一)付表'!$A$1:$L$3</definedName>
    <definedName name="_xlnm.Print_Area" localSheetId="2">別表三一_計算!$A$1:$G$32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9" l="1"/>
  <c r="A2" i="9"/>
  <c r="A1" i="9"/>
  <c r="F13" i="1"/>
  <c r="F12" i="1"/>
  <c r="D27" i="3"/>
  <c r="A27" i="9" s="1"/>
  <c r="D26" i="3"/>
  <c r="A26" i="9" s="1"/>
  <c r="D22" i="3"/>
  <c r="A22" i="9" s="1"/>
  <c r="D21" i="3"/>
  <c r="A21" i="9" s="1"/>
  <c r="D20" i="3"/>
  <c r="A20" i="9" s="1"/>
  <c r="D18" i="3"/>
  <c r="A18" i="9" s="1"/>
  <c r="D16" i="3"/>
  <c r="A16" i="9" s="1"/>
  <c r="D15" i="3"/>
  <c r="A15" i="9" s="1"/>
  <c r="D14" i="3"/>
  <c r="A14" i="9" s="1"/>
  <c r="D13" i="3"/>
  <c r="A13" i="9" s="1"/>
  <c r="D33" i="4"/>
  <c r="C33" i="9" s="1"/>
  <c r="D32" i="4"/>
  <c r="C32" i="9" s="1"/>
  <c r="D31" i="4"/>
  <c r="C31" i="9" s="1"/>
  <c r="D30" i="4"/>
  <c r="C30" i="9" s="1"/>
  <c r="D29" i="4"/>
  <c r="C29" i="9" s="1"/>
  <c r="D28" i="4"/>
  <c r="C28" i="9" s="1"/>
  <c r="D27" i="4"/>
  <c r="C27" i="9" s="1"/>
  <c r="D26" i="4"/>
  <c r="C26" i="9" s="1"/>
  <c r="D25" i="4"/>
  <c r="C25" i="9" s="1"/>
  <c r="D24" i="4"/>
  <c r="C24" i="9" s="1"/>
  <c r="D23" i="4"/>
  <c r="C23" i="9" s="1"/>
  <c r="D22" i="4"/>
  <c r="C22" i="9" s="1"/>
  <c r="D21" i="4"/>
  <c r="C21" i="9" s="1"/>
  <c r="D20" i="4"/>
  <c r="C20" i="9" s="1"/>
  <c r="D19" i="4"/>
  <c r="C19" i="9" s="1"/>
  <c r="D18" i="4"/>
  <c r="C18" i="9" s="1"/>
  <c r="D17" i="4"/>
  <c r="C17" i="9" s="1"/>
  <c r="D16" i="4"/>
  <c r="C16" i="9" s="1"/>
  <c r="D15" i="4"/>
  <c r="C15" i="9" s="1"/>
  <c r="D14" i="4"/>
  <c r="C14" i="9" s="1"/>
  <c r="D13" i="4"/>
  <c r="C13" i="9" s="1"/>
  <c r="D9" i="4"/>
  <c r="C9" i="9" s="1"/>
  <c r="D8" i="4"/>
  <c r="C8" i="9" s="1"/>
  <c r="D7" i="4"/>
  <c r="C7" i="9" s="1"/>
  <c r="D5" i="4"/>
  <c r="D6" i="4" s="1"/>
  <c r="H7" i="2"/>
  <c r="D29" i="3" s="1"/>
  <c r="A29" i="9" s="1"/>
  <c r="H6" i="2"/>
  <c r="H5" i="2"/>
  <c r="F11" i="1" s="1"/>
  <c r="D8" i="2"/>
  <c r="F14" i="1" s="1"/>
  <c r="C6" i="9" l="1"/>
  <c r="C5" i="9"/>
  <c r="D34" i="4"/>
  <c r="D28" i="3"/>
  <c r="A28" i="9" s="1"/>
  <c r="D10" i="4"/>
  <c r="C10" i="9" s="1"/>
  <c r="G7" i="3"/>
  <c r="D12" i="4"/>
  <c r="D30" i="3" l="1"/>
  <c r="A30" i="9" s="1"/>
  <c r="C34" i="9"/>
  <c r="D35" i="4"/>
  <c r="C35" i="9" s="1"/>
  <c r="D11" i="4"/>
  <c r="C11" i="9" s="1"/>
  <c r="C12" i="9"/>
  <c r="D31" i="3" l="1"/>
  <c r="D32" i="3" s="1"/>
  <c r="D36" i="4"/>
  <c r="C36" i="9" s="1"/>
  <c r="A31" i="9" l="1"/>
  <c r="F7" i="1"/>
  <c r="D24" i="3"/>
  <c r="A24" i="9" s="1"/>
  <c r="D17" i="3"/>
  <c r="A32" i="9"/>
  <c r="F8" i="1"/>
  <c r="D19" i="3" l="1"/>
  <c r="A17" i="9"/>
  <c r="A19" i="9" l="1"/>
  <c r="D23" i="3"/>
  <c r="A23" i="9" l="1"/>
  <c r="D25" i="3"/>
  <c r="G5" i="3"/>
  <c r="A25" i="9" l="1"/>
  <c r="F6" i="1"/>
  <c r="D5" i="3"/>
  <c r="G6" i="3"/>
  <c r="G8" i="3" l="1"/>
  <c r="G9" i="3" s="1"/>
  <c r="G10" i="3" s="1"/>
  <c r="D6" i="3" s="1"/>
  <c r="D9" i="3"/>
  <c r="A5" i="9"/>
  <c r="A9" i="9" l="1"/>
  <c r="D10" i="3"/>
  <c r="A10" i="9" s="1"/>
  <c r="A6" i="9"/>
  <c r="D7" i="3"/>
  <c r="D11" i="3" l="1"/>
  <c r="A11" i="9" s="1"/>
  <c r="A7" i="9"/>
  <c r="D8" i="3"/>
  <c r="A8" i="9" s="1"/>
  <c r="D12" i="3" l="1"/>
  <c r="A12" i="9" s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D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法人税法67条7項・国税通則法10条に従い、応当日がない月は月末を満了日とし、1月未満の端数を1月に切り上げます。</t>
        </r>
      </text>
    </comment>
    <comment ref="D1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別表四「48の②」
別表四の留保所得金額又は欠損金額を符号付きで転記（欠損は負数可）</t>
        </r>
      </text>
    </comment>
    <comment ref="D1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別表十(六)「12」
該当がなければ0</t>
        </r>
      </text>
    </comment>
    <comment ref="D1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別表四「17」
当期留保金額で主表9から減算</t>
        </r>
      </text>
    </comment>
    <comment ref="D1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前期の別表三(一)「11」</t>
        </r>
      </text>
    </comment>
    <comment ref="D1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法人税法67条4項</t>
        </r>
      </text>
    </comment>
    <comment ref="D2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連結法人間配当等</t>
        </r>
      </text>
    </comment>
    <comment ref="D2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連結法人間配当等</t>
        </r>
      </text>
    </comment>
    <comment ref="D2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旧付表「18」</t>
        </r>
      </text>
    </comment>
    <comment ref="D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別表一「2」</t>
        </r>
      </text>
    </comment>
    <comment ref="D2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別表一「4」</t>
        </r>
      </text>
    </comment>
    <comment ref="D2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別表一「5」</t>
        </r>
      </text>
    </comment>
    <comment ref="D2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別表一「7」</t>
        </r>
      </text>
    </comment>
    <comment ref="D2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別表一「10の外書」</t>
        </r>
      </text>
    </comment>
    <comment ref="D2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別表一「12」</t>
        </r>
      </text>
    </comment>
    <comment ref="D2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別表一「18」</t>
        </r>
      </text>
    </comment>
    <comment ref="D3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別表一「19」</t>
        </r>
      </text>
    </comment>
    <comment ref="D3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別表一「36」</t>
        </r>
      </text>
    </comment>
    <comment ref="D3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別表一「40」</t>
        </r>
      </text>
    </comment>
    <comment ref="D3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別表一「41」</t>
        </r>
      </text>
    </comment>
    <comment ref="D3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別表六(五の二)「5の③」</t>
        </r>
      </text>
    </comment>
    <comment ref="D3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別表六(十三)17、(十四)22、(十五)24、(二十二)22、(二十三)23、(三十三)28、(三十四)13の合計</t>
        </r>
      </text>
    </comment>
    <comment ref="D3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九)21、(十二)11、(十三)17、(十四)22、(十五)24、(十八)19、(十九)18、(二十)39、(二十二)22、(二十三)23、(二十四)24、(二十五)21、(二十七)22、(二十八)21、(三十)16、(三十一)22、(三十二)35、(三十三)28、(三十四)13の合計</t>
        </r>
      </text>
    </comment>
    <comment ref="D3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別表十七(三の六)「1」</t>
        </r>
      </text>
    </comment>
    <comment ref="D3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法人税法施行令139条の10第1項
損金算入される額のみ</t>
        </r>
      </text>
    </comment>
    <comment ref="D4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期末資本金又は出資金</t>
        </r>
      </text>
    </comment>
    <comment ref="D4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別表五(一)の該当欄
利益積立金額がマイナスの場合は負数可</t>
        </r>
      </text>
    </comment>
    <comment ref="D4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適格合併等</t>
        </r>
      </text>
    </comment>
    <comment ref="D4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適格分割型分割等</t>
        </r>
      </text>
    </comment>
    <comment ref="D4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別表四「48の①」
別表四の所得金額又は欠損金額を符号付きで転記（欠損は負数可）</t>
        </r>
      </text>
    </comment>
    <comment ref="D4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別表四「38」
譲渡損失額はマイナス入力可</t>
        </r>
      </text>
    </comment>
    <comment ref="D4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別表八(一)「13」又は「26」から連結法人間配当等を除いた額</t>
        </r>
      </text>
    </comment>
    <comment ref="D4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別表八(二)「26」＋別表十七(三の七)「27の計」</t>
        </r>
      </text>
    </comment>
    <comment ref="D5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別表四「16」</t>
        </r>
      </text>
    </comment>
    <comment ref="D5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別表四「19」＋益金不算入附帯税（利子税を除く。）</t>
        </r>
      </text>
    </comment>
    <comment ref="D5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別表七の当該年版様式列挙額</t>
        </r>
      </text>
    </comment>
    <comment ref="D5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別表四「26」</t>
        </r>
      </text>
    </comment>
    <comment ref="D5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別表四「37」</t>
        </r>
      </text>
    </comment>
    <comment ref="D5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別表八(三)「13」の合計額</t>
        </r>
      </text>
    </comment>
    <comment ref="D5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別表十(三)「43」</t>
        </r>
      </text>
    </comment>
    <comment ref="D5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別表十(四)「20」</t>
        </r>
      </text>
    </comment>
    <comment ref="D5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別表十(四)「21」又は「23」</t>
        </r>
      </text>
    </comment>
    <comment ref="D5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別表十(一)「9」又は「13」</t>
        </r>
      </text>
    </comment>
    <comment ref="D6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別表十(二)「8」</t>
        </r>
      </text>
    </comment>
    <comment ref="D6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別表十(五)「22+37+42+47+52」</t>
        </r>
      </text>
    </comment>
    <comment ref="D6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別表十(六)「11」</t>
        </r>
      </text>
    </comment>
    <comment ref="D6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別表十(六)「13」</t>
        </r>
      </text>
    </comment>
    <comment ref="D6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別表十(七)「22」</t>
        </r>
      </text>
    </comment>
    <comment ref="D6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別表十七(二の三)「10」</t>
        </r>
      </text>
    </comment>
    <comment ref="D6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別表十七の様式列挙額（当該年版）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G1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法人税基本通達16-1-8(2)の短期事業年度における1億円相当額の端数判定。</t>
        </r>
      </text>
    </comment>
  </commentList>
</comments>
</file>

<file path=xl/sharedStrings.xml><?xml version="1.0" encoding="utf-8"?>
<sst xmlns="http://schemas.openxmlformats.org/spreadsheetml/2006/main" count="506" uniqueCount="380">
  <si>
    <t>特定同族会社の留保金課税 - 入力（令和3年版）</t>
  </si>
  <si>
    <t>黄色セルだけを入力してください。青色セルと国税庁様式帳票は自動計算・自動転記です。</t>
  </si>
  <si>
    <t>法人名</t>
  </si>
  <si>
    <t>事業年度開始日</t>
  </si>
  <si>
    <t>事業年度終了日</t>
  </si>
  <si>
    <t>事業年度月数（自動）</t>
  </si>
  <si>
    <t>中小企業者等該当性（住民税計算用）</t>
  </si>
  <si>
    <t>通算法人</t>
  </si>
  <si>
    <t>別表二の判定結果：特定同族会社</t>
  </si>
  <si>
    <t>基本情報</t>
    <phoneticPr fontId="2"/>
  </si>
  <si>
    <t>年度版チェック</t>
  </si>
  <si>
    <t>事業年度が対象範囲内</t>
  </si>
  <si>
    <t>住民税率</t>
  </si>
  <si>
    <t>特定寄附金控除率</t>
  </si>
  <si>
    <t>令和3年4月1日から令和4年3月31日までに終了する事業年度の年次版</t>
  </si>
  <si>
    <t>別表三(一)・住民税額計算の入力</t>
  </si>
  <si>
    <t>入力ID</t>
  </si>
  <si>
    <t>転記元</t>
  </si>
  <si>
    <t>内容</t>
  </si>
  <si>
    <t>入力額</t>
  </si>
  <si>
    <t>備考</t>
  </si>
  <si>
    <t>m9_base</t>
  </si>
  <si>
    <t>別表四「48の②」</t>
  </si>
  <si>
    <t>留保所得金額（主表9）の基礎額</t>
  </si>
  <si>
    <t>別表四の留保所得金額又は欠損金額を符号付きで転記（欠損は負数可）</t>
  </si>
  <si>
    <t>m9_extra</t>
  </si>
  <si>
    <t>別表十(六)「12」</t>
  </si>
  <si>
    <t>留保所得金額（主表9）に含める記載要領上の追加額</t>
  </si>
  <si>
    <t>該当がなければ0</t>
  </si>
  <si>
    <t>m9_inner</t>
  </si>
  <si>
    <t>別表四「17」</t>
  </si>
  <si>
    <t>留保所得金額（主表9）の内書額</t>
  </si>
  <si>
    <t>当期留保金額で主表9から減算</t>
  </si>
  <si>
    <t>prev_div</t>
  </si>
  <si>
    <t>前期の別表三(一)「11」</t>
  </si>
  <si>
    <t>前期末配当等の額</t>
  </si>
  <si>
    <t>curr_div</t>
  </si>
  <si>
    <t>法人税法67条4項</t>
  </si>
  <si>
    <t>当期末配当等の額</t>
  </si>
  <si>
    <t>m16</t>
  </si>
  <si>
    <t>連結法人間配当等</t>
  </si>
  <si>
    <t>主表16：当期支払額</t>
  </si>
  <si>
    <t>m17</t>
  </si>
  <si>
    <t>主表17：当期受取額</t>
  </si>
  <si>
    <t>m18</t>
  </si>
  <si>
    <t>旧付表「18」</t>
  </si>
  <si>
    <t>主表18：他法人株式等の帳簿価額から減算される金額</t>
  </si>
  <si>
    <t>b1_2</t>
  </si>
  <si>
    <t>別表一「2」</t>
  </si>
  <si>
    <t>主表12・住民税計算用：別表一「2」</t>
  </si>
  <si>
    <t>b1_4</t>
  </si>
  <si>
    <t>別表一「4」</t>
  </si>
  <si>
    <t>主表12・住民税計算用：別表一「4」</t>
  </si>
  <si>
    <t>b1_5</t>
  </si>
  <si>
    <t>別表一「5」</t>
  </si>
  <si>
    <t>主表12・住民税計算用：別表一「5」</t>
  </si>
  <si>
    <t>b1_7</t>
  </si>
  <si>
    <t>別表一「7」</t>
  </si>
  <si>
    <t>主表12・住民税計算用：別表一「7」</t>
  </si>
  <si>
    <t>b1_10out</t>
  </si>
  <si>
    <t>別表一「10の外書」</t>
  </si>
  <si>
    <t>主表12・住民税計算用：別表一「10の外書」</t>
  </si>
  <si>
    <t>b1_12</t>
  </si>
  <si>
    <t>別表一「12」</t>
  </si>
  <si>
    <t>主表12・住民税計算用：別表一「12」</t>
  </si>
  <si>
    <t>b1_18</t>
  </si>
  <si>
    <t>別表一「18」</t>
  </si>
  <si>
    <t>主表12・住民税計算用：別表一「18」</t>
  </si>
  <si>
    <t>b1_19</t>
  </si>
  <si>
    <t>別表一「19」</t>
  </si>
  <si>
    <t>主表12・住民税計算用：別表一「19」</t>
  </si>
  <si>
    <t>b1_36</t>
  </si>
  <si>
    <t>別表一「36」</t>
  </si>
  <si>
    <t>主表12・住民税計算用：別表一「36」</t>
  </si>
  <si>
    <t>b1_40</t>
  </si>
  <si>
    <t>別表一「40」</t>
  </si>
  <si>
    <t>主表12・住民税計算用：別表一「40」</t>
  </si>
  <si>
    <t>b1_41</t>
  </si>
  <si>
    <t>別表一「41」</t>
  </si>
  <si>
    <t>主表12・住民税計算用：別表一「41」</t>
  </si>
  <si>
    <t>b6_5_2_5_3</t>
  </si>
  <si>
    <t>別表六(五の二)「5の③」</t>
  </si>
  <si>
    <t>主表12の分配時調整外国税相当額</t>
  </si>
  <si>
    <t>m22_credits</t>
  </si>
  <si>
    <t>別表六(十三)17、(十四)22、(十五)24、(二十二)22、(二十三)23、(三十三)28、(三十四)13の合計</t>
  </si>
  <si>
    <t>主表22で差し引く税額控除等の合計</t>
  </si>
  <si>
    <t>m23_credits</t>
  </si>
  <si>
    <t>別表六(九)21、(十二)11、(十三)17、(十四)22、(十五)24、(十八)19、(十九)18、(二十)39、(二十二)22、(二十三)23、(二十四)24、(二十五)21、(二十七)22、(二十八)21、(三十)16、(三十一)22、(三十二)35、(三十三)28、(三十四)13の合計</t>
  </si>
  <si>
    <t>主表23で差し引く税額控除等の合計</t>
  </si>
  <si>
    <t>m14_foreign</t>
  </si>
  <si>
    <t>別表十七(三の六)「1」</t>
  </si>
  <si>
    <t>主表14：外国関係会社等に係る控除対象所得税額等相当額</t>
  </si>
  <si>
    <t>specific_donation_total</t>
  </si>
  <si>
    <t>法人税法施行令139条の10第1項</t>
  </si>
  <si>
    <t>主表の特定寄附金控除額の基礎となる合計額</t>
  </si>
  <si>
    <t>損金算入される額のみ</t>
  </si>
  <si>
    <t>留保控除額（付表・付表一）の入力</t>
  </si>
  <si>
    <t>f1_capital</t>
  </si>
  <si>
    <t>期末資本金又は出資金</t>
  </si>
  <si>
    <t>付表1欄：期末資本金の額又は出資金の額</t>
  </si>
  <si>
    <t>f1_opening_profit</t>
  </si>
  <si>
    <t>別表五(一)の該当欄</t>
  </si>
  <si>
    <t>期首利益積立金額の基礎額（主表10控除前）</t>
  </si>
  <si>
    <t>利益積立金額がマイナスの場合は負数可</t>
  </si>
  <si>
    <t>f1_merger_inc</t>
  </si>
  <si>
    <t>適格合併等</t>
  </si>
  <si>
    <t>適格合併等により増加した利益積立金額</t>
  </si>
  <si>
    <t>f1_split_dec</t>
  </si>
  <si>
    <t>適格分割型分割等</t>
  </si>
  <si>
    <t>適格分割型分割等により減少した利益積立金額</t>
  </si>
  <si>
    <t>f1_09</t>
  </si>
  <si>
    <t>別表四「48の①」</t>
  </si>
  <si>
    <t>付表の9欄：所得金額</t>
  </si>
  <si>
    <t>別表四の所得金額又は欠損金額を符号付きで転記（欠損は負数可）</t>
  </si>
  <si>
    <t>f1_10</t>
  </si>
  <si>
    <t>別表四「38」</t>
  </si>
  <si>
    <t>付表の10欄：非適格合併による移転資産等の譲渡利益額又は譲渡損失額</t>
  </si>
  <si>
    <t>譲渡損失額はマイナス入力可</t>
  </si>
  <si>
    <t>f1_11</t>
  </si>
  <si>
    <t>別表八(一)「13」又は「26」から連結法人間配当等を除いた額</t>
  </si>
  <si>
    <t>付表の11欄：受取配当等の益金不算入額</t>
  </si>
  <si>
    <t>f1_12</t>
  </si>
  <si>
    <t>別表八(二)「26」＋別表十七(三の七)「27の計」</t>
  </si>
  <si>
    <t>付表の12欄：外国子会社等から受ける剰余金の配当等の益金不算入額</t>
  </si>
  <si>
    <t>f1_13</t>
  </si>
  <si>
    <t>別表四「16」</t>
  </si>
  <si>
    <t>付表の13欄：受贈益の益金不算入額</t>
  </si>
  <si>
    <t>f1_14</t>
  </si>
  <si>
    <t>別表四「19」＋益金不算入附帯税（利子税を除く。）</t>
  </si>
  <si>
    <t>付表の14欄：法人税額の還付金等</t>
  </si>
  <si>
    <t>f1_15</t>
  </si>
  <si>
    <t>別表七の当該年版様式列挙額</t>
  </si>
  <si>
    <t>付表の15欄：欠損金又は災害損失金等の当期控除額</t>
  </si>
  <si>
    <t>f1_16</t>
  </si>
  <si>
    <t>別表四「26」</t>
  </si>
  <si>
    <t>付表の16欄：被合併法人等の最終事業年度の欠損金の損金算入額</t>
  </si>
  <si>
    <t>f1_17</t>
  </si>
  <si>
    <t>別表四「37」</t>
  </si>
  <si>
    <t>付表の17欄：災害損失欠損金額の益金算入額</t>
  </si>
  <si>
    <t>f1_18</t>
  </si>
  <si>
    <t>別表八(三)「13」の合計額</t>
  </si>
  <si>
    <t>付表の18欄：他法人株式等の帳簿価額から減算される金額</t>
  </si>
  <si>
    <t>f1_19</t>
  </si>
  <si>
    <t>別表十(三)「43」</t>
  </si>
  <si>
    <t>付表の19欄：新鉱床探鉱費又は海外新鉱床探鉱費の特別控除額</t>
  </si>
  <si>
    <t>f1_20</t>
  </si>
  <si>
    <t>別表十(四)「20」</t>
  </si>
  <si>
    <t>付表の20欄：日本船舶による収入金額に係る所得の損金算入額</t>
  </si>
  <si>
    <t>f1_21</t>
  </si>
  <si>
    <t>別表十(四)「21」又は「23」</t>
  </si>
  <si>
    <t>付表の21欄：日本船舶による収入金額に係る所得の益金算入額</t>
  </si>
  <si>
    <t>f1_22</t>
  </si>
  <si>
    <t>別表十(一)「9」又は「13」</t>
  </si>
  <si>
    <t>付表の22欄：沖縄の認定法人の所得の特別控除額</t>
  </si>
  <si>
    <t>f1_23</t>
  </si>
  <si>
    <t>別表十(二)「8」</t>
  </si>
  <si>
    <t>付表の23欄：国家戦略特別区域の指定法人の所得の特別控除額</t>
  </si>
  <si>
    <t>f1_24</t>
  </si>
  <si>
    <t>別表十(五)「22+37+42+47+52」</t>
  </si>
  <si>
    <t>付表の24欄：収用等の場合等の所得の特別控除額</t>
  </si>
  <si>
    <t>f1_25</t>
  </si>
  <si>
    <t>別表十(六)「11」</t>
  </si>
  <si>
    <t>付表の25欄：特別新事業開拓事業者関係の特別勘定繰入額</t>
  </si>
  <si>
    <t>f1_26</t>
  </si>
  <si>
    <t>別表十(六)「13」</t>
  </si>
  <si>
    <t>付表の26欄：特別新事業開拓事業者関係の特別勘定取崩額</t>
  </si>
  <si>
    <t>f1_27</t>
  </si>
  <si>
    <t>別表十(七)「22」</t>
  </si>
  <si>
    <t>付表の27欄：肉用牛の売却に係る所得の特別控除額</t>
  </si>
  <si>
    <t>f1_28</t>
  </si>
  <si>
    <t>別表十七(二の三)「10」</t>
  </si>
  <si>
    <t>付表の28欄：超過利子額の損金算入額</t>
  </si>
  <si>
    <t>f1_29</t>
  </si>
  <si>
    <t>別表十七の様式列挙額（当該年版）</t>
  </si>
  <si>
    <t>付表の29欄：課税対象金額等の益金算入額</t>
  </si>
  <si>
    <t>別表三(一) - 留保金額に対する税額の計算</t>
  </si>
  <si>
    <t>令和3年版 国税庁様式。青色セルは自動計算、黄色セルは入力シートで入力します。</t>
  </si>
  <si>
    <t>番号</t>
  </si>
  <si>
    <t>項目</t>
  </si>
  <si>
    <t>計算式・転記元</t>
  </si>
  <si>
    <t>金額</t>
  </si>
  <si>
    <t>注記</t>
  </si>
  <si>
    <t>年3,000万円相当額以下の金額</t>
  </si>
  <si>
    <t>MIN((21),3,000万円×月数/12)</t>
  </si>
  <si>
    <t>1,000円単位</t>
  </si>
  <si>
    <t>年3,000万円相当額超・年1億円相当額以下</t>
  </si>
  <si>
    <t>基本通達16-1-8(2)の端数判定</t>
  </si>
  <si>
    <t>特殊な切上げ・切捨て</t>
  </si>
  <si>
    <t>年1億円相当額を超える金額</t>
  </si>
  <si>
    <t>(21)-(1)-(2)</t>
  </si>
  <si>
    <t>課税留保金額 計</t>
  </si>
  <si>
    <t>(1)+(2)+(3)</t>
  </si>
  <si>
    <t>主表(21)と一致</t>
  </si>
  <si>
    <t>(1)の10％相当額</t>
  </si>
  <si>
    <t>(1)×10％</t>
  </si>
  <si>
    <t/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</si>
  <si>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</si>
  <si>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</si>
  <si>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</si>
  <si>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</si>
  <si>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</si>
  <si>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</si>
  <si>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</si>
  <si>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</si>
  <si>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別表四48②＋記載要領上の追加額</t>
  </si>
  <si>
    <t>内書額は別入力</t>
  </si>
  <si>
    <t>前期の主表11</t>
  </si>
  <si>
    <t>法人税額及び地方法人税額の合計額</t>
  </si>
  <si>
    <t>R3公式様式算式</t>
  </si>
  <si>
    <t>マイナスは0</t>
  </si>
  <si>
    <t>住民税額</t>
  </si>
  <si>
    <t>主表28</t>
  </si>
  <si>
    <t>外国関係会社等に係る控除対象所得税額等相当額</t>
  </si>
  <si>
    <t>法人税額等の合計額</t>
  </si>
  <si>
    <t>MAX((12)+(13)-(14),0)</t>
  </si>
  <si>
    <t>連結法人間配当等の当期支払額</t>
  </si>
  <si>
    <t>入力値</t>
  </si>
  <si>
    <t>連結法人間配当等の当期受取額</t>
  </si>
  <si>
    <t>他法人株式等の帳簿価額から減算される金額</t>
  </si>
  <si>
    <t>旧付表18</t>
  </si>
  <si>
    <t>当期留保金額</t>
  </si>
  <si>
    <t>(9)-9内書+(10)-(11)-(15)+(16)-(17)-(18)</t>
  </si>
  <si>
    <t>留保控除額</t>
  </si>
  <si>
    <t>付表32</t>
  </si>
  <si>
    <t>課税留保金額</t>
  </si>
  <si>
    <t>MAX((19)-(20),0)、1,000円未満切捨て</t>
  </si>
  <si>
    <t>基本通達16-1-8(1)</t>
  </si>
  <si>
    <t>住民税計算の基礎となる法人税額（中小企業者等以外）</t>
  </si>
  <si>
    <t>R3様式列挙額</t>
  </si>
  <si>
    <t>住民税計算の基礎となる法人税額（中小企業者等）</t>
  </si>
  <si>
    <t>選択した(22)又は(23)×適用率</t>
  </si>
  <si>
    <t>特定寄附金の額の合計額に係る控除額</t>
  </si>
  <si>
    <t>特定寄附金合計×適用率</t>
  </si>
  <si>
    <t>調整地方税額に係る控除額</t>
  </si>
  <si>
    <t>((24)+(別表一12+18)×適用率)×20％</t>
  </si>
  <si>
    <t>住民税額から控除される金額</t>
  </si>
  <si>
    <t>(25)又は(26)の少ない金額</t>
  </si>
  <si>
    <t>(24)-(27)</t>
  </si>
  <si>
    <t>主表13へ</t>
  </si>
  <si>
    <t>別表三(一)付表 - 留保控除額の計算</t>
  </si>
  <si>
    <t>期末資本金の額又は出資金の額</t>
  </si>
  <si>
    <t>同上の25％相当額</t>
  </si>
  <si>
    <t>(1)×25％</t>
  </si>
  <si>
    <t>1円未満切捨て</t>
  </si>
  <si>
    <t>期首利益積立金額</t>
  </si>
  <si>
    <t>別表五(一)該当欄－主表(10)</t>
  </si>
  <si>
    <t>期末利益積立金額</t>
  </si>
  <si>
    <t>(3)+(4)-(5)</t>
  </si>
  <si>
    <t>積立金基準額</t>
  </si>
  <si>
    <t>MAX((2)-(6),0)</t>
  </si>
  <si>
    <t>負数は0。期末利益積立金額が負ならその正数分だけ増加</t>
  </si>
  <si>
    <t>定額基準額</t>
  </si>
  <si>
    <t>2,000万円×当期月数/12</t>
  </si>
  <si>
    <t>所得金額</t>
  </si>
  <si>
    <t>非適格合併による移転資産等の譲渡利益額又は譲渡損失額</t>
  </si>
  <si>
    <t>受取配当等の益金不算入額</t>
  </si>
  <si>
    <t>外国子会社等から受ける剰余金の配当等の益金不算入額</t>
  </si>
  <si>
    <t>受贈益の益金不算入額</t>
  </si>
  <si>
    <t>法人税額の還付金等</t>
  </si>
  <si>
    <t>欠損金又は災害損失金等の当期控除額</t>
  </si>
  <si>
    <t>被合併法人等の最終事業年度の欠損金の損金算入額</t>
  </si>
  <si>
    <t>災害損失欠損金額の益金算入額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</si>
  <si>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</si>
  <si>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</si>
  <si>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</si>
  <si>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沖縄の認定法人の所得の特別控除額</t>
  </si>
  <si>
    <t>国家戦略特別区域の指定法人の所得の特別控除額</t>
  </si>
  <si>
    <t>収用等の場合等の所得の特別控除額</t>
  </si>
  <si>
    <t>特別新事業開拓事業者関係の特別勘定繰入額</t>
  </si>
  <si>
    <t>特別新事業開拓事業者関係の特別勘定取崩額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</si>
  <si>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</si>
  <si>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</si>
  <si>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</si>
  <si>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</si>
  <si>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(9)-(10)+(11)+(12)+(13)+(14)+(15)+(16)-(17)-(18)+(19)+(20)-(21)+(22)+(23)+(24)+(25)-(26)+(27)+(28)-(29)</t>
  </si>
  <si>
    <t>所得基準額</t>
  </si>
  <si>
    <t>(30)×40％</t>
  </si>
  <si>
    <t>(7)、(8)、(31)のいずれか多い金額</t>
  </si>
  <si>
    <t>主表20へ</t>
  </si>
  <si>
    <t>端数処理ヘルパー</t>
  </si>
  <si>
    <t>値</t>
  </si>
  <si>
    <t>課税留保金額（切捨前）</t>
  </si>
  <si>
    <t>主表(21)で切り捨てた端数</t>
  </si>
  <si>
    <t>年1億円相当額（生額）</t>
  </si>
  <si>
    <t>主表(2)の丸め前金額</t>
  </si>
  <si>
    <t>主表(2)の1,000円未満端数</t>
  </si>
  <si>
    <t>主表(2)の丸め後金額</t>
  </si>
  <si>
    <t>特定同族会社の留保金課税 計算シート（令和3年版）</t>
  </si>
  <si>
    <t>令和3年4月1日から令和4年3月31日までに終了する事業年度の年次版／国税庁の当該年公式別表を背景として再現</t>
  </si>
  <si>
    <t>最終結果</t>
  </si>
  <si>
    <t>留保金額に対する税額（別表三(一)「8」）</t>
  </si>
  <si>
    <t>課税留保金額（同「21」）</t>
  </si>
  <si>
    <t>留保控除額（別表三(一)付表「32」）</t>
  </si>
  <si>
    <t>住民税額（別表三(一)「28」）</t>
  </si>
  <si>
    <t>適用・入力チェック</t>
  </si>
  <si>
    <t>年度版の適用期間</t>
  </si>
  <si>
    <t>特定同族会社の判定</t>
  </si>
  <si>
    <t>通算法人付表二</t>
  </si>
  <si>
    <t>事業年度月数</t>
  </si>
  <si>
    <t>操作手順</t>
  </si>
  <si>
    <t>1. 「入力」シートの黄色セルへ、各別表から円単位で入力します。負数を許容する4項目は備考・コメントに明記しています。</t>
  </si>
  <si>
    <t>2. 青色の計算シートで主表・付表の算式と転記元を確認します。</t>
  </si>
  <si>
    <t>3. 緑色タブの国税庁様式に自動転記された金額を確認し、申告用データと突合します。</t>
  </si>
  <si>
    <t>4. このブックは計算補助です。提出前に最新の法令・記載要領・電子申告仕様を必ず確認してください。</t>
  </si>
  <si>
    <t>シート移動</t>
  </si>
  <si>
    <t>入力</t>
  </si>
  <si>
    <t>主表計算</t>
  </si>
  <si>
    <t>付表_計算</t>
  </si>
  <si>
    <t>公式様式</t>
  </si>
  <si>
    <t>検算</t>
  </si>
  <si>
    <t>根拠・出典</t>
  </si>
  <si>
    <t>令和3年版 根拠・出典・ファイル同一性</t>
  </si>
  <si>
    <t>種別</t>
  </si>
  <si>
    <t>資料名</t>
  </si>
  <si>
    <t>URL</t>
  </si>
  <si>
    <t>SHA-256</t>
  </si>
  <si>
    <t>用途</t>
  </si>
  <si>
    <t>国税庁</t>
  </si>
  <si>
    <t>令和3年 法人税各種別表一覧</t>
  </si>
  <si>
    <t>https://www.nta.go.jp/taxes/tetsuzuki/shinsei/annai/hojin/shinkoku/itiran2021/01.htm</t>
  </si>
  <si>
    <t>年度版・適用様式の確認</t>
  </si>
  <si>
    <t>別表三(一) 公式様式</t>
  </si>
  <si>
    <t>https://www.nta.go.jp/taxes/tetsuzuki/shinsei/annai/hojin/shinkoku/itiran2021/pdf/03%2801%29.pdf</t>
  </si>
  <si>
    <t>295C022957549591AF0317B8A1376B615B111EEF720E8EB5B6A8815F3D1B1C34</t>
  </si>
  <si>
    <t>公式様式・算式・記載要領</t>
  </si>
  <si>
    <t>別表三(一) 記載要領</t>
  </si>
  <si>
    <t>https://www.nta.go.jp/taxes/tetsuzuki/shinsei/annai/hojin/shinkoku/itiran2021/pdf/03%2801%29-ki.pdf</t>
  </si>
  <si>
    <t>485C3A2AE930031877EE25BEA150CFE307549F78E809477DF77BF11365CAC63F</t>
  </si>
  <si>
    <t>別表三(一)付表（付表一）公式様式</t>
  </si>
  <si>
    <t>https://www.nta.go.jp/taxes/tetsuzuki/shinsei/annai/hojin/shinkoku/itiran2021/pdf/03%2801%29-f.pdf</t>
  </si>
  <si>
    <t>C9A5348A7D270A7C2194E8AEA88990D3990BEC5532F520300DD94A9506463DD3</t>
  </si>
  <si>
    <t>別表三(一)付表（付表一）記載要領</t>
  </si>
  <si>
    <t>https://www.nta.go.jp/taxes/tetsuzuki/shinsei/annai/hojin/shinkoku/itiran2021/pdf/03%2801%29-f-ki.pdf</t>
  </si>
  <si>
    <t>AEB24309B9368928B80D676614284232D38565379620DAF52D5F55CA094628CD</t>
  </si>
  <si>
    <t>法人税基本通達16-1-8</t>
  </si>
  <si>
    <t>https://www.nta.go.jp/law/tsutatsu/kihon/hojin/16/16_01_02.htm</t>
  </si>
  <si>
    <t>課税留保金額の1,000円端数処理</t>
  </si>
  <si>
    <t>e-Gov</t>
  </si>
  <si>
    <t>法人税法67条</t>
  </si>
  <si>
    <t>https://laws.e-gov.go.jp/law/340AC0000000034#Mp-At_67</t>
  </si>
  <si>
    <t>特定同族会社の特別税率・留保控除</t>
  </si>
  <si>
    <t>国税通則法10条</t>
  </si>
  <si>
    <t>https://laws.e-gov.go.jp/law/337AC0000000066#Mp-At_10</t>
  </si>
  <si>
    <t>暦による月数計算</t>
  </si>
  <si>
    <t>計算</t>
  </si>
  <si>
    <t>端数処理：法人税基本通達16-1-8。月数：法人税法67条7項・国税通則法10条。留保控除：積立金・定額・所得の三基準の最大額。</t>
  </si>
  <si>
    <t>いいえ</t>
    <phoneticPr fontId="2"/>
  </si>
  <si>
    <t>該当</t>
    <phoneticPr fontId="2"/>
  </si>
  <si>
    <t>はい</t>
    <phoneticPr fontId="2"/>
  </si>
  <si>
    <t>令和3年版 組込検算・構造QA</t>
  </si>
  <si>
    <t>テスト</t>
  </si>
  <si>
    <t>期待値</t>
  </si>
  <si>
    <t>実測値</t>
  </si>
  <si>
    <t>結果</t>
  </si>
  <si>
    <t>12か月・3段階税率</t>
  </si>
  <si>
    <t>課税留保180,000,000 / 税額29,500,000</t>
  </si>
  <si>
    <t>180,000,000 / 29,500,000</t>
  </si>
  <si>
    <t>PASS</t>
  </si>
  <si>
    <t>5か月・通達端数切上げ</t>
  </si>
  <si>
    <t>(2)=29,167,000</t>
  </si>
  <si>
    <t>5か月・通達端数切捨て</t>
  </si>
  <si>
    <t>(2)=29,166,000</t>
  </si>
  <si>
    <t>月数・平年月末</t>
  </si>
  <si>
    <t>月数=1</t>
  </si>
  <si>
    <t>月数・閏年月末</t>
  </si>
  <si>
    <t>月数・応当日前日</t>
  </si>
  <si>
    <t>月数・1か月と1日</t>
  </si>
  <si>
    <t>月数=2</t>
  </si>
  <si>
    <t>入力規則・符号分類</t>
  </si>
  <si>
    <t>資本金の負数を拒否／利益積立金の負数を受理</t>
  </si>
  <si>
    <t>資本金拒否=True／利益積立金受理=True</t>
  </si>
  <si>
    <t>R3固定率</t>
  </si>
  <si>
    <t>住民税10.4% / 寄附40%</t>
  </si>
  <si>
    <t>10.4% / 40%</t>
  </si>
  <si>
    <t>構造検査</t>
  </si>
  <si>
    <t>数式エラー</t>
  </si>
  <si>
    <t>主表行数</t>
  </si>
  <si>
    <t>付表行数</t>
  </si>
  <si>
    <t>付表二行数</t>
  </si>
  <si>
    <t>年度版適用期間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</si>
</sst>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9" formatCode="yyyy/mm/dd"/>
    <numFmt numFmtId="180" formatCode="[=0]&quot;OK&quot;;[=0]&quot;要確認&quot;"/>
    <numFmt numFmtId="181" formatCode="0.0%"/>
    <numFmt numFmtId="182" formatCode="#,##0;\-#,##0;0"/>
    <numFmt numFmtId="183" formatCode="#,##0&quot; 円&quot;"/>
  </numFmts>
  <fonts count="14">
    <font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548235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80" fontId="5" fillId="0" borderId="1" xfId="0" applyNumberFormat="1" applyFont="1" applyBorder="1" applyAlignment="1">
      <alignment vertical="center"/>
    </xf>
    <xf numFmtId="18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182" fontId="5" fillId="4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82" fontId="9" fillId="7" borderId="1" xfId="0" applyNumberFormat="1" applyFont="1" applyFill="1" applyBorder="1" applyAlignment="1">
      <alignment horizontal="right" vertical="center"/>
    </xf>
    <xf numFmtId="0" fontId="11" fillId="2" borderId="0" xfId="0" applyFont="1" applyFill="1">
      <alignment vertical="center"/>
    </xf>
    <xf numFmtId="0" fontId="9" fillId="8" borderId="0" xfId="0" applyFont="1" applyFill="1">
      <alignment vertical="center"/>
    </xf>
    <xf numFmtId="183" fontId="9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12" fillId="0" borderId="0" xfId="1" applyFont="1">
      <alignment vertical="center"/>
    </xf>
    <xf numFmtId="0" fontId="12" fillId="0" borderId="1" xfId="1" applyFon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182" fontId="5" fillId="3" borderId="1" xfId="0" applyNumberFormat="1" applyFont="1" applyFill="1" applyBorder="1" applyAlignment="1" applyProtection="1">
      <alignment horizontal="right" vertical="center"/>
      <protection locked="0"/>
    </xf>
    <xf numFmtId="49" fontId="5" fillId="3" borderId="1" xfId="0" applyNumberFormat="1" applyFont="1" applyFill="1" applyBorder="1" applyAlignment="1" applyProtection="1">
      <alignment horizontal="right" vertical="center"/>
      <protection locked="0"/>
    </xf>
    <xf numFmtId="179" fontId="5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0</xdr:colOff>
      <xdr:row>3</xdr:row>
      <xdr:rowOff>13716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24FC39F1-58E7-BC7D-75A1-62212DE11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9336"/>
        </a:xfrm>
        <a:prstGeom prst="rect">
          <a:avLst/>
        </a:prstGeom>
      </xdr:spPr>
    </xdr:pic>
    <xdr:clientData/>
  </xdr:twoCellAnchor>
  <xdr:twoCellAnchor editAs="absolute">
    <xdr:from>
      <xdr:col>6</xdr:col>
      <xdr:colOff>414401</xdr:colOff>
      <xdr:row>0</xdr:row>
      <xdr:rowOff>452628</xdr:rowOff>
    </xdr:from>
    <xdr:to>
      <xdr:col>8</xdr:col>
      <xdr:colOff>381</xdr:colOff>
      <xdr:row>0</xdr:row>
      <xdr:rowOff>871728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A497F74D-1591-01F0-5C15-56CC00A5CBAE}"/>
            </a:ext>
          </a:extLst>
        </xdr:cNvPr>
        <xdr:cNvSpPr txBox="1"/>
      </xdr:nvSpPr>
      <xdr:spPr>
        <a:xfrm>
          <a:off x="4209161" y="452628"/>
          <a:ext cx="850900" cy="4191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24C02122-3920-483B-A47E-2AE48FE9B00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2021.4.1
2022.3.31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475742</xdr:colOff>
      <xdr:row>0</xdr:row>
      <xdr:rowOff>452628</xdr:rowOff>
    </xdr:from>
    <xdr:to>
      <xdr:col>10</xdr:col>
      <xdr:colOff>493522</xdr:colOff>
      <xdr:row>0</xdr:row>
      <xdr:rowOff>871728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85872520-F4DE-94BF-A8D9-2D5EB0D5F0EE}"/>
            </a:ext>
          </a:extLst>
        </xdr:cNvPr>
        <xdr:cNvSpPr txBox="1"/>
      </xdr:nvSpPr>
      <xdr:spPr>
        <a:xfrm>
          <a:off x="5535422" y="452628"/>
          <a:ext cx="1282700" cy="419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CD0CA6AB-71A5-43CD-AE32-81D8E9B6133D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1279398</xdr:rowOff>
    </xdr:from>
    <xdr:to>
      <xdr:col>5</xdr:col>
      <xdr:colOff>342011</xdr:colOff>
      <xdr:row>0</xdr:row>
      <xdr:rowOff>1685798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134B7D11-787E-C345-04A0-508ED7A74E5A}"/>
            </a:ext>
          </a:extLst>
        </xdr:cNvPr>
        <xdr:cNvSpPr txBox="1"/>
      </xdr:nvSpPr>
      <xdr:spPr>
        <a:xfrm>
          <a:off x="3085211" y="1279398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6449C9D-A79A-44DE-B4FA-B59EC15FA916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1797558</xdr:rowOff>
    </xdr:from>
    <xdr:to>
      <xdr:col>5</xdr:col>
      <xdr:colOff>342011</xdr:colOff>
      <xdr:row>0</xdr:row>
      <xdr:rowOff>2203958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9FFE6DC7-4FDD-5F58-2467-EE60334DBC4C}"/>
            </a:ext>
          </a:extLst>
        </xdr:cNvPr>
        <xdr:cNvSpPr txBox="1"/>
      </xdr:nvSpPr>
      <xdr:spPr>
        <a:xfrm>
          <a:off x="3085211" y="1797558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BE3A770-D640-466D-A4EC-F6B693FA5BF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2315972</xdr:rowOff>
    </xdr:from>
    <xdr:to>
      <xdr:col>5</xdr:col>
      <xdr:colOff>342011</xdr:colOff>
      <xdr:row>0</xdr:row>
      <xdr:rowOff>2722372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BBFCDFA8-B53E-B4EA-A269-E93D911C361C}"/>
            </a:ext>
          </a:extLst>
        </xdr:cNvPr>
        <xdr:cNvSpPr txBox="1"/>
      </xdr:nvSpPr>
      <xdr:spPr>
        <a:xfrm>
          <a:off x="3085211" y="2315972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F332033-5BE3-4B12-A519-1F0B4987CB0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2834132</xdr:rowOff>
    </xdr:from>
    <xdr:to>
      <xdr:col>5</xdr:col>
      <xdr:colOff>342011</xdr:colOff>
      <xdr:row>0</xdr:row>
      <xdr:rowOff>3240532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C014E4BE-9B12-1019-4B64-5E5E81829BD5}"/>
            </a:ext>
          </a:extLst>
        </xdr:cNvPr>
        <xdr:cNvSpPr txBox="1"/>
      </xdr:nvSpPr>
      <xdr:spPr>
        <a:xfrm>
          <a:off x="3085211" y="2834132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274744E-213C-48BD-AEFE-D1621AD714DF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1279398</xdr:rowOff>
    </xdr:from>
    <xdr:to>
      <xdr:col>10</xdr:col>
      <xdr:colOff>464566</xdr:colOff>
      <xdr:row>0</xdr:row>
      <xdr:rowOff>1685798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5E5D44CF-B8A6-78CE-5267-15CFC76F59A0}"/>
            </a:ext>
          </a:extLst>
        </xdr:cNvPr>
        <xdr:cNvSpPr txBox="1"/>
      </xdr:nvSpPr>
      <xdr:spPr>
        <a:xfrm>
          <a:off x="6179566" y="1279398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17EDB88-FC51-45DF-96C5-ACDC77BC977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1797558</xdr:rowOff>
    </xdr:from>
    <xdr:to>
      <xdr:col>10</xdr:col>
      <xdr:colOff>464566</xdr:colOff>
      <xdr:row>0</xdr:row>
      <xdr:rowOff>2203958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630A98CA-A8B5-CA41-8044-93F400B30112}"/>
            </a:ext>
          </a:extLst>
        </xdr:cNvPr>
        <xdr:cNvSpPr txBox="1"/>
      </xdr:nvSpPr>
      <xdr:spPr>
        <a:xfrm>
          <a:off x="6179566" y="1797558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1477235-33A8-42B6-8BDC-9AF405046C8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2315972</xdr:rowOff>
    </xdr:from>
    <xdr:to>
      <xdr:col>10</xdr:col>
      <xdr:colOff>464566</xdr:colOff>
      <xdr:row>0</xdr:row>
      <xdr:rowOff>2722372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7BF12806-45F2-C800-6BDA-5F46C0CDCEB5}"/>
            </a:ext>
          </a:extLst>
        </xdr:cNvPr>
        <xdr:cNvSpPr txBox="1"/>
      </xdr:nvSpPr>
      <xdr:spPr>
        <a:xfrm>
          <a:off x="6179566" y="2315972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6DB7F06-FE61-4E08-9061-973506796A3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2834132</xdr:rowOff>
    </xdr:from>
    <xdr:to>
      <xdr:col>10</xdr:col>
      <xdr:colOff>464566</xdr:colOff>
      <xdr:row>0</xdr:row>
      <xdr:rowOff>3240532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CDB1FCA9-6FE5-F527-9630-5881339E01D6}"/>
            </a:ext>
          </a:extLst>
        </xdr:cNvPr>
        <xdr:cNvSpPr txBox="1"/>
      </xdr:nvSpPr>
      <xdr:spPr>
        <a:xfrm>
          <a:off x="6179566" y="2834132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EE6AC38-D20F-4A03-9F3E-474255D8224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3522980</xdr:rowOff>
    </xdr:from>
    <xdr:to>
      <xdr:col>5</xdr:col>
      <xdr:colOff>545211</xdr:colOff>
      <xdr:row>1</xdr:row>
      <xdr:rowOff>269240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458BF262-3B60-5EAE-7648-FFDAB4E751F9}"/>
            </a:ext>
          </a:extLst>
        </xdr:cNvPr>
        <xdr:cNvSpPr txBox="1"/>
      </xdr:nvSpPr>
      <xdr:spPr>
        <a:xfrm>
          <a:off x="3085211" y="3522980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5520EC4-78B8-48FA-80A3-410487ED69D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379349</xdr:rowOff>
    </xdr:from>
    <xdr:to>
      <xdr:col>5</xdr:col>
      <xdr:colOff>545211</xdr:colOff>
      <xdr:row>1</xdr:row>
      <xdr:rowOff>684149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6A893406-7641-6C05-B005-21CAE14C3EEB}"/>
            </a:ext>
          </a:extLst>
        </xdr:cNvPr>
        <xdr:cNvSpPr txBox="1"/>
      </xdr:nvSpPr>
      <xdr:spPr>
        <a:xfrm>
          <a:off x="3085211" y="3937889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CBDB3C4-B2CC-466C-94B4-842DA5E5D65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793877</xdr:rowOff>
    </xdr:from>
    <xdr:to>
      <xdr:col>5</xdr:col>
      <xdr:colOff>545211</xdr:colOff>
      <xdr:row>1</xdr:row>
      <xdr:rowOff>1098677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18013313-A877-4567-8C4F-923694ABD2A6}"/>
            </a:ext>
          </a:extLst>
        </xdr:cNvPr>
        <xdr:cNvSpPr txBox="1"/>
      </xdr:nvSpPr>
      <xdr:spPr>
        <a:xfrm>
          <a:off x="3085211" y="4352417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8C24A36-1CD4-4BCD-ADFF-508CAA6625C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1208405</xdr:rowOff>
    </xdr:from>
    <xdr:to>
      <xdr:col>5</xdr:col>
      <xdr:colOff>545211</xdr:colOff>
      <xdr:row>1</xdr:row>
      <xdr:rowOff>1932305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69D94E68-4802-D8CF-3062-1C846F466F08}"/>
            </a:ext>
          </a:extLst>
        </xdr:cNvPr>
        <xdr:cNvSpPr txBox="1"/>
      </xdr:nvSpPr>
      <xdr:spPr>
        <a:xfrm>
          <a:off x="3085211" y="4766945"/>
          <a:ext cx="622300" cy="723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442D928-73D4-4D67-8233-12E337F1824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2037461</xdr:rowOff>
    </xdr:from>
    <xdr:to>
      <xdr:col>5</xdr:col>
      <xdr:colOff>545211</xdr:colOff>
      <xdr:row>1</xdr:row>
      <xdr:rowOff>2240661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219698F6-7006-C95C-0EBA-6ABA8B95D793}"/>
            </a:ext>
          </a:extLst>
        </xdr:cNvPr>
        <xdr:cNvSpPr txBox="1"/>
      </xdr:nvSpPr>
      <xdr:spPr>
        <a:xfrm>
          <a:off x="3085211" y="5596001"/>
          <a:ext cx="6223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9008CE0-F98B-48F9-9130-A642ADAEFD56}" type="TxLink">
            <a:rPr kumimoji="1" lang="en-US" altLang="en-US" sz="56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6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2348611</xdr:rowOff>
    </xdr:from>
    <xdr:to>
      <xdr:col>5</xdr:col>
      <xdr:colOff>545211</xdr:colOff>
      <xdr:row>1</xdr:row>
      <xdr:rowOff>2653411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A3A776DD-28E6-D8B2-56ED-27D5D3C12CC4}"/>
            </a:ext>
          </a:extLst>
        </xdr:cNvPr>
        <xdr:cNvSpPr txBox="1"/>
      </xdr:nvSpPr>
      <xdr:spPr>
        <a:xfrm>
          <a:off x="3085211" y="5907151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E431E32-3C4D-4CAB-8ECC-A9C5F68C255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2763139</xdr:rowOff>
    </xdr:from>
    <xdr:to>
      <xdr:col>5</xdr:col>
      <xdr:colOff>545211</xdr:colOff>
      <xdr:row>1</xdr:row>
      <xdr:rowOff>3169539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0630BBAB-8B47-E837-42B6-CD5DC4D2FAC3}"/>
            </a:ext>
          </a:extLst>
        </xdr:cNvPr>
        <xdr:cNvSpPr txBox="1"/>
      </xdr:nvSpPr>
      <xdr:spPr>
        <a:xfrm>
          <a:off x="3085211" y="6321679"/>
          <a:ext cx="6223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E181019-FDFD-4B09-B14D-67590A04903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3281299</xdr:rowOff>
    </xdr:from>
    <xdr:to>
      <xdr:col>5</xdr:col>
      <xdr:colOff>545211</xdr:colOff>
      <xdr:row>2</xdr:row>
      <xdr:rowOff>27559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59AB8C1A-A141-1857-4667-21217F2C7CEE}"/>
            </a:ext>
          </a:extLst>
        </xdr:cNvPr>
        <xdr:cNvSpPr txBox="1"/>
      </xdr:nvSpPr>
      <xdr:spPr>
        <a:xfrm>
          <a:off x="3085211" y="6839839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4AEA76B-559A-4275-A5F6-02B5077B3D5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137287</xdr:rowOff>
    </xdr:from>
    <xdr:to>
      <xdr:col>5</xdr:col>
      <xdr:colOff>545211</xdr:colOff>
      <xdr:row>2</xdr:row>
      <xdr:rowOff>442087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55FD3F6F-8C36-5F1F-23D1-8740641FFF5C}"/>
            </a:ext>
          </a:extLst>
        </xdr:cNvPr>
        <xdr:cNvSpPr txBox="1"/>
      </xdr:nvSpPr>
      <xdr:spPr>
        <a:xfrm>
          <a:off x="3085211" y="7254367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0FDB8F9-E43A-49CE-8073-03C3F53ABB9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552196</xdr:rowOff>
    </xdr:from>
    <xdr:to>
      <xdr:col>5</xdr:col>
      <xdr:colOff>545211</xdr:colOff>
      <xdr:row>2</xdr:row>
      <xdr:rowOff>856996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C44D9194-5C4B-3900-EE23-BA4FA083C08F}"/>
            </a:ext>
          </a:extLst>
        </xdr:cNvPr>
        <xdr:cNvSpPr txBox="1"/>
      </xdr:nvSpPr>
      <xdr:spPr>
        <a:xfrm>
          <a:off x="3085211" y="7669276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65815F8-E4EA-410F-9E2E-3663B973A0A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966724</xdr:rowOff>
    </xdr:from>
    <xdr:to>
      <xdr:col>5</xdr:col>
      <xdr:colOff>545211</xdr:colOff>
      <xdr:row>2</xdr:row>
      <xdr:rowOff>1271524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9ED4341A-0CE8-BA04-54CC-0585475EA7D6}"/>
            </a:ext>
          </a:extLst>
        </xdr:cNvPr>
        <xdr:cNvSpPr txBox="1"/>
      </xdr:nvSpPr>
      <xdr:spPr>
        <a:xfrm>
          <a:off x="3085211" y="8083804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B9F7DC4-0938-44E9-BACF-8BD7E553DC3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1381252</xdr:rowOff>
    </xdr:from>
    <xdr:to>
      <xdr:col>5</xdr:col>
      <xdr:colOff>545211</xdr:colOff>
      <xdr:row>2</xdr:row>
      <xdr:rowOff>1686052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144A847E-B12C-F8E9-43F4-B7DE1E92E48B}"/>
            </a:ext>
          </a:extLst>
        </xdr:cNvPr>
        <xdr:cNvSpPr txBox="1"/>
      </xdr:nvSpPr>
      <xdr:spPr>
        <a:xfrm>
          <a:off x="3085211" y="8498332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19DF38B-1BD0-4432-BA91-00512197934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1795780</xdr:rowOff>
    </xdr:from>
    <xdr:to>
      <xdr:col>5</xdr:col>
      <xdr:colOff>342011</xdr:colOff>
      <xdr:row>2</xdr:row>
      <xdr:rowOff>2100580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9C345BC7-7587-0243-E0DF-F8893A0153B4}"/>
            </a:ext>
          </a:extLst>
        </xdr:cNvPr>
        <xdr:cNvSpPr txBox="1"/>
      </xdr:nvSpPr>
      <xdr:spPr>
        <a:xfrm>
          <a:off x="3085211" y="8912860"/>
          <a:ext cx="4191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7E90681-C872-4C75-81CF-E5F092DE5EB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3522980</xdr:rowOff>
    </xdr:from>
    <xdr:to>
      <xdr:col>10</xdr:col>
      <xdr:colOff>464566</xdr:colOff>
      <xdr:row>1</xdr:row>
      <xdr:rowOff>789940</xdr:rowOff>
    </xdr:to>
    <xdr:sp macro="" textlink="印字値!$A$26">
      <xdr:nvSpPr>
        <xdr:cNvPr id="27" name="主表22">
          <a:extLst>
            <a:ext uri="{FF2B5EF4-FFF2-40B4-BE49-F238E27FC236}">
              <a16:creationId xmlns:a16="http://schemas.microsoft.com/office/drawing/2014/main" id="{4C0FBA3C-305B-99E8-325B-3E451E2FED74}"/>
            </a:ext>
          </a:extLst>
        </xdr:cNvPr>
        <xdr:cNvSpPr txBox="1"/>
      </xdr:nvSpPr>
      <xdr:spPr>
        <a:xfrm>
          <a:off x="6179566" y="3522980"/>
          <a:ext cx="609600" cy="825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8361299-6DA1-4BC4-83A3-F80A15F1B78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1</xdr:row>
      <xdr:rowOff>897509</xdr:rowOff>
    </xdr:from>
    <xdr:to>
      <xdr:col>10</xdr:col>
      <xdr:colOff>464566</xdr:colOff>
      <xdr:row>1</xdr:row>
      <xdr:rowOff>2142109</xdr:rowOff>
    </xdr:to>
    <xdr:sp macro="" textlink="印字値!$A$27">
      <xdr:nvSpPr>
        <xdr:cNvPr id="28" name="主表23">
          <a:extLst>
            <a:ext uri="{FF2B5EF4-FFF2-40B4-BE49-F238E27FC236}">
              <a16:creationId xmlns:a16="http://schemas.microsoft.com/office/drawing/2014/main" id="{84EC7D7C-1D20-3BB6-9145-04B6FBEF89F4}"/>
            </a:ext>
          </a:extLst>
        </xdr:cNvPr>
        <xdr:cNvSpPr txBox="1"/>
      </xdr:nvSpPr>
      <xdr:spPr>
        <a:xfrm>
          <a:off x="6179566" y="4456049"/>
          <a:ext cx="609600" cy="1244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4B5EF28-BE68-4EBF-90F0-F9776946F2D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1</xdr:row>
      <xdr:rowOff>2244979</xdr:rowOff>
    </xdr:from>
    <xdr:to>
      <xdr:col>10</xdr:col>
      <xdr:colOff>464566</xdr:colOff>
      <xdr:row>1</xdr:row>
      <xdr:rowOff>2867279</xdr:rowOff>
    </xdr:to>
    <xdr:sp macro="" textlink="印字値!$A$28">
      <xdr:nvSpPr>
        <xdr:cNvPr id="29" name="主表24">
          <a:extLst>
            <a:ext uri="{FF2B5EF4-FFF2-40B4-BE49-F238E27FC236}">
              <a16:creationId xmlns:a16="http://schemas.microsoft.com/office/drawing/2014/main" id="{640B5879-984C-6764-ACE3-3BBBFE9DD703}"/>
            </a:ext>
          </a:extLst>
        </xdr:cNvPr>
        <xdr:cNvSpPr txBox="1"/>
      </xdr:nvSpPr>
      <xdr:spPr>
        <a:xfrm>
          <a:off x="6179566" y="5803519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9B70238-EF6C-4756-9DAF-4F6AE9E5576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1</xdr:row>
      <xdr:rowOff>2970403</xdr:rowOff>
    </xdr:from>
    <xdr:to>
      <xdr:col>10</xdr:col>
      <xdr:colOff>464566</xdr:colOff>
      <xdr:row>2</xdr:row>
      <xdr:rowOff>34163</xdr:rowOff>
    </xdr:to>
    <xdr:sp macro="" textlink="印字値!$A$29">
      <xdr:nvSpPr>
        <xdr:cNvPr id="30" name="主表25">
          <a:extLst>
            <a:ext uri="{FF2B5EF4-FFF2-40B4-BE49-F238E27FC236}">
              <a16:creationId xmlns:a16="http://schemas.microsoft.com/office/drawing/2014/main" id="{04A5D95D-57D4-4E6D-221B-D501755DE97D}"/>
            </a:ext>
          </a:extLst>
        </xdr:cNvPr>
        <xdr:cNvSpPr txBox="1"/>
      </xdr:nvSpPr>
      <xdr:spPr>
        <a:xfrm>
          <a:off x="6179566" y="6528943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F409254-9165-454B-9AF6-E7ED267BFAE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2</xdr:row>
      <xdr:rowOff>137287</xdr:rowOff>
    </xdr:from>
    <xdr:to>
      <xdr:col>10</xdr:col>
      <xdr:colOff>464566</xdr:colOff>
      <xdr:row>2</xdr:row>
      <xdr:rowOff>759587</xdr:rowOff>
    </xdr:to>
    <xdr:sp macro="" textlink="印字値!$A$30">
      <xdr:nvSpPr>
        <xdr:cNvPr id="31" name="主表26">
          <a:extLst>
            <a:ext uri="{FF2B5EF4-FFF2-40B4-BE49-F238E27FC236}">
              <a16:creationId xmlns:a16="http://schemas.microsoft.com/office/drawing/2014/main" id="{3C168F6C-D2A7-D2EA-A615-A485D839D9C7}"/>
            </a:ext>
          </a:extLst>
        </xdr:cNvPr>
        <xdr:cNvSpPr txBox="1"/>
      </xdr:nvSpPr>
      <xdr:spPr>
        <a:xfrm>
          <a:off x="6179566" y="7254367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720C78E-063C-4EB3-84FB-F2619DF71D0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2</xdr:row>
      <xdr:rowOff>863092</xdr:rowOff>
    </xdr:from>
    <xdr:to>
      <xdr:col>10</xdr:col>
      <xdr:colOff>464566</xdr:colOff>
      <xdr:row>2</xdr:row>
      <xdr:rowOff>1485392</xdr:rowOff>
    </xdr:to>
    <xdr:sp macro="" textlink="印字値!$A$31">
      <xdr:nvSpPr>
        <xdr:cNvPr id="32" name="主表27">
          <a:extLst>
            <a:ext uri="{FF2B5EF4-FFF2-40B4-BE49-F238E27FC236}">
              <a16:creationId xmlns:a16="http://schemas.microsoft.com/office/drawing/2014/main" id="{A737B85C-BB04-9473-E8E0-04BDA0B64888}"/>
            </a:ext>
          </a:extLst>
        </xdr:cNvPr>
        <xdr:cNvSpPr txBox="1"/>
      </xdr:nvSpPr>
      <xdr:spPr>
        <a:xfrm>
          <a:off x="6179566" y="7980172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9FB0B00-E7AE-4C6C-B962-A56F500A709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2</xdr:row>
      <xdr:rowOff>1588516</xdr:rowOff>
    </xdr:from>
    <xdr:to>
      <xdr:col>10</xdr:col>
      <xdr:colOff>464566</xdr:colOff>
      <xdr:row>2</xdr:row>
      <xdr:rowOff>2096516</xdr:rowOff>
    </xdr:to>
    <xdr:sp macro="" textlink="印字値!$A$32">
      <xdr:nvSpPr>
        <xdr:cNvPr id="33" name="主表28">
          <a:extLst>
            <a:ext uri="{FF2B5EF4-FFF2-40B4-BE49-F238E27FC236}">
              <a16:creationId xmlns:a16="http://schemas.microsoft.com/office/drawing/2014/main" id="{7842A710-9E5B-58EF-4393-84E60434D233}"/>
            </a:ext>
          </a:extLst>
        </xdr:cNvPr>
        <xdr:cNvSpPr txBox="1"/>
      </xdr:nvSpPr>
      <xdr:spPr>
        <a:xfrm>
          <a:off x="6179566" y="8705596"/>
          <a:ext cx="6096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EAAC2BD-A74C-4840-B86F-7EC4CC97C42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3510280</xdr:rowOff>
    </xdr:from>
    <xdr:to>
      <xdr:col>5</xdr:col>
      <xdr:colOff>519811</xdr:colOff>
      <xdr:row>1</xdr:row>
      <xdr:rowOff>53340</xdr:rowOff>
    </xdr:to>
    <xdr:sp macro="" textlink="印字値!$B$5">
      <xdr:nvSpPr>
        <xdr:cNvPr id="34" name="主表09内書">
          <a:extLst>
            <a:ext uri="{FF2B5EF4-FFF2-40B4-BE49-F238E27FC236}">
              <a16:creationId xmlns:a16="http://schemas.microsoft.com/office/drawing/2014/main" id="{289E20F8-4C36-27B5-5B61-2C1CED4DBF68}"/>
            </a:ext>
          </a:extLst>
        </xdr:cNvPr>
        <xdr:cNvSpPr txBox="1"/>
      </xdr:nvSpPr>
      <xdr:spPr>
        <a:xfrm>
          <a:off x="3085211" y="3510280"/>
          <a:ext cx="596900" cy="101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rmAutofit/>
        </a:bodyPr>
        <a:lstStyle/>
        <a:p>
          <a:pPr algn="r"/>
          <a:fld id="{61DE61AA-F2D6-4234-86AD-F8F7F9183702}" type="TxLink">
            <a:rPr kumimoji="1" lang="en-US" altLang="en-US" sz="5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0</xdr:colOff>
      <xdr:row>3</xdr:row>
      <xdr:rowOff>13716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1E250F41-4C55-7F9F-EC14-E61FBE1DE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9336"/>
        </a:xfrm>
        <a:prstGeom prst="rect">
          <a:avLst/>
        </a:prstGeom>
      </xdr:spPr>
    </xdr:pic>
    <xdr:clientData/>
  </xdr:twoCellAnchor>
  <xdr:twoCellAnchor editAs="absolute">
    <xdr:from>
      <xdr:col>6</xdr:col>
      <xdr:colOff>464693</xdr:colOff>
      <xdr:row>0</xdr:row>
      <xdr:rowOff>460248</xdr:rowOff>
    </xdr:from>
    <xdr:to>
      <xdr:col>8</xdr:col>
      <xdr:colOff>50673</xdr:colOff>
      <xdr:row>0</xdr:row>
      <xdr:rowOff>892048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F40BF617-B8C7-E365-3BE6-AF9DB4957C90}"/>
            </a:ext>
          </a:extLst>
        </xdr:cNvPr>
        <xdr:cNvSpPr txBox="1"/>
      </xdr:nvSpPr>
      <xdr:spPr>
        <a:xfrm>
          <a:off x="4259453" y="460248"/>
          <a:ext cx="850900" cy="4318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F35D6EBF-5080-4CF5-912A-A16756CD3C4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2021.4.1
2022.3.31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526034</xdr:colOff>
      <xdr:row>0</xdr:row>
      <xdr:rowOff>460248</xdr:rowOff>
    </xdr:from>
    <xdr:to>
      <xdr:col>10</xdr:col>
      <xdr:colOff>454914</xdr:colOff>
      <xdr:row>0</xdr:row>
      <xdr:rowOff>892048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F36060B4-5ED9-EA2D-AFA9-604025DFFD7A}"/>
            </a:ext>
          </a:extLst>
        </xdr:cNvPr>
        <xdr:cNvSpPr txBox="1"/>
      </xdr:nvSpPr>
      <xdr:spPr>
        <a:xfrm>
          <a:off x="5585714" y="460248"/>
          <a:ext cx="11938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1B76DFEC-AC68-4723-AB0E-3813E6E978EF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955421</xdr:rowOff>
    </xdr:from>
    <xdr:to>
      <xdr:col>5</xdr:col>
      <xdr:colOff>594995</xdr:colOff>
      <xdr:row>0</xdr:row>
      <xdr:rowOff>1336421</xdr:rowOff>
    </xdr:to>
    <xdr:sp macro="" textlink="印字値!$C$5">
      <xdr:nvSpPr>
        <xdr:cNvPr id="6" name="付表01">
          <a:extLst>
            <a:ext uri="{FF2B5EF4-FFF2-40B4-BE49-F238E27FC236}">
              <a16:creationId xmlns:a16="http://schemas.microsoft.com/office/drawing/2014/main" id="{BEE74084-835F-FBE5-67AC-97239DE761E4}"/>
            </a:ext>
          </a:extLst>
        </xdr:cNvPr>
        <xdr:cNvSpPr txBox="1"/>
      </xdr:nvSpPr>
      <xdr:spPr>
        <a:xfrm>
          <a:off x="3223895" y="955421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A1B4AD8-4AE0-45AE-8715-8F5DA52FB5E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1445514</xdr:rowOff>
    </xdr:from>
    <xdr:to>
      <xdr:col>5</xdr:col>
      <xdr:colOff>594995</xdr:colOff>
      <xdr:row>0</xdr:row>
      <xdr:rowOff>1826514</xdr:rowOff>
    </xdr:to>
    <xdr:sp macro="" textlink="印字値!$C$6">
      <xdr:nvSpPr>
        <xdr:cNvPr id="7" name="付表02">
          <a:extLst>
            <a:ext uri="{FF2B5EF4-FFF2-40B4-BE49-F238E27FC236}">
              <a16:creationId xmlns:a16="http://schemas.microsoft.com/office/drawing/2014/main" id="{7A15FAA7-1702-B877-B4C8-0E29A275F663}"/>
            </a:ext>
          </a:extLst>
        </xdr:cNvPr>
        <xdr:cNvSpPr txBox="1"/>
      </xdr:nvSpPr>
      <xdr:spPr>
        <a:xfrm>
          <a:off x="3223895" y="1445514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500FB25-994A-440D-9E07-76B8F9AA3C59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1927352</xdr:rowOff>
    </xdr:from>
    <xdr:to>
      <xdr:col>5</xdr:col>
      <xdr:colOff>594995</xdr:colOff>
      <xdr:row>0</xdr:row>
      <xdr:rowOff>2308352</xdr:rowOff>
    </xdr:to>
    <xdr:sp macro="" textlink="印字値!$C$7">
      <xdr:nvSpPr>
        <xdr:cNvPr id="8" name="付表03">
          <a:extLst>
            <a:ext uri="{FF2B5EF4-FFF2-40B4-BE49-F238E27FC236}">
              <a16:creationId xmlns:a16="http://schemas.microsoft.com/office/drawing/2014/main" id="{639AAACE-D18B-EDCE-817D-EDE7119F3064}"/>
            </a:ext>
          </a:extLst>
        </xdr:cNvPr>
        <xdr:cNvSpPr txBox="1"/>
      </xdr:nvSpPr>
      <xdr:spPr>
        <a:xfrm>
          <a:off x="3223895" y="1927352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CF7184C-FD47-4F67-85BD-3D1C2406B13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2408936</xdr:rowOff>
    </xdr:from>
    <xdr:to>
      <xdr:col>5</xdr:col>
      <xdr:colOff>594995</xdr:colOff>
      <xdr:row>0</xdr:row>
      <xdr:rowOff>2789936</xdr:rowOff>
    </xdr:to>
    <xdr:sp macro="" textlink="印字値!$C$8">
      <xdr:nvSpPr>
        <xdr:cNvPr id="9" name="付表04">
          <a:extLst>
            <a:ext uri="{FF2B5EF4-FFF2-40B4-BE49-F238E27FC236}">
              <a16:creationId xmlns:a16="http://schemas.microsoft.com/office/drawing/2014/main" id="{019FBD8B-152C-C100-B145-F233C0F6AA00}"/>
            </a:ext>
          </a:extLst>
        </xdr:cNvPr>
        <xdr:cNvSpPr txBox="1"/>
      </xdr:nvSpPr>
      <xdr:spPr>
        <a:xfrm>
          <a:off x="3223895" y="2408936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3815AF6-0454-425C-BDEC-BFE0ED8652D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2890520</xdr:rowOff>
    </xdr:from>
    <xdr:to>
      <xdr:col>5</xdr:col>
      <xdr:colOff>594995</xdr:colOff>
      <xdr:row>0</xdr:row>
      <xdr:rowOff>3271520</xdr:rowOff>
    </xdr:to>
    <xdr:sp macro="" textlink="印字値!$C$9">
      <xdr:nvSpPr>
        <xdr:cNvPr id="10" name="付表05">
          <a:extLst>
            <a:ext uri="{FF2B5EF4-FFF2-40B4-BE49-F238E27FC236}">
              <a16:creationId xmlns:a16="http://schemas.microsoft.com/office/drawing/2014/main" id="{5A2B3A3A-EE03-1ADC-BD76-327F01C6411A}"/>
            </a:ext>
          </a:extLst>
        </xdr:cNvPr>
        <xdr:cNvSpPr txBox="1"/>
      </xdr:nvSpPr>
      <xdr:spPr>
        <a:xfrm>
          <a:off x="3223895" y="2890520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12A5A64-B9C2-44F7-9882-A6FFEE2B82E6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3372104</xdr:rowOff>
    </xdr:from>
    <xdr:to>
      <xdr:col>5</xdr:col>
      <xdr:colOff>594995</xdr:colOff>
      <xdr:row>1</xdr:row>
      <xdr:rowOff>194564</xdr:rowOff>
    </xdr:to>
    <xdr:sp macro="" textlink="印字値!$C$10">
      <xdr:nvSpPr>
        <xdr:cNvPr id="11" name="付表06">
          <a:extLst>
            <a:ext uri="{FF2B5EF4-FFF2-40B4-BE49-F238E27FC236}">
              <a16:creationId xmlns:a16="http://schemas.microsoft.com/office/drawing/2014/main" id="{ADAF813A-6584-D1C3-6EEC-1473B161A434}"/>
            </a:ext>
          </a:extLst>
        </xdr:cNvPr>
        <xdr:cNvSpPr txBox="1"/>
      </xdr:nvSpPr>
      <xdr:spPr>
        <a:xfrm>
          <a:off x="3223895" y="3372104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8201600-EBD7-4DCD-AE61-745E7EE055D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295529</xdr:rowOff>
    </xdr:from>
    <xdr:to>
      <xdr:col>5</xdr:col>
      <xdr:colOff>594995</xdr:colOff>
      <xdr:row>1</xdr:row>
      <xdr:rowOff>676529</xdr:rowOff>
    </xdr:to>
    <xdr:sp macro="" textlink="印字値!$C$11">
      <xdr:nvSpPr>
        <xdr:cNvPr id="12" name="付表07">
          <a:extLst>
            <a:ext uri="{FF2B5EF4-FFF2-40B4-BE49-F238E27FC236}">
              <a16:creationId xmlns:a16="http://schemas.microsoft.com/office/drawing/2014/main" id="{6086EAF9-737F-BCE9-5A69-32694FCC2EDA}"/>
            </a:ext>
          </a:extLst>
        </xdr:cNvPr>
        <xdr:cNvSpPr txBox="1"/>
      </xdr:nvSpPr>
      <xdr:spPr>
        <a:xfrm>
          <a:off x="3223895" y="3854069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33AB034-111B-4095-99D6-5D9ACCF0FFC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777113</xdr:rowOff>
    </xdr:from>
    <xdr:to>
      <xdr:col>5</xdr:col>
      <xdr:colOff>594995</xdr:colOff>
      <xdr:row>1</xdr:row>
      <xdr:rowOff>1158113</xdr:rowOff>
    </xdr:to>
    <xdr:sp macro="" textlink="印字値!$C$12">
      <xdr:nvSpPr>
        <xdr:cNvPr id="13" name="付表08">
          <a:extLst>
            <a:ext uri="{FF2B5EF4-FFF2-40B4-BE49-F238E27FC236}">
              <a16:creationId xmlns:a16="http://schemas.microsoft.com/office/drawing/2014/main" id="{824C359C-4E41-0CE5-58C6-DC9D6EE6D3B2}"/>
            </a:ext>
          </a:extLst>
        </xdr:cNvPr>
        <xdr:cNvSpPr txBox="1"/>
      </xdr:nvSpPr>
      <xdr:spPr>
        <a:xfrm>
          <a:off x="3223895" y="4335653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00AFCA7-5DC0-41D4-B9D9-81608A824412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1258697</xdr:rowOff>
    </xdr:from>
    <xdr:to>
      <xdr:col>5</xdr:col>
      <xdr:colOff>594995</xdr:colOff>
      <xdr:row>1</xdr:row>
      <xdr:rowOff>1639697</xdr:rowOff>
    </xdr:to>
    <xdr:sp macro="" textlink="印字値!$C$13">
      <xdr:nvSpPr>
        <xdr:cNvPr id="14" name="付表09">
          <a:extLst>
            <a:ext uri="{FF2B5EF4-FFF2-40B4-BE49-F238E27FC236}">
              <a16:creationId xmlns:a16="http://schemas.microsoft.com/office/drawing/2014/main" id="{FA164104-45BF-86D7-65EC-C8994029D275}"/>
            </a:ext>
          </a:extLst>
        </xdr:cNvPr>
        <xdr:cNvSpPr txBox="1"/>
      </xdr:nvSpPr>
      <xdr:spPr>
        <a:xfrm>
          <a:off x="3223895" y="4817237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6944F86-EF91-4B24-8819-1FB5261EB32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1740281</xdr:rowOff>
    </xdr:from>
    <xdr:to>
      <xdr:col>5</xdr:col>
      <xdr:colOff>594995</xdr:colOff>
      <xdr:row>1</xdr:row>
      <xdr:rowOff>2121281</xdr:rowOff>
    </xdr:to>
    <xdr:sp macro="" textlink="印字値!$C$14">
      <xdr:nvSpPr>
        <xdr:cNvPr id="15" name="付表10">
          <a:extLst>
            <a:ext uri="{FF2B5EF4-FFF2-40B4-BE49-F238E27FC236}">
              <a16:creationId xmlns:a16="http://schemas.microsoft.com/office/drawing/2014/main" id="{2CA3731F-74C9-5728-38C4-4A55FCC26F98}"/>
            </a:ext>
          </a:extLst>
        </xdr:cNvPr>
        <xdr:cNvSpPr txBox="1"/>
      </xdr:nvSpPr>
      <xdr:spPr>
        <a:xfrm>
          <a:off x="3223895" y="5298821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B384B96-EC6B-4365-8CD1-CF0FB63BD60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2222119</xdr:rowOff>
    </xdr:from>
    <xdr:to>
      <xdr:col>5</xdr:col>
      <xdr:colOff>594995</xdr:colOff>
      <xdr:row>1</xdr:row>
      <xdr:rowOff>2603119</xdr:rowOff>
    </xdr:to>
    <xdr:sp macro="" textlink="印字値!$C$15">
      <xdr:nvSpPr>
        <xdr:cNvPr id="16" name="付表11">
          <a:extLst>
            <a:ext uri="{FF2B5EF4-FFF2-40B4-BE49-F238E27FC236}">
              <a16:creationId xmlns:a16="http://schemas.microsoft.com/office/drawing/2014/main" id="{587FBB6D-3A34-2063-9147-AFAF3BAB6253}"/>
            </a:ext>
          </a:extLst>
        </xdr:cNvPr>
        <xdr:cNvSpPr txBox="1"/>
      </xdr:nvSpPr>
      <xdr:spPr>
        <a:xfrm>
          <a:off x="3223895" y="5780659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B8B220D-A4A8-4694-B538-568AD877DC1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2703703</xdr:rowOff>
    </xdr:from>
    <xdr:to>
      <xdr:col>5</xdr:col>
      <xdr:colOff>594995</xdr:colOff>
      <xdr:row>1</xdr:row>
      <xdr:rowOff>3084703</xdr:rowOff>
    </xdr:to>
    <xdr:sp macro="" textlink="印字値!$C$16">
      <xdr:nvSpPr>
        <xdr:cNvPr id="17" name="付表12">
          <a:extLst>
            <a:ext uri="{FF2B5EF4-FFF2-40B4-BE49-F238E27FC236}">
              <a16:creationId xmlns:a16="http://schemas.microsoft.com/office/drawing/2014/main" id="{F5E66AE0-8BA4-F293-F0EB-107CBB1E1DB5}"/>
            </a:ext>
          </a:extLst>
        </xdr:cNvPr>
        <xdr:cNvSpPr txBox="1"/>
      </xdr:nvSpPr>
      <xdr:spPr>
        <a:xfrm>
          <a:off x="3223895" y="6262243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2ED8A19-D147-435E-8A24-254652E3C7F9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3185287</xdr:rowOff>
    </xdr:from>
    <xdr:to>
      <xdr:col>5</xdr:col>
      <xdr:colOff>594995</xdr:colOff>
      <xdr:row>2</xdr:row>
      <xdr:rowOff>7747</xdr:rowOff>
    </xdr:to>
    <xdr:sp macro="" textlink="印字値!$C$17">
      <xdr:nvSpPr>
        <xdr:cNvPr id="18" name="付表13">
          <a:extLst>
            <a:ext uri="{FF2B5EF4-FFF2-40B4-BE49-F238E27FC236}">
              <a16:creationId xmlns:a16="http://schemas.microsoft.com/office/drawing/2014/main" id="{3D63A421-5C44-CD29-A696-07F7D2A3237B}"/>
            </a:ext>
          </a:extLst>
        </xdr:cNvPr>
        <xdr:cNvSpPr txBox="1"/>
      </xdr:nvSpPr>
      <xdr:spPr>
        <a:xfrm>
          <a:off x="3223895" y="6743827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69DF2F9-7152-4F77-A199-0611B8ECCF30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2</xdr:row>
      <xdr:rowOff>108331</xdr:rowOff>
    </xdr:from>
    <xdr:to>
      <xdr:col>5</xdr:col>
      <xdr:colOff>594995</xdr:colOff>
      <xdr:row>2</xdr:row>
      <xdr:rowOff>489331</xdr:rowOff>
    </xdr:to>
    <xdr:sp macro="" textlink="印字値!$C$18">
      <xdr:nvSpPr>
        <xdr:cNvPr id="19" name="付表14">
          <a:extLst>
            <a:ext uri="{FF2B5EF4-FFF2-40B4-BE49-F238E27FC236}">
              <a16:creationId xmlns:a16="http://schemas.microsoft.com/office/drawing/2014/main" id="{0E619E50-D2C8-94CE-86EE-0263C6444553}"/>
            </a:ext>
          </a:extLst>
        </xdr:cNvPr>
        <xdr:cNvSpPr txBox="1"/>
      </xdr:nvSpPr>
      <xdr:spPr>
        <a:xfrm>
          <a:off x="3223895" y="7225411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C2D1C0C-D6EB-4C23-98FE-F936C0ACCD39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2</xdr:row>
      <xdr:rowOff>590296</xdr:rowOff>
    </xdr:from>
    <xdr:to>
      <xdr:col>5</xdr:col>
      <xdr:colOff>594995</xdr:colOff>
      <xdr:row>2</xdr:row>
      <xdr:rowOff>971296</xdr:rowOff>
    </xdr:to>
    <xdr:sp macro="" textlink="印字値!$C$19">
      <xdr:nvSpPr>
        <xdr:cNvPr id="20" name="付表15">
          <a:extLst>
            <a:ext uri="{FF2B5EF4-FFF2-40B4-BE49-F238E27FC236}">
              <a16:creationId xmlns:a16="http://schemas.microsoft.com/office/drawing/2014/main" id="{0093C98C-3D73-C7EB-D07C-49FE4EC1C729}"/>
            </a:ext>
          </a:extLst>
        </xdr:cNvPr>
        <xdr:cNvSpPr txBox="1"/>
      </xdr:nvSpPr>
      <xdr:spPr>
        <a:xfrm>
          <a:off x="3223895" y="7707376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4E094FD-060E-4409-A087-B793673B132A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2</xdr:row>
      <xdr:rowOff>1071880</xdr:rowOff>
    </xdr:from>
    <xdr:to>
      <xdr:col>5</xdr:col>
      <xdr:colOff>594995</xdr:colOff>
      <xdr:row>2</xdr:row>
      <xdr:rowOff>1440180</xdr:rowOff>
    </xdr:to>
    <xdr:sp macro="" textlink="印字値!$C$20">
      <xdr:nvSpPr>
        <xdr:cNvPr id="21" name="付表16">
          <a:extLst>
            <a:ext uri="{FF2B5EF4-FFF2-40B4-BE49-F238E27FC236}">
              <a16:creationId xmlns:a16="http://schemas.microsoft.com/office/drawing/2014/main" id="{7091DED3-C0F0-1053-B5C1-39CDCC576D18}"/>
            </a:ext>
          </a:extLst>
        </xdr:cNvPr>
        <xdr:cNvSpPr txBox="1"/>
      </xdr:nvSpPr>
      <xdr:spPr>
        <a:xfrm>
          <a:off x="3223895" y="8188960"/>
          <a:ext cx="5334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4B9E9B6-CD64-461F-87F3-A82A2A6D27B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955421</xdr:rowOff>
    </xdr:from>
    <xdr:to>
      <xdr:col>10</xdr:col>
      <xdr:colOff>425958</xdr:colOff>
      <xdr:row>0</xdr:row>
      <xdr:rowOff>1336421</xdr:rowOff>
    </xdr:to>
    <xdr:sp macro="" textlink="印字値!$C$21">
      <xdr:nvSpPr>
        <xdr:cNvPr id="22" name="付表17">
          <a:extLst>
            <a:ext uri="{FF2B5EF4-FFF2-40B4-BE49-F238E27FC236}">
              <a16:creationId xmlns:a16="http://schemas.microsoft.com/office/drawing/2014/main" id="{6BBB0FF8-FC2C-2B90-7BF0-CE4697A5BAA6}"/>
            </a:ext>
          </a:extLst>
        </xdr:cNvPr>
        <xdr:cNvSpPr txBox="1"/>
      </xdr:nvSpPr>
      <xdr:spPr>
        <a:xfrm>
          <a:off x="6229858" y="955421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EDD1299-0203-412D-9AA7-F1B144CA4E5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1445514</xdr:rowOff>
    </xdr:from>
    <xdr:to>
      <xdr:col>10</xdr:col>
      <xdr:colOff>425958</xdr:colOff>
      <xdr:row>0</xdr:row>
      <xdr:rowOff>1826514</xdr:rowOff>
    </xdr:to>
    <xdr:sp macro="" textlink="印字値!$C$22">
      <xdr:nvSpPr>
        <xdr:cNvPr id="23" name="付表18">
          <a:extLst>
            <a:ext uri="{FF2B5EF4-FFF2-40B4-BE49-F238E27FC236}">
              <a16:creationId xmlns:a16="http://schemas.microsoft.com/office/drawing/2014/main" id="{B93FC91C-CA43-17FE-3380-199C17FE9A7E}"/>
            </a:ext>
          </a:extLst>
        </xdr:cNvPr>
        <xdr:cNvSpPr txBox="1"/>
      </xdr:nvSpPr>
      <xdr:spPr>
        <a:xfrm>
          <a:off x="6229858" y="1445514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95A7872-87BC-4828-8F74-09780BE66A9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1927352</xdr:rowOff>
    </xdr:from>
    <xdr:to>
      <xdr:col>10</xdr:col>
      <xdr:colOff>425958</xdr:colOff>
      <xdr:row>0</xdr:row>
      <xdr:rowOff>2308352</xdr:rowOff>
    </xdr:to>
    <xdr:sp macro="" textlink="印字値!$C$23">
      <xdr:nvSpPr>
        <xdr:cNvPr id="24" name="付表19">
          <a:extLst>
            <a:ext uri="{FF2B5EF4-FFF2-40B4-BE49-F238E27FC236}">
              <a16:creationId xmlns:a16="http://schemas.microsoft.com/office/drawing/2014/main" id="{C04A5708-5BFA-E5A6-3D94-994BC30DE9A3}"/>
            </a:ext>
          </a:extLst>
        </xdr:cNvPr>
        <xdr:cNvSpPr txBox="1"/>
      </xdr:nvSpPr>
      <xdr:spPr>
        <a:xfrm>
          <a:off x="6229858" y="1927352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D78CCBC-809C-427E-B8A1-64D0529C20D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2408936</xdr:rowOff>
    </xdr:from>
    <xdr:to>
      <xdr:col>10</xdr:col>
      <xdr:colOff>425958</xdr:colOff>
      <xdr:row>0</xdr:row>
      <xdr:rowOff>2789936</xdr:rowOff>
    </xdr:to>
    <xdr:sp macro="" textlink="印字値!$C$24">
      <xdr:nvSpPr>
        <xdr:cNvPr id="25" name="付表20">
          <a:extLst>
            <a:ext uri="{FF2B5EF4-FFF2-40B4-BE49-F238E27FC236}">
              <a16:creationId xmlns:a16="http://schemas.microsoft.com/office/drawing/2014/main" id="{7B3FCFE4-8500-199A-53B4-BDD29D2C074D}"/>
            </a:ext>
          </a:extLst>
        </xdr:cNvPr>
        <xdr:cNvSpPr txBox="1"/>
      </xdr:nvSpPr>
      <xdr:spPr>
        <a:xfrm>
          <a:off x="6229858" y="2408936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665EE78-79D2-4BC3-89C9-15A26603CC6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2890520</xdr:rowOff>
    </xdr:from>
    <xdr:to>
      <xdr:col>10</xdr:col>
      <xdr:colOff>425958</xdr:colOff>
      <xdr:row>0</xdr:row>
      <xdr:rowOff>3271520</xdr:rowOff>
    </xdr:to>
    <xdr:sp macro="" textlink="印字値!$C$25">
      <xdr:nvSpPr>
        <xdr:cNvPr id="26" name="付表21">
          <a:extLst>
            <a:ext uri="{FF2B5EF4-FFF2-40B4-BE49-F238E27FC236}">
              <a16:creationId xmlns:a16="http://schemas.microsoft.com/office/drawing/2014/main" id="{E55ECE3E-CA23-523F-8C81-F3170456D5E1}"/>
            </a:ext>
          </a:extLst>
        </xdr:cNvPr>
        <xdr:cNvSpPr txBox="1"/>
      </xdr:nvSpPr>
      <xdr:spPr>
        <a:xfrm>
          <a:off x="6229858" y="2890520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A0EBBF4-D091-489F-B2DF-D7BDA360FD57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3372104</xdr:rowOff>
    </xdr:from>
    <xdr:to>
      <xdr:col>10</xdr:col>
      <xdr:colOff>425958</xdr:colOff>
      <xdr:row>1</xdr:row>
      <xdr:rowOff>194564</xdr:rowOff>
    </xdr:to>
    <xdr:sp macro="" textlink="印字値!$C$26">
      <xdr:nvSpPr>
        <xdr:cNvPr id="27" name="付表22">
          <a:extLst>
            <a:ext uri="{FF2B5EF4-FFF2-40B4-BE49-F238E27FC236}">
              <a16:creationId xmlns:a16="http://schemas.microsoft.com/office/drawing/2014/main" id="{728A5DF3-E620-06F7-8672-8A1E7EDB21E8}"/>
            </a:ext>
          </a:extLst>
        </xdr:cNvPr>
        <xdr:cNvSpPr txBox="1"/>
      </xdr:nvSpPr>
      <xdr:spPr>
        <a:xfrm>
          <a:off x="6229858" y="3372104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A2E3D06-57AA-43F5-A4A0-456F791ABF2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295529</xdr:rowOff>
    </xdr:from>
    <xdr:to>
      <xdr:col>10</xdr:col>
      <xdr:colOff>425958</xdr:colOff>
      <xdr:row>1</xdr:row>
      <xdr:rowOff>676529</xdr:rowOff>
    </xdr:to>
    <xdr:sp macro="" textlink="印字値!$C$27">
      <xdr:nvSpPr>
        <xdr:cNvPr id="28" name="付表23">
          <a:extLst>
            <a:ext uri="{FF2B5EF4-FFF2-40B4-BE49-F238E27FC236}">
              <a16:creationId xmlns:a16="http://schemas.microsoft.com/office/drawing/2014/main" id="{C5852E36-6C06-5832-8539-767F5ACFC095}"/>
            </a:ext>
          </a:extLst>
        </xdr:cNvPr>
        <xdr:cNvSpPr txBox="1"/>
      </xdr:nvSpPr>
      <xdr:spPr>
        <a:xfrm>
          <a:off x="6229858" y="3854069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2414506-24DC-40E7-B447-DA7DE2D4931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777113</xdr:rowOff>
    </xdr:from>
    <xdr:to>
      <xdr:col>10</xdr:col>
      <xdr:colOff>425958</xdr:colOff>
      <xdr:row>1</xdr:row>
      <xdr:rowOff>1158113</xdr:rowOff>
    </xdr:to>
    <xdr:sp macro="" textlink="印字値!$C$28">
      <xdr:nvSpPr>
        <xdr:cNvPr id="29" name="付表24">
          <a:extLst>
            <a:ext uri="{FF2B5EF4-FFF2-40B4-BE49-F238E27FC236}">
              <a16:creationId xmlns:a16="http://schemas.microsoft.com/office/drawing/2014/main" id="{C19AC470-9B08-778D-F2D6-88C119AD42BE}"/>
            </a:ext>
          </a:extLst>
        </xdr:cNvPr>
        <xdr:cNvSpPr txBox="1"/>
      </xdr:nvSpPr>
      <xdr:spPr>
        <a:xfrm>
          <a:off x="6229858" y="4335653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45042F1-465C-42AD-B1FE-E90E2D88761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1258697</xdr:rowOff>
    </xdr:from>
    <xdr:to>
      <xdr:col>10</xdr:col>
      <xdr:colOff>425958</xdr:colOff>
      <xdr:row>1</xdr:row>
      <xdr:rowOff>1639697</xdr:rowOff>
    </xdr:to>
    <xdr:sp macro="" textlink="印字値!$C$29">
      <xdr:nvSpPr>
        <xdr:cNvPr id="30" name="付表25">
          <a:extLst>
            <a:ext uri="{FF2B5EF4-FFF2-40B4-BE49-F238E27FC236}">
              <a16:creationId xmlns:a16="http://schemas.microsoft.com/office/drawing/2014/main" id="{2081483A-EAF3-7202-DD02-539A9AD2ED65}"/>
            </a:ext>
          </a:extLst>
        </xdr:cNvPr>
        <xdr:cNvSpPr txBox="1"/>
      </xdr:nvSpPr>
      <xdr:spPr>
        <a:xfrm>
          <a:off x="6229858" y="4817237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95629EE-35AB-4AD3-A79B-38A6ED5FAE05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1740281</xdr:rowOff>
    </xdr:from>
    <xdr:to>
      <xdr:col>10</xdr:col>
      <xdr:colOff>425958</xdr:colOff>
      <xdr:row>1</xdr:row>
      <xdr:rowOff>2121281</xdr:rowOff>
    </xdr:to>
    <xdr:sp macro="" textlink="印字値!$C$30">
      <xdr:nvSpPr>
        <xdr:cNvPr id="31" name="付表26">
          <a:extLst>
            <a:ext uri="{FF2B5EF4-FFF2-40B4-BE49-F238E27FC236}">
              <a16:creationId xmlns:a16="http://schemas.microsoft.com/office/drawing/2014/main" id="{BC70060A-1CA0-2B22-E042-A2B1B7E6DCFF}"/>
            </a:ext>
          </a:extLst>
        </xdr:cNvPr>
        <xdr:cNvSpPr txBox="1"/>
      </xdr:nvSpPr>
      <xdr:spPr>
        <a:xfrm>
          <a:off x="6229858" y="5298821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824A379-9FED-4D8A-A5D7-D889B602B406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2222119</xdr:rowOff>
    </xdr:from>
    <xdr:to>
      <xdr:col>10</xdr:col>
      <xdr:colOff>425958</xdr:colOff>
      <xdr:row>1</xdr:row>
      <xdr:rowOff>2603119</xdr:rowOff>
    </xdr:to>
    <xdr:sp macro="" textlink="印字値!$C$31">
      <xdr:nvSpPr>
        <xdr:cNvPr id="32" name="付表27">
          <a:extLst>
            <a:ext uri="{FF2B5EF4-FFF2-40B4-BE49-F238E27FC236}">
              <a16:creationId xmlns:a16="http://schemas.microsoft.com/office/drawing/2014/main" id="{2A6C81E6-3E06-7E29-B850-4C954BB53EE8}"/>
            </a:ext>
          </a:extLst>
        </xdr:cNvPr>
        <xdr:cNvSpPr txBox="1"/>
      </xdr:nvSpPr>
      <xdr:spPr>
        <a:xfrm>
          <a:off x="6229858" y="5780659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20A8AA6-AF09-48C9-B412-28B42EB01EE2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2703703</xdr:rowOff>
    </xdr:from>
    <xdr:to>
      <xdr:col>10</xdr:col>
      <xdr:colOff>425958</xdr:colOff>
      <xdr:row>1</xdr:row>
      <xdr:rowOff>3084703</xdr:rowOff>
    </xdr:to>
    <xdr:sp macro="" textlink="印字値!$C$32">
      <xdr:nvSpPr>
        <xdr:cNvPr id="33" name="付表28">
          <a:extLst>
            <a:ext uri="{FF2B5EF4-FFF2-40B4-BE49-F238E27FC236}">
              <a16:creationId xmlns:a16="http://schemas.microsoft.com/office/drawing/2014/main" id="{6970B828-88A5-B39E-332F-D4C8FB651AA4}"/>
            </a:ext>
          </a:extLst>
        </xdr:cNvPr>
        <xdr:cNvSpPr txBox="1"/>
      </xdr:nvSpPr>
      <xdr:spPr>
        <a:xfrm>
          <a:off x="6229858" y="6262243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877A8A1-82DD-4489-8462-C33FEFB64347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3185287</xdr:rowOff>
    </xdr:from>
    <xdr:to>
      <xdr:col>10</xdr:col>
      <xdr:colOff>425958</xdr:colOff>
      <xdr:row>2</xdr:row>
      <xdr:rowOff>7747</xdr:rowOff>
    </xdr:to>
    <xdr:sp macro="" textlink="印字値!$C$33">
      <xdr:nvSpPr>
        <xdr:cNvPr id="34" name="付表29">
          <a:extLst>
            <a:ext uri="{FF2B5EF4-FFF2-40B4-BE49-F238E27FC236}">
              <a16:creationId xmlns:a16="http://schemas.microsoft.com/office/drawing/2014/main" id="{2EA3D654-814B-AB68-3FF0-7C3C7B38886F}"/>
            </a:ext>
          </a:extLst>
        </xdr:cNvPr>
        <xdr:cNvSpPr txBox="1"/>
      </xdr:nvSpPr>
      <xdr:spPr>
        <a:xfrm>
          <a:off x="6229858" y="6743827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9870FEC-5292-4D0D-A600-5352A1AB715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2</xdr:row>
      <xdr:rowOff>108331</xdr:rowOff>
    </xdr:from>
    <xdr:to>
      <xdr:col>10</xdr:col>
      <xdr:colOff>425958</xdr:colOff>
      <xdr:row>2</xdr:row>
      <xdr:rowOff>489331</xdr:rowOff>
    </xdr:to>
    <xdr:sp macro="" textlink="印字値!$C$34">
      <xdr:nvSpPr>
        <xdr:cNvPr id="35" name="付表30">
          <a:extLst>
            <a:ext uri="{FF2B5EF4-FFF2-40B4-BE49-F238E27FC236}">
              <a16:creationId xmlns:a16="http://schemas.microsoft.com/office/drawing/2014/main" id="{5FFC195C-EB20-2697-7970-0978FDBCE465}"/>
            </a:ext>
          </a:extLst>
        </xdr:cNvPr>
        <xdr:cNvSpPr txBox="1"/>
      </xdr:nvSpPr>
      <xdr:spPr>
        <a:xfrm>
          <a:off x="6229858" y="7225411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5BD3337-0F88-4B2B-B2E7-849A57FD6AA6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2</xdr:row>
      <xdr:rowOff>590296</xdr:rowOff>
    </xdr:from>
    <xdr:to>
      <xdr:col>10</xdr:col>
      <xdr:colOff>425958</xdr:colOff>
      <xdr:row>2</xdr:row>
      <xdr:rowOff>971296</xdr:rowOff>
    </xdr:to>
    <xdr:sp macro="" textlink="印字値!$C$35">
      <xdr:nvSpPr>
        <xdr:cNvPr id="36" name="付表31">
          <a:extLst>
            <a:ext uri="{FF2B5EF4-FFF2-40B4-BE49-F238E27FC236}">
              <a16:creationId xmlns:a16="http://schemas.microsoft.com/office/drawing/2014/main" id="{ABC88F18-2579-84F0-943A-445E496F28C6}"/>
            </a:ext>
          </a:extLst>
        </xdr:cNvPr>
        <xdr:cNvSpPr txBox="1"/>
      </xdr:nvSpPr>
      <xdr:spPr>
        <a:xfrm>
          <a:off x="6229858" y="7707376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6EB7C11-1F05-4289-8F1D-7D6E391B7D0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2</xdr:row>
      <xdr:rowOff>1071880</xdr:rowOff>
    </xdr:from>
    <xdr:to>
      <xdr:col>10</xdr:col>
      <xdr:colOff>425958</xdr:colOff>
      <xdr:row>2</xdr:row>
      <xdr:rowOff>1440180</xdr:rowOff>
    </xdr:to>
    <xdr:sp macro="" textlink="印字値!$C$36">
      <xdr:nvSpPr>
        <xdr:cNvPr id="37" name="付表32">
          <a:extLst>
            <a:ext uri="{FF2B5EF4-FFF2-40B4-BE49-F238E27FC236}">
              <a16:creationId xmlns:a16="http://schemas.microsoft.com/office/drawing/2014/main" id="{891458E0-BED2-56BB-5873-F1393B691CEE}"/>
            </a:ext>
          </a:extLst>
        </xdr:cNvPr>
        <xdr:cNvSpPr txBox="1"/>
      </xdr:nvSpPr>
      <xdr:spPr>
        <a:xfrm>
          <a:off x="6229858" y="8188960"/>
          <a:ext cx="520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5DC75E0-01A7-474A-BE7D-BCEC7BD4F3C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aws.e-gov.go.jp/law/337AC0000000066" TargetMode="External"/><Relationship Id="rId3" Type="http://schemas.openxmlformats.org/officeDocument/2006/relationships/hyperlink" Target="https://www.nta.go.jp/taxes/tetsuzuki/shinsei/annai/hojin/shinkoku/itiran2021/pdf/03%2801%29-ki.pdf" TargetMode="External"/><Relationship Id="rId7" Type="http://schemas.openxmlformats.org/officeDocument/2006/relationships/hyperlink" Target="https://laws.e-gov.go.jp/law/340AC0000000034" TargetMode="External"/><Relationship Id="rId2" Type="http://schemas.openxmlformats.org/officeDocument/2006/relationships/hyperlink" Target="https://www.nta.go.jp/taxes/tetsuzuki/shinsei/annai/hojin/shinkoku/itiran2021/pdf/03%2801%29.pdf" TargetMode="External"/><Relationship Id="rId1" Type="http://schemas.openxmlformats.org/officeDocument/2006/relationships/hyperlink" Target="https://www.nta.go.jp/taxes/tetsuzuki/shinsei/annai/hojin/shinkoku/itiran2021/01.htm" TargetMode="External"/><Relationship Id="rId6" Type="http://schemas.openxmlformats.org/officeDocument/2006/relationships/hyperlink" Target="https://www.nta.go.jp/law/tsutatsu/kihon/hojin/16/16_01_02.htm" TargetMode="External"/><Relationship Id="rId5" Type="http://schemas.openxmlformats.org/officeDocument/2006/relationships/hyperlink" Target="https://www.nta.go.jp/taxes/tetsuzuki/shinsei/annai/hojin/shinkoku/itiran2021/pdf/03%2801%29-f-ki.pdf" TargetMode="External"/><Relationship Id="rId4" Type="http://schemas.openxmlformats.org/officeDocument/2006/relationships/hyperlink" Target="https://www.nta.go.jp/taxes/tetsuzuki/shinsei/annai/hojin/shinkoku/itiran2021/pdf/03%2801%29-f.pdf" TargetMode="External"/><Relationship Id="rId9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61EC-1C43-40DB-AB8F-175708D4C787}">
  <sheetPr>
    <tabColor rgb="FF17365D"/>
    <pageSetUpPr fitToPage="1"/>
  </sheetPr>
  <dimension ref="A1:H40"/>
  <sheetViews>
    <sheetView showGridLines="0" tabSelected="1" zoomScale="90" zoomScaleNormal="90" workbookViewId="0">
      <selection sqref="A1:H1"/>
    </sheetView>
  </sheetViews>
  <sheetFormatPr defaultRowHeight="18"/>
  <cols>
    <col min="1" max="8" width="15.69921875" customWidth="1"/>
  </cols>
  <sheetData>
    <row r="1" spans="1:8" ht="28.8">
      <c r="A1" s="31" t="s">
        <v>287</v>
      </c>
      <c r="B1" s="3"/>
      <c r="C1" s="3"/>
      <c r="D1" s="3"/>
      <c r="E1" s="3"/>
      <c r="F1" s="3"/>
      <c r="G1" s="3"/>
      <c r="H1" s="3"/>
    </row>
    <row r="2" spans="1:8">
      <c r="A2" s="32" t="s">
        <v>288</v>
      </c>
      <c r="B2" s="3"/>
      <c r="C2" s="3"/>
      <c r="D2" s="3"/>
      <c r="E2" s="3"/>
      <c r="F2" s="3"/>
      <c r="G2" s="3"/>
      <c r="H2" s="3"/>
    </row>
    <row r="3" spans="1:8">
      <c r="A3" s="5"/>
      <c r="B3" s="5"/>
      <c r="C3" s="5"/>
      <c r="D3" s="5"/>
      <c r="E3" s="5"/>
      <c r="F3" s="5"/>
      <c r="G3" s="5"/>
      <c r="H3" s="5"/>
    </row>
    <row r="4" spans="1:8" ht="22.95" customHeight="1">
      <c r="A4" s="6" t="s">
        <v>289</v>
      </c>
      <c r="B4" s="6"/>
      <c r="C4" s="6"/>
      <c r="D4" s="6"/>
      <c r="E4" s="6"/>
      <c r="F4" s="6"/>
      <c r="G4" s="6"/>
      <c r="H4" s="6"/>
    </row>
    <row r="5" spans="1:8">
      <c r="A5" s="8" t="s">
        <v>290</v>
      </c>
      <c r="B5" s="8"/>
      <c r="C5" s="8"/>
      <c r="D5" s="8"/>
      <c r="E5" s="8"/>
      <c r="F5" s="33">
        <f>out_retained_tax</f>
        <v>0</v>
      </c>
      <c r="G5" s="34"/>
      <c r="H5" s="34"/>
    </row>
    <row r="6" spans="1:8">
      <c r="A6" s="8" t="s">
        <v>291</v>
      </c>
      <c r="B6" s="8"/>
      <c r="C6" s="8"/>
      <c r="D6" s="8"/>
      <c r="E6" s="8"/>
      <c r="F6" s="33">
        <f>out_taxable_retained</f>
        <v>0</v>
      </c>
      <c r="G6" s="34"/>
      <c r="H6" s="34"/>
    </row>
    <row r="7" spans="1:8">
      <c r="A7" s="8" t="s">
        <v>292</v>
      </c>
      <c r="B7" s="8"/>
      <c r="C7" s="8"/>
      <c r="D7" s="8"/>
      <c r="E7" s="8"/>
      <c r="F7" s="33">
        <f>out_retention_allowance</f>
        <v>20000000</v>
      </c>
      <c r="G7" s="34"/>
      <c r="H7" s="34"/>
    </row>
    <row r="8" spans="1:8">
      <c r="A8" s="8" t="s">
        <v>293</v>
      </c>
      <c r="B8" s="8"/>
      <c r="C8" s="8"/>
      <c r="D8" s="8"/>
      <c r="E8" s="8"/>
      <c r="F8" s="33">
        <f>out_municipal_tax</f>
        <v>0</v>
      </c>
      <c r="G8" s="34"/>
      <c r="H8" s="34"/>
    </row>
    <row r="9" spans="1:8">
      <c r="A9" s="5"/>
      <c r="B9" s="5"/>
      <c r="C9" s="5"/>
      <c r="D9" s="5"/>
      <c r="E9" s="5"/>
      <c r="F9" s="5"/>
      <c r="G9" s="5"/>
      <c r="H9" s="5"/>
    </row>
    <row r="10" spans="1:8" ht="22.95" customHeight="1">
      <c r="A10" s="6" t="s">
        <v>294</v>
      </c>
      <c r="B10" s="6"/>
      <c r="C10" s="6"/>
      <c r="D10" s="6"/>
      <c r="E10" s="6"/>
      <c r="F10" s="6"/>
      <c r="G10" s="6"/>
      <c r="H10" s="6"/>
    </row>
    <row r="11" spans="1:8">
      <c r="A11" s="8" t="s">
        <v>295</v>
      </c>
      <c r="B11" s="8"/>
      <c r="C11" s="8"/>
      <c r="D11" s="8"/>
      <c r="E11" s="8"/>
      <c r="F11" s="12" t="str">
        <f>IF(cfg_applicable,"OK","要確認：開始日・終了日がこの年度版の対象外")</f>
        <v>OK</v>
      </c>
      <c r="G11" s="12"/>
      <c r="H11" s="12"/>
    </row>
    <row r="12" spans="1:8">
      <c r="A12" s="8" t="s">
        <v>296</v>
      </c>
      <c r="B12" s="8"/>
      <c r="C12" s="8"/>
      <c r="D12" s="8"/>
      <c r="E12" s="8"/>
      <c r="F12" s="12" t="str">
        <f>IF(inp_special="はい","OK","対象外：別表二の判定を確認")</f>
        <v>OK</v>
      </c>
      <c r="G12" s="12"/>
      <c r="H12" s="12"/>
    </row>
    <row r="13" spans="1:8">
      <c r="A13" s="8" t="s">
        <v>297</v>
      </c>
      <c r="B13" s="8"/>
      <c r="C13" s="8"/>
      <c r="D13" s="8"/>
      <c r="E13" s="8"/>
      <c r="F13" s="12" t="str">
        <f>"この年度版には付表二なし"</f>
        <v>この年度版には付表二なし</v>
      </c>
      <c r="G13" s="12"/>
      <c r="H13" s="12"/>
    </row>
    <row r="14" spans="1:8">
      <c r="A14" s="8" t="s">
        <v>298</v>
      </c>
      <c r="B14" s="8"/>
      <c r="C14" s="8"/>
      <c r="D14" s="8"/>
      <c r="E14" s="8"/>
      <c r="F14" s="12" t="str">
        <f>IF(AND(inp_months&gt;=1,inp_months&lt;=12),"OK："&amp;inp_months&amp;"か月","要確認")</f>
        <v>OK：12か月</v>
      </c>
      <c r="G14" s="12"/>
      <c r="H14" s="12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 ht="22.95" customHeight="1">
      <c r="A16" s="35" t="s">
        <v>299</v>
      </c>
      <c r="B16" s="35"/>
      <c r="C16" s="35"/>
      <c r="D16" s="35"/>
      <c r="E16" s="35"/>
      <c r="F16" s="35"/>
      <c r="G16" s="35"/>
      <c r="H16" s="35"/>
    </row>
    <row r="17" spans="1:8" ht="28.05" customHeight="1">
      <c r="A17" s="36" t="s">
        <v>300</v>
      </c>
      <c r="B17" s="36"/>
      <c r="C17" s="36"/>
      <c r="D17" s="36"/>
      <c r="E17" s="36"/>
      <c r="F17" s="36"/>
      <c r="G17" s="36"/>
      <c r="H17" s="36"/>
    </row>
    <row r="18" spans="1:8" ht="28.05" customHeight="1">
      <c r="A18" s="36" t="s">
        <v>301</v>
      </c>
      <c r="B18" s="36"/>
      <c r="C18" s="36"/>
      <c r="D18" s="36"/>
      <c r="E18" s="36"/>
      <c r="F18" s="36"/>
      <c r="G18" s="36"/>
      <c r="H18" s="36"/>
    </row>
    <row r="19" spans="1:8" ht="28.05" customHeight="1">
      <c r="A19" s="36" t="s">
        <v>302</v>
      </c>
      <c r="B19" s="36"/>
      <c r="C19" s="36"/>
      <c r="D19" s="36"/>
      <c r="E19" s="36"/>
      <c r="F19" s="36"/>
      <c r="G19" s="36"/>
      <c r="H19" s="36"/>
    </row>
    <row r="20" spans="1:8" ht="28.05" customHeight="1">
      <c r="A20" s="36" t="s">
        <v>303</v>
      </c>
      <c r="B20" s="36"/>
      <c r="C20" s="36"/>
      <c r="D20" s="36"/>
      <c r="E20" s="36"/>
      <c r="F20" s="36"/>
      <c r="G20" s="36"/>
      <c r="H20" s="36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 ht="22.95" customHeight="1">
      <c r="A22" s="35" t="s">
        <v>304</v>
      </c>
      <c r="B22" s="35"/>
      <c r="C22" s="35"/>
      <c r="D22" s="35"/>
      <c r="E22" s="35"/>
      <c r="F22" s="35"/>
      <c r="G22" s="35"/>
      <c r="H22" s="35"/>
    </row>
    <row r="23" spans="1:8">
      <c r="A23" s="37" t="s">
        <v>305</v>
      </c>
      <c r="B23" s="37" t="s">
        <v>306</v>
      </c>
      <c r="C23" s="37" t="s">
        <v>307</v>
      </c>
      <c r="D23" s="5"/>
      <c r="E23" s="37" t="s">
        <v>308</v>
      </c>
      <c r="F23" s="37" t="s">
        <v>309</v>
      </c>
      <c r="G23" s="37" t="s">
        <v>310</v>
      </c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</sheetData>
  <sheetProtection sheet="1" objects="1" scenarios="1"/>
  <mergeCells count="26">
    <mergeCell ref="A16:H16"/>
    <mergeCell ref="A17:H17"/>
    <mergeCell ref="A18:H18"/>
    <mergeCell ref="A19:H19"/>
    <mergeCell ref="A20:H20"/>
    <mergeCell ref="A22:H22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2"/>
  <hyperlinks>
    <hyperlink ref="A23" location="'入力'!A1" display="入力" xr:uid="{61A9D45A-32C5-464F-8152-0322239ED830}"/>
    <hyperlink ref="B23" location="'別表三一_計算'!A1" display="主表計算" xr:uid="{E909D121-812C-4654-B1A1-384EAD995E9F}"/>
    <hyperlink ref="C23" location="'付表_計算'!A1" display="付表_計算" xr:uid="{FF3C4E7B-D8FE-49E7-8CAD-681600DBB0EB}"/>
    <hyperlink ref="E23" location="'別表三(一)'!A1" display="公式様式" xr:uid="{4B2962FD-23EB-47BE-87A6-D82F0A6CDDE2}"/>
    <hyperlink ref="F23" location="'検算'!A1" display="検算" xr:uid="{D7BDF852-C385-465C-9670-753D8FE1B705}"/>
    <hyperlink ref="G23" location="'根拠・出典'!A1" display="根拠・出典" xr:uid="{326D9A19-74E1-4C08-BC36-1848B4D62B7E}"/>
  </hyperlinks>
  <pageMargins left="0.7" right="0.7" top="0.75" bottom="0.75" header="0.3" footer="0.3"/>
  <pageSetup paperSize="9" fitToHeight="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6FF6-FB5D-48C4-B945-22E6C59A1C7F}">
  <sheetPr>
    <tabColor rgb="FFFFF2CC"/>
    <pageSetUpPr fitToPage="1"/>
  </sheetPr>
  <dimension ref="A1:H66"/>
  <sheetViews>
    <sheetView showGridLines="0" zoomScale="90" zoomScaleNormal="90" workbookViewId="0">
      <pane ySplit="13" topLeftCell="A14" activePane="bottomLeft" state="frozenSplit"/>
      <selection pane="bottomLeft" sqref="A1:H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  <col min="6" max="6" width="18.69921875" customWidth="1"/>
    <col min="7" max="7" width="14.69921875" customWidth="1"/>
    <col min="8" max="8" width="16.69921875" customWidth="1"/>
  </cols>
  <sheetData>
    <row r="1" spans="1:8" ht="26.4">
      <c r="A1" s="20" t="s">
        <v>0</v>
      </c>
      <c r="B1" s="21"/>
      <c r="C1" s="21"/>
      <c r="D1" s="21"/>
      <c r="E1" s="21"/>
      <c r="F1" s="21"/>
      <c r="G1" s="21"/>
      <c r="H1" s="21"/>
    </row>
    <row r="2" spans="1:8">
      <c r="A2" s="22" t="s">
        <v>1</v>
      </c>
      <c r="B2" s="21"/>
      <c r="C2" s="21"/>
      <c r="D2" s="21"/>
      <c r="E2" s="21"/>
      <c r="F2" s="21"/>
      <c r="G2" s="21"/>
      <c r="H2" s="21"/>
    </row>
    <row r="3" spans="1:8">
      <c r="A3" s="23"/>
      <c r="B3" s="23"/>
      <c r="C3" s="23"/>
      <c r="D3" s="23"/>
      <c r="E3" s="23"/>
      <c r="F3" s="23"/>
      <c r="G3" s="23"/>
      <c r="H3" s="23"/>
    </row>
    <row r="4" spans="1:8" ht="22.95" customHeight="1">
      <c r="A4" s="6" t="s">
        <v>9</v>
      </c>
      <c r="B4" s="6"/>
      <c r="C4" s="6"/>
      <c r="D4" s="6"/>
      <c r="E4" s="6"/>
      <c r="F4" s="7" t="s">
        <v>10</v>
      </c>
      <c r="G4" s="8"/>
      <c r="H4" s="8"/>
    </row>
    <row r="5" spans="1:8">
      <c r="A5" s="8" t="s">
        <v>2</v>
      </c>
      <c r="B5" s="8"/>
      <c r="C5" s="8"/>
      <c r="D5" s="46"/>
      <c r="E5" s="9"/>
      <c r="F5" s="8" t="s">
        <v>11</v>
      </c>
      <c r="G5" s="8"/>
      <c r="H5" s="10" t="b">
        <f>AND(inp_end&gt;=DATE(2021,4,1),inp_end&lt;DATE(2022,4,1))</f>
        <v>1</v>
      </c>
    </row>
    <row r="6" spans="1:8">
      <c r="A6" s="8" t="s">
        <v>3</v>
      </c>
      <c r="B6" s="8"/>
      <c r="C6" s="8"/>
      <c r="D6" s="47">
        <v>44287</v>
      </c>
      <c r="E6" s="9"/>
      <c r="F6" s="8" t="s">
        <v>12</v>
      </c>
      <c r="G6" s="8"/>
      <c r="H6" s="11">
        <f>10.4%</f>
        <v>0.10400000000000001</v>
      </c>
    </row>
    <row r="7" spans="1:8">
      <c r="A7" s="8" t="s">
        <v>4</v>
      </c>
      <c r="B7" s="8"/>
      <c r="C7" s="8"/>
      <c r="D7" s="47">
        <v>44651</v>
      </c>
      <c r="E7" s="9"/>
      <c r="F7" s="8" t="s">
        <v>13</v>
      </c>
      <c r="G7" s="8"/>
      <c r="H7" s="11">
        <f>40%</f>
        <v>0.4</v>
      </c>
    </row>
    <row r="8" spans="1:8">
      <c r="A8" s="8" t="s">
        <v>5</v>
      </c>
      <c r="B8" s="8"/>
      <c r="C8" s="8"/>
      <c r="D8" s="15">
        <f>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</f>
        <v>12</v>
      </c>
      <c r="E8" s="9"/>
      <c r="F8" s="12" t="s">
        <v>14</v>
      </c>
      <c r="G8" s="12"/>
      <c r="H8" s="12"/>
    </row>
    <row r="9" spans="1:8">
      <c r="A9" s="8" t="s">
        <v>6</v>
      </c>
      <c r="B9" s="8"/>
      <c r="C9" s="8"/>
      <c r="D9" s="46" t="s">
        <v>347</v>
      </c>
      <c r="E9" s="9"/>
      <c r="F9" s="12"/>
      <c r="G9" s="12"/>
      <c r="H9" s="12"/>
    </row>
    <row r="10" spans="1:8">
      <c r="A10" s="8" t="s">
        <v>7</v>
      </c>
      <c r="B10" s="8"/>
      <c r="C10" s="8"/>
      <c r="D10" s="46" t="s">
        <v>346</v>
      </c>
      <c r="E10" s="9"/>
      <c r="F10" s="12"/>
      <c r="G10" s="12"/>
      <c r="H10" s="12"/>
    </row>
    <row r="11" spans="1:8">
      <c r="A11" s="8" t="s">
        <v>8</v>
      </c>
      <c r="B11" s="8"/>
      <c r="C11" s="8"/>
      <c r="D11" s="46" t="s">
        <v>348</v>
      </c>
      <c r="E11" s="9"/>
      <c r="F11" s="23"/>
      <c r="G11" s="23"/>
      <c r="H11" s="23"/>
    </row>
    <row r="12" spans="1:8">
      <c r="A12" s="23"/>
      <c r="B12" s="23"/>
      <c r="C12" s="23"/>
      <c r="D12" s="16"/>
      <c r="E12" s="23"/>
      <c r="F12" s="23"/>
      <c r="G12" s="23"/>
      <c r="H12" s="23"/>
    </row>
    <row r="13" spans="1:8" ht="22.95" customHeight="1">
      <c r="A13" s="6" t="s">
        <v>15</v>
      </c>
      <c r="B13" s="6"/>
      <c r="C13" s="6"/>
      <c r="D13" s="17"/>
      <c r="E13" s="6"/>
      <c r="F13" s="23"/>
      <c r="G13" s="23"/>
      <c r="H13" s="23"/>
    </row>
    <row r="14" spans="1:8">
      <c r="A14" s="13" t="s">
        <v>16</v>
      </c>
      <c r="B14" s="13" t="s">
        <v>17</v>
      </c>
      <c r="C14" s="13" t="s">
        <v>18</v>
      </c>
      <c r="D14" s="18" t="s">
        <v>19</v>
      </c>
      <c r="E14" s="13" t="s">
        <v>20</v>
      </c>
      <c r="F14" s="23"/>
      <c r="G14" s="23"/>
      <c r="H14" s="23"/>
    </row>
    <row r="15" spans="1:8" ht="31.95" customHeight="1">
      <c r="A15" s="9" t="s">
        <v>21</v>
      </c>
      <c r="B15" s="14" t="s">
        <v>22</v>
      </c>
      <c r="C15" s="14" t="s">
        <v>23</v>
      </c>
      <c r="D15" s="45">
        <v>0</v>
      </c>
      <c r="E15" s="14" t="s">
        <v>24</v>
      </c>
      <c r="F15" s="23"/>
      <c r="G15" s="23"/>
      <c r="H15" s="23"/>
    </row>
    <row r="16" spans="1:8" ht="31.95" customHeight="1">
      <c r="A16" s="9" t="s">
        <v>25</v>
      </c>
      <c r="B16" s="14" t="s">
        <v>26</v>
      </c>
      <c r="C16" s="14" t="s">
        <v>27</v>
      </c>
      <c r="D16" s="45">
        <v>0</v>
      </c>
      <c r="E16" s="14" t="s">
        <v>28</v>
      </c>
      <c r="F16" s="23"/>
      <c r="G16" s="23"/>
      <c r="H16" s="23"/>
    </row>
    <row r="17" spans="1:8" ht="31.95" customHeight="1">
      <c r="A17" s="9" t="s">
        <v>29</v>
      </c>
      <c r="B17" s="14" t="s">
        <v>30</v>
      </c>
      <c r="C17" s="14" t="s">
        <v>31</v>
      </c>
      <c r="D17" s="45">
        <v>0</v>
      </c>
      <c r="E17" s="14" t="s">
        <v>32</v>
      </c>
      <c r="F17" s="23"/>
      <c r="G17" s="23"/>
      <c r="H17" s="23"/>
    </row>
    <row r="18" spans="1:8" ht="31.95" customHeight="1">
      <c r="A18" s="9" t="s">
        <v>33</v>
      </c>
      <c r="B18" s="14" t="s">
        <v>34</v>
      </c>
      <c r="C18" s="14" t="s">
        <v>35</v>
      </c>
      <c r="D18" s="45">
        <v>0</v>
      </c>
      <c r="E18" s="14"/>
      <c r="F18" s="23"/>
      <c r="G18" s="23"/>
      <c r="H18" s="23"/>
    </row>
    <row r="19" spans="1:8" ht="31.95" customHeight="1">
      <c r="A19" s="9" t="s">
        <v>36</v>
      </c>
      <c r="B19" s="14" t="s">
        <v>37</v>
      </c>
      <c r="C19" s="14" t="s">
        <v>38</v>
      </c>
      <c r="D19" s="45">
        <v>0</v>
      </c>
      <c r="E19" s="14"/>
      <c r="F19" s="23"/>
      <c r="G19" s="23"/>
      <c r="H19" s="23"/>
    </row>
    <row r="20" spans="1:8" ht="31.95" customHeight="1">
      <c r="A20" s="9" t="s">
        <v>39</v>
      </c>
      <c r="B20" s="14" t="s">
        <v>40</v>
      </c>
      <c r="C20" s="14" t="s">
        <v>41</v>
      </c>
      <c r="D20" s="45">
        <v>0</v>
      </c>
      <c r="E20" s="14"/>
      <c r="F20" s="23"/>
      <c r="G20" s="23"/>
      <c r="H20" s="23"/>
    </row>
    <row r="21" spans="1:8" ht="31.95" customHeight="1">
      <c r="A21" s="9" t="s">
        <v>42</v>
      </c>
      <c r="B21" s="14" t="s">
        <v>40</v>
      </c>
      <c r="C21" s="14" t="s">
        <v>43</v>
      </c>
      <c r="D21" s="45">
        <v>0</v>
      </c>
      <c r="E21" s="14"/>
      <c r="F21" s="23"/>
      <c r="G21" s="23"/>
      <c r="H21" s="23"/>
    </row>
    <row r="22" spans="1:8" ht="31.95" customHeight="1">
      <c r="A22" s="9" t="s">
        <v>44</v>
      </c>
      <c r="B22" s="14" t="s">
        <v>45</v>
      </c>
      <c r="C22" s="14" t="s">
        <v>46</v>
      </c>
      <c r="D22" s="45">
        <v>0</v>
      </c>
      <c r="E22" s="14"/>
      <c r="F22" s="23"/>
      <c r="G22" s="23"/>
      <c r="H22" s="23"/>
    </row>
    <row r="23" spans="1:8" ht="31.95" customHeight="1">
      <c r="A23" s="9" t="s">
        <v>47</v>
      </c>
      <c r="B23" s="14" t="s">
        <v>48</v>
      </c>
      <c r="C23" s="14" t="s">
        <v>49</v>
      </c>
      <c r="D23" s="45">
        <v>0</v>
      </c>
      <c r="E23" s="14"/>
      <c r="F23" s="23"/>
      <c r="G23" s="23"/>
      <c r="H23" s="23"/>
    </row>
    <row r="24" spans="1:8" ht="31.95" customHeight="1">
      <c r="A24" s="9" t="s">
        <v>50</v>
      </c>
      <c r="B24" s="14" t="s">
        <v>51</v>
      </c>
      <c r="C24" s="14" t="s">
        <v>52</v>
      </c>
      <c r="D24" s="45">
        <v>0</v>
      </c>
      <c r="E24" s="14"/>
      <c r="F24" s="23"/>
      <c r="G24" s="23"/>
      <c r="H24" s="23"/>
    </row>
    <row r="25" spans="1:8" ht="31.95" customHeight="1">
      <c r="A25" s="9" t="s">
        <v>53</v>
      </c>
      <c r="B25" s="14" t="s">
        <v>54</v>
      </c>
      <c r="C25" s="14" t="s">
        <v>55</v>
      </c>
      <c r="D25" s="45">
        <v>0</v>
      </c>
      <c r="E25" s="14"/>
      <c r="F25" s="23"/>
      <c r="G25" s="23"/>
      <c r="H25" s="23"/>
    </row>
    <row r="26" spans="1:8" ht="31.95" customHeight="1">
      <c r="A26" s="9" t="s">
        <v>56</v>
      </c>
      <c r="B26" s="14" t="s">
        <v>57</v>
      </c>
      <c r="C26" s="14" t="s">
        <v>58</v>
      </c>
      <c r="D26" s="45">
        <v>0</v>
      </c>
      <c r="E26" s="14"/>
      <c r="F26" s="23"/>
      <c r="G26" s="23"/>
      <c r="H26" s="23"/>
    </row>
    <row r="27" spans="1:8" ht="31.95" customHeight="1">
      <c r="A27" s="9" t="s">
        <v>59</v>
      </c>
      <c r="B27" s="14" t="s">
        <v>60</v>
      </c>
      <c r="C27" s="14" t="s">
        <v>61</v>
      </c>
      <c r="D27" s="45">
        <v>0</v>
      </c>
      <c r="E27" s="14"/>
      <c r="F27" s="23"/>
      <c r="G27" s="23"/>
      <c r="H27" s="23"/>
    </row>
    <row r="28" spans="1:8" ht="31.95" customHeight="1">
      <c r="A28" s="9" t="s">
        <v>62</v>
      </c>
      <c r="B28" s="14" t="s">
        <v>63</v>
      </c>
      <c r="C28" s="14" t="s">
        <v>64</v>
      </c>
      <c r="D28" s="45">
        <v>0</v>
      </c>
      <c r="E28" s="14"/>
      <c r="F28" s="23"/>
      <c r="G28" s="23"/>
      <c r="H28" s="23"/>
    </row>
    <row r="29" spans="1:8" ht="31.95" customHeight="1">
      <c r="A29" s="9" t="s">
        <v>65</v>
      </c>
      <c r="B29" s="14" t="s">
        <v>66</v>
      </c>
      <c r="C29" s="14" t="s">
        <v>67</v>
      </c>
      <c r="D29" s="45">
        <v>0</v>
      </c>
      <c r="E29" s="14"/>
      <c r="F29" s="23"/>
      <c r="G29" s="23"/>
      <c r="H29" s="23"/>
    </row>
    <row r="30" spans="1:8" ht="31.95" customHeight="1">
      <c r="A30" s="9" t="s">
        <v>68</v>
      </c>
      <c r="B30" s="14" t="s">
        <v>69</v>
      </c>
      <c r="C30" s="14" t="s">
        <v>70</v>
      </c>
      <c r="D30" s="45">
        <v>0</v>
      </c>
      <c r="E30" s="14"/>
      <c r="F30" s="23"/>
      <c r="G30" s="23"/>
      <c r="H30" s="23"/>
    </row>
    <row r="31" spans="1:8" ht="31.95" customHeight="1">
      <c r="A31" s="9" t="s">
        <v>71</v>
      </c>
      <c r="B31" s="14" t="s">
        <v>72</v>
      </c>
      <c r="C31" s="14" t="s">
        <v>73</v>
      </c>
      <c r="D31" s="45">
        <v>0</v>
      </c>
      <c r="E31" s="14"/>
      <c r="F31" s="23"/>
      <c r="G31" s="23"/>
      <c r="H31" s="23"/>
    </row>
    <row r="32" spans="1:8" ht="31.95" customHeight="1">
      <c r="A32" s="9" t="s">
        <v>74</v>
      </c>
      <c r="B32" s="14" t="s">
        <v>75</v>
      </c>
      <c r="C32" s="14" t="s">
        <v>76</v>
      </c>
      <c r="D32" s="45">
        <v>0</v>
      </c>
      <c r="E32" s="14"/>
      <c r="F32" s="23"/>
      <c r="G32" s="23"/>
      <c r="H32" s="23"/>
    </row>
    <row r="33" spans="1:8" ht="31.95" customHeight="1">
      <c r="A33" s="9" t="s">
        <v>77</v>
      </c>
      <c r="B33" s="14" t="s">
        <v>78</v>
      </c>
      <c r="C33" s="14" t="s">
        <v>79</v>
      </c>
      <c r="D33" s="45">
        <v>0</v>
      </c>
      <c r="E33" s="14"/>
      <c r="F33" s="23"/>
      <c r="G33" s="23"/>
      <c r="H33" s="23"/>
    </row>
    <row r="34" spans="1:8" ht="31.95" customHeight="1">
      <c r="A34" s="9" t="s">
        <v>80</v>
      </c>
      <c r="B34" s="14" t="s">
        <v>81</v>
      </c>
      <c r="C34" s="14" t="s">
        <v>82</v>
      </c>
      <c r="D34" s="45">
        <v>0</v>
      </c>
      <c r="E34" s="14"/>
      <c r="F34" s="23"/>
      <c r="G34" s="23"/>
      <c r="H34" s="23"/>
    </row>
    <row r="35" spans="1:8" ht="31.95" customHeight="1">
      <c r="A35" s="9" t="s">
        <v>83</v>
      </c>
      <c r="B35" s="14" t="s">
        <v>84</v>
      </c>
      <c r="C35" s="14" t="s">
        <v>85</v>
      </c>
      <c r="D35" s="45">
        <v>0</v>
      </c>
      <c r="E35" s="14"/>
      <c r="F35" s="23"/>
      <c r="G35" s="23"/>
      <c r="H35" s="23"/>
    </row>
    <row r="36" spans="1:8" ht="31.95" customHeight="1">
      <c r="A36" s="9" t="s">
        <v>86</v>
      </c>
      <c r="B36" s="14" t="s">
        <v>87</v>
      </c>
      <c r="C36" s="14" t="s">
        <v>88</v>
      </c>
      <c r="D36" s="45">
        <v>0</v>
      </c>
      <c r="E36" s="14"/>
      <c r="F36" s="23"/>
      <c r="G36" s="23"/>
      <c r="H36" s="23"/>
    </row>
    <row r="37" spans="1:8" ht="31.95" customHeight="1">
      <c r="A37" s="9" t="s">
        <v>89</v>
      </c>
      <c r="B37" s="14" t="s">
        <v>90</v>
      </c>
      <c r="C37" s="14" t="s">
        <v>91</v>
      </c>
      <c r="D37" s="45">
        <v>0</v>
      </c>
      <c r="E37" s="14"/>
      <c r="F37" s="23"/>
      <c r="G37" s="23"/>
      <c r="H37" s="23"/>
    </row>
    <row r="38" spans="1:8" ht="31.95" customHeight="1">
      <c r="A38" s="9" t="s">
        <v>92</v>
      </c>
      <c r="B38" s="14" t="s">
        <v>93</v>
      </c>
      <c r="C38" s="14" t="s">
        <v>94</v>
      </c>
      <c r="D38" s="45">
        <v>0</v>
      </c>
      <c r="E38" s="14" t="s">
        <v>95</v>
      </c>
      <c r="F38" s="23"/>
      <c r="G38" s="23"/>
      <c r="H38" s="23"/>
    </row>
    <row r="39" spans="1:8">
      <c r="A39" s="9"/>
      <c r="B39" s="9"/>
      <c r="C39" s="9"/>
      <c r="D39" s="19"/>
      <c r="E39" s="9"/>
      <c r="F39" s="23"/>
      <c r="G39" s="23"/>
      <c r="H39" s="23"/>
    </row>
    <row r="40" spans="1:8" ht="22.95" customHeight="1">
      <c r="A40" s="6" t="s">
        <v>96</v>
      </c>
      <c r="B40" s="6"/>
      <c r="C40" s="6"/>
      <c r="D40" s="17"/>
      <c r="E40" s="6"/>
      <c r="F40" s="23"/>
      <c r="G40" s="23"/>
      <c r="H40" s="23"/>
    </row>
    <row r="41" spans="1:8">
      <c r="A41" s="13" t="s">
        <v>16</v>
      </c>
      <c r="B41" s="13" t="s">
        <v>17</v>
      </c>
      <c r="C41" s="13" t="s">
        <v>18</v>
      </c>
      <c r="D41" s="18" t="s">
        <v>19</v>
      </c>
      <c r="E41" s="13" t="s">
        <v>20</v>
      </c>
      <c r="F41" s="23"/>
      <c r="G41" s="23"/>
      <c r="H41" s="23"/>
    </row>
    <row r="42" spans="1:8" ht="31.95" customHeight="1">
      <c r="A42" s="9" t="s">
        <v>97</v>
      </c>
      <c r="B42" s="14" t="s">
        <v>98</v>
      </c>
      <c r="C42" s="14" t="s">
        <v>99</v>
      </c>
      <c r="D42" s="45">
        <v>0</v>
      </c>
      <c r="E42" s="14"/>
      <c r="F42" s="23"/>
      <c r="G42" s="23"/>
      <c r="H42" s="23"/>
    </row>
    <row r="43" spans="1:8" ht="31.95" customHeight="1">
      <c r="A43" s="9" t="s">
        <v>100</v>
      </c>
      <c r="B43" s="14" t="s">
        <v>101</v>
      </c>
      <c r="C43" s="14" t="s">
        <v>102</v>
      </c>
      <c r="D43" s="45">
        <v>0</v>
      </c>
      <c r="E43" s="14" t="s">
        <v>103</v>
      </c>
      <c r="F43" s="23"/>
      <c r="G43" s="23"/>
      <c r="H43" s="23"/>
    </row>
    <row r="44" spans="1:8" ht="31.95" customHeight="1">
      <c r="A44" s="9" t="s">
        <v>104</v>
      </c>
      <c r="B44" s="14" t="s">
        <v>105</v>
      </c>
      <c r="C44" s="14" t="s">
        <v>106</v>
      </c>
      <c r="D44" s="45">
        <v>0</v>
      </c>
      <c r="E44" s="14"/>
      <c r="F44" s="23"/>
      <c r="G44" s="23"/>
      <c r="H44" s="23"/>
    </row>
    <row r="45" spans="1:8" ht="31.95" customHeight="1">
      <c r="A45" s="9" t="s">
        <v>107</v>
      </c>
      <c r="B45" s="14" t="s">
        <v>108</v>
      </c>
      <c r="C45" s="14" t="s">
        <v>109</v>
      </c>
      <c r="D45" s="45">
        <v>0</v>
      </c>
      <c r="E45" s="14"/>
      <c r="F45" s="23"/>
      <c r="G45" s="23"/>
      <c r="H45" s="23"/>
    </row>
    <row r="46" spans="1:8" ht="31.95" customHeight="1">
      <c r="A46" s="9" t="s">
        <v>110</v>
      </c>
      <c r="B46" s="14" t="s">
        <v>111</v>
      </c>
      <c r="C46" s="14" t="s">
        <v>112</v>
      </c>
      <c r="D46" s="45">
        <v>0</v>
      </c>
      <c r="E46" s="14" t="s">
        <v>113</v>
      </c>
      <c r="F46" s="23"/>
      <c r="G46" s="23"/>
      <c r="H46" s="23"/>
    </row>
    <row r="47" spans="1:8" ht="31.95" customHeight="1">
      <c r="A47" s="9" t="s">
        <v>114</v>
      </c>
      <c r="B47" s="14" t="s">
        <v>115</v>
      </c>
      <c r="C47" s="14" t="s">
        <v>116</v>
      </c>
      <c r="D47" s="45">
        <v>0</v>
      </c>
      <c r="E47" s="14" t="s">
        <v>117</v>
      </c>
      <c r="F47" s="23"/>
      <c r="G47" s="23"/>
      <c r="H47" s="23"/>
    </row>
    <row r="48" spans="1:8" ht="31.95" customHeight="1">
      <c r="A48" s="9" t="s">
        <v>118</v>
      </c>
      <c r="B48" s="14" t="s">
        <v>119</v>
      </c>
      <c r="C48" s="14" t="s">
        <v>120</v>
      </c>
      <c r="D48" s="45">
        <v>0</v>
      </c>
      <c r="E48" s="14"/>
      <c r="F48" s="23"/>
      <c r="G48" s="23"/>
      <c r="H48" s="23"/>
    </row>
    <row r="49" spans="1:8" ht="31.95" customHeight="1">
      <c r="A49" s="9" t="s">
        <v>121</v>
      </c>
      <c r="B49" s="14" t="s">
        <v>122</v>
      </c>
      <c r="C49" s="14" t="s">
        <v>123</v>
      </c>
      <c r="D49" s="45">
        <v>0</v>
      </c>
      <c r="E49" s="14"/>
      <c r="F49" s="23"/>
      <c r="G49" s="23"/>
      <c r="H49" s="23"/>
    </row>
    <row r="50" spans="1:8" ht="31.95" customHeight="1">
      <c r="A50" s="9" t="s">
        <v>124</v>
      </c>
      <c r="B50" s="14" t="s">
        <v>125</v>
      </c>
      <c r="C50" s="14" t="s">
        <v>126</v>
      </c>
      <c r="D50" s="45">
        <v>0</v>
      </c>
      <c r="E50" s="14"/>
      <c r="F50" s="23"/>
      <c r="G50" s="23"/>
      <c r="H50" s="23"/>
    </row>
    <row r="51" spans="1:8" ht="31.95" customHeight="1">
      <c r="A51" s="9" t="s">
        <v>127</v>
      </c>
      <c r="B51" s="14" t="s">
        <v>128</v>
      </c>
      <c r="C51" s="14" t="s">
        <v>129</v>
      </c>
      <c r="D51" s="45">
        <v>0</v>
      </c>
      <c r="E51" s="14"/>
      <c r="F51" s="23"/>
      <c r="G51" s="23"/>
      <c r="H51" s="23"/>
    </row>
    <row r="52" spans="1:8" ht="31.95" customHeight="1">
      <c r="A52" s="9" t="s">
        <v>130</v>
      </c>
      <c r="B52" s="14" t="s">
        <v>131</v>
      </c>
      <c r="C52" s="14" t="s">
        <v>132</v>
      </c>
      <c r="D52" s="45">
        <v>0</v>
      </c>
      <c r="E52" s="14"/>
      <c r="F52" s="23"/>
      <c r="G52" s="23"/>
      <c r="H52" s="23"/>
    </row>
    <row r="53" spans="1:8" ht="31.95" customHeight="1">
      <c r="A53" s="9" t="s">
        <v>133</v>
      </c>
      <c r="B53" s="14" t="s">
        <v>134</v>
      </c>
      <c r="C53" s="14" t="s">
        <v>135</v>
      </c>
      <c r="D53" s="45">
        <v>0</v>
      </c>
      <c r="E53" s="14"/>
      <c r="F53" s="23"/>
      <c r="G53" s="23"/>
      <c r="H53" s="23"/>
    </row>
    <row r="54" spans="1:8" ht="31.95" customHeight="1">
      <c r="A54" s="9" t="s">
        <v>136</v>
      </c>
      <c r="B54" s="14" t="s">
        <v>137</v>
      </c>
      <c r="C54" s="14" t="s">
        <v>138</v>
      </c>
      <c r="D54" s="45">
        <v>0</v>
      </c>
      <c r="E54" s="14"/>
      <c r="F54" s="23"/>
      <c r="G54" s="23"/>
      <c r="H54" s="23"/>
    </row>
    <row r="55" spans="1:8" ht="31.95" customHeight="1">
      <c r="A55" s="9" t="s">
        <v>139</v>
      </c>
      <c r="B55" s="14" t="s">
        <v>140</v>
      </c>
      <c r="C55" s="14" t="s">
        <v>141</v>
      </c>
      <c r="D55" s="45">
        <v>0</v>
      </c>
      <c r="E55" s="14"/>
      <c r="F55" s="23"/>
      <c r="G55" s="23"/>
      <c r="H55" s="23"/>
    </row>
    <row r="56" spans="1:8" ht="31.95" customHeight="1">
      <c r="A56" s="9" t="s">
        <v>142</v>
      </c>
      <c r="B56" s="14" t="s">
        <v>143</v>
      </c>
      <c r="C56" s="14" t="s">
        <v>144</v>
      </c>
      <c r="D56" s="45">
        <v>0</v>
      </c>
      <c r="E56" s="14"/>
      <c r="F56" s="23"/>
      <c r="G56" s="23"/>
      <c r="H56" s="23"/>
    </row>
    <row r="57" spans="1:8" ht="31.95" customHeight="1">
      <c r="A57" s="9" t="s">
        <v>145</v>
      </c>
      <c r="B57" s="14" t="s">
        <v>146</v>
      </c>
      <c r="C57" s="14" t="s">
        <v>147</v>
      </c>
      <c r="D57" s="45">
        <v>0</v>
      </c>
      <c r="E57" s="14"/>
      <c r="F57" s="23"/>
      <c r="G57" s="23"/>
      <c r="H57" s="23"/>
    </row>
    <row r="58" spans="1:8" ht="31.95" customHeight="1">
      <c r="A58" s="9" t="s">
        <v>148</v>
      </c>
      <c r="B58" s="14" t="s">
        <v>149</v>
      </c>
      <c r="C58" s="14" t="s">
        <v>150</v>
      </c>
      <c r="D58" s="45">
        <v>0</v>
      </c>
      <c r="E58" s="14"/>
      <c r="F58" s="23"/>
      <c r="G58" s="23"/>
      <c r="H58" s="23"/>
    </row>
    <row r="59" spans="1:8" ht="31.95" customHeight="1">
      <c r="A59" s="9" t="s">
        <v>151</v>
      </c>
      <c r="B59" s="14" t="s">
        <v>152</v>
      </c>
      <c r="C59" s="14" t="s">
        <v>153</v>
      </c>
      <c r="D59" s="45">
        <v>0</v>
      </c>
      <c r="E59" s="14"/>
      <c r="F59" s="23"/>
      <c r="G59" s="23"/>
      <c r="H59" s="23"/>
    </row>
    <row r="60" spans="1:8" ht="31.95" customHeight="1">
      <c r="A60" s="9" t="s">
        <v>154</v>
      </c>
      <c r="B60" s="14" t="s">
        <v>155</v>
      </c>
      <c r="C60" s="14" t="s">
        <v>156</v>
      </c>
      <c r="D60" s="45">
        <v>0</v>
      </c>
      <c r="E60" s="14"/>
      <c r="F60" s="23"/>
      <c r="G60" s="23"/>
      <c r="H60" s="23"/>
    </row>
    <row r="61" spans="1:8" ht="31.95" customHeight="1">
      <c r="A61" s="9" t="s">
        <v>157</v>
      </c>
      <c r="B61" s="14" t="s">
        <v>158</v>
      </c>
      <c r="C61" s="14" t="s">
        <v>159</v>
      </c>
      <c r="D61" s="45">
        <v>0</v>
      </c>
      <c r="E61" s="14"/>
      <c r="F61" s="23"/>
      <c r="G61" s="23"/>
      <c r="H61" s="23"/>
    </row>
    <row r="62" spans="1:8" ht="31.95" customHeight="1">
      <c r="A62" s="9" t="s">
        <v>160</v>
      </c>
      <c r="B62" s="14" t="s">
        <v>161</v>
      </c>
      <c r="C62" s="14" t="s">
        <v>162</v>
      </c>
      <c r="D62" s="45">
        <v>0</v>
      </c>
      <c r="E62" s="14"/>
      <c r="F62" s="23"/>
      <c r="G62" s="23"/>
      <c r="H62" s="23"/>
    </row>
    <row r="63" spans="1:8" ht="31.95" customHeight="1">
      <c r="A63" s="9" t="s">
        <v>163</v>
      </c>
      <c r="B63" s="14" t="s">
        <v>164</v>
      </c>
      <c r="C63" s="14" t="s">
        <v>165</v>
      </c>
      <c r="D63" s="45">
        <v>0</v>
      </c>
      <c r="E63" s="14"/>
      <c r="F63" s="23"/>
      <c r="G63" s="23"/>
      <c r="H63" s="23"/>
    </row>
    <row r="64" spans="1:8" ht="31.95" customHeight="1">
      <c r="A64" s="9" t="s">
        <v>166</v>
      </c>
      <c r="B64" s="14" t="s">
        <v>167</v>
      </c>
      <c r="C64" s="14" t="s">
        <v>168</v>
      </c>
      <c r="D64" s="45">
        <v>0</v>
      </c>
      <c r="E64" s="14"/>
      <c r="F64" s="23"/>
      <c r="G64" s="23"/>
      <c r="H64" s="23"/>
    </row>
    <row r="65" spans="1:8" ht="31.95" customHeight="1">
      <c r="A65" s="9" t="s">
        <v>169</v>
      </c>
      <c r="B65" s="14" t="s">
        <v>170</v>
      </c>
      <c r="C65" s="14" t="s">
        <v>171</v>
      </c>
      <c r="D65" s="45">
        <v>0</v>
      </c>
      <c r="E65" s="14"/>
      <c r="F65" s="23"/>
      <c r="G65" s="23"/>
      <c r="H65" s="23"/>
    </row>
    <row r="66" spans="1:8" ht="31.95" customHeight="1">
      <c r="A66" s="9" t="s">
        <v>172</v>
      </c>
      <c r="B66" s="14" t="s">
        <v>173</v>
      </c>
      <c r="C66" s="14" t="s">
        <v>174</v>
      </c>
      <c r="D66" s="45">
        <v>0</v>
      </c>
      <c r="E66" s="14"/>
      <c r="F66" s="23"/>
      <c r="G66" s="23"/>
      <c r="H66" s="23"/>
    </row>
  </sheetData>
  <sheetProtection sheet="1" objects="1" scenarios="1"/>
  <mergeCells count="17">
    <mergeCell ref="A13:E13"/>
    <mergeCell ref="A40:E40"/>
    <mergeCell ref="A8:C8"/>
    <mergeCell ref="A9:C9"/>
    <mergeCell ref="A10:C10"/>
    <mergeCell ref="A11:C11"/>
    <mergeCell ref="F4:H4"/>
    <mergeCell ref="F5:G5"/>
    <mergeCell ref="F6:G6"/>
    <mergeCell ref="F7:G7"/>
    <mergeCell ref="F8:H10"/>
    <mergeCell ref="A1:H1"/>
    <mergeCell ref="A2:H2"/>
    <mergeCell ref="A4:E4"/>
    <mergeCell ref="A5:C5"/>
    <mergeCell ref="A6:C6"/>
    <mergeCell ref="A7:C7"/>
  </mergeCells>
  <phoneticPr fontId="2"/>
  <dataValidations count="54">
    <dataValidation type="custom" showInputMessage="1" showErrorMessage="1" sqref="D6" xr:uid="{265D69BB-9417-4BB4-92F5-5690AC570BC1}">
      <formula1>AND(ISNUMBER(D6),D6&gt;=DATE(1900,1,1),D6&lt;=DATE(2100,12,31))</formula1>
    </dataValidation>
    <dataValidation type="custom" showInputMessage="1" showErrorMessage="1" sqref="D7" xr:uid="{DF3E14C6-D8FF-4EEF-BB6B-9E45C61C7567}">
      <formula1>AND(ISNUMBER(D7),ISNUMBER(D6),D7&gt;=D6,D7&lt;=IF(DAY(EDATE(D6,12))&lt;DAY(D6),EDATE(D6,12),EDATE(D6,12)-1))</formula1>
    </dataValidation>
    <dataValidation type="list" showInputMessage="1" showErrorMessage="1" sqref="D9" xr:uid="{461656F9-71C9-4049-BF0B-25F8F2BA4504}">
      <formula1>"該当,非該当"</formula1>
    </dataValidation>
    <dataValidation type="list" showInputMessage="1" showErrorMessage="1" sqref="D10" xr:uid="{CAAA2B17-1059-40D3-A4EB-391BD7EB3326}">
      <formula1>"はい,いいえ"</formula1>
    </dataValidation>
    <dataValidation type="list" showInputMessage="1" showErrorMessage="1" sqref="D11" xr:uid="{649B122C-828A-4FF5-A158-F216FCE0AB9E}">
      <formula1>"はい,いいえ"</formula1>
    </dataValidation>
    <dataValidation type="custom" showInputMessage="1" showErrorMessage="1" errorTitle="入力エラー" error="絶対値1,000兆円未満の円単位整数を入力してください（負数可）。" sqref="D15" xr:uid="{ED5E5ADB-D65C-4B14-9243-369EBB7C5528}">
      <formula1>AND(ISNUMBER(D15),D15=INT(D15),ABS(D15)&lt;=999999999999999)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6" xr:uid="{CE7DEAFA-82FD-4C4E-B989-92C51F594331}">
      <formula1>AND(ISNUMBER(D16),D16=INT(D16),D16&gt;=0,D16&lt;=999999999999999)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7" xr:uid="{043FCDFE-1D69-45C2-B919-790747D6867F}">
      <formula1>AND(ISNUMBER(D17),D17=INT(D17),D17&gt;=0,D17&lt;=999999999999999)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8" xr:uid="{AF421720-AFE0-43CB-8419-EE8878DC5835}">
      <formula1>AND(ISNUMBER(D18),D18=INT(D18),D18&gt;=0,D18&lt;=999999999999999)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9" xr:uid="{4F74C09B-02AE-4F70-BA68-34FDAAA2D016}">
      <formula1>AND(ISNUMBER(D19),D19=INT(D19),D19&gt;=0,D19&lt;=999999999999999)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0" xr:uid="{B6218F48-6603-46F2-90D5-9765A2C97B51}">
      <formula1>AND(ISNUMBER(D20),D20=INT(D20),D20&gt;=0,D20&lt;=999999999999999)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1" xr:uid="{88D83B0E-E13D-485B-BF5B-EAC045656768}">
      <formula1>AND(ISNUMBER(D21),D21=INT(D21),D21&gt;=0,D21&lt;=999999999999999)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2" xr:uid="{B7A1596B-D249-474B-BED7-EA99F6AC0418}">
      <formula1>AND(ISNUMBER(D22),D22=INT(D22),D22&gt;=0,D22&lt;=999999999999999)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3" xr:uid="{8E6E47FE-0ABE-484B-A5C1-16E6EB41A42C}">
      <formula1>AND(ISNUMBER(D23),D23=INT(D23),D23&gt;=0,D23&lt;=999999999999999)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4" xr:uid="{B7757E12-C139-407C-91B8-CADB65A8FFB7}">
      <formula1>AND(ISNUMBER(D24),D24=INT(D24),D24&gt;=0,D24&lt;=999999999999999)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5" xr:uid="{0BB3F607-8E0B-40EA-A4EB-54FE65851D06}">
      <formula1>AND(ISNUMBER(D25),D25=INT(D25),D25&gt;=0,D25&lt;=999999999999999)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6" xr:uid="{67680386-66D1-41B7-B588-FF7604B34C26}">
      <formula1>AND(ISNUMBER(D26),D26=INT(D26),D26&gt;=0,D26&lt;=999999999999999)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7" xr:uid="{AA1E10E8-6813-4428-86A0-40E8C70FE2DE}">
      <formula1>AND(ISNUMBER(D27),D27=INT(D27),D27&gt;=0,D27&lt;=999999999999999)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8" xr:uid="{03623AF0-B5DC-4593-9302-A2B094DB55B8}">
      <formula1>AND(ISNUMBER(D28),D28=INT(D28),D28&gt;=0,D28&lt;=999999999999999)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9" xr:uid="{8445FC0A-72BC-4199-B7E4-358461F8E8F2}">
      <formula1>AND(ISNUMBER(D29),D29=INT(D29),D29&gt;=0,D29&lt;=999999999999999)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0" xr:uid="{73FC3C41-066F-4B49-817C-017EE7300A00}">
      <formula1>AND(ISNUMBER(D30),D30=INT(D30),D30&gt;=0,D30&lt;=999999999999999)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1" xr:uid="{4C31EB75-848B-4D94-974A-4427F2279F67}">
      <formula1>AND(ISNUMBER(D31),D31=INT(D31),D31&gt;=0,D31&lt;=999999999999999)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2" xr:uid="{1BFBE865-2655-4593-9AC1-4A1D0FA646CD}">
      <formula1>AND(ISNUMBER(D32),D32=INT(D32),D32&gt;=0,D32&lt;=999999999999999)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3" xr:uid="{9AFD27E7-7EE0-4106-AB20-FF969FBCE590}">
      <formula1>AND(ISNUMBER(D33),D33=INT(D33),D33&gt;=0,D33&lt;=999999999999999)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4" xr:uid="{A2933003-C794-4224-A037-178F64CBA661}">
      <formula1>AND(ISNUMBER(D34),D34=INT(D34),D34&gt;=0,D34&lt;=999999999999999)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5" xr:uid="{F7EF23EB-411D-405B-9140-0C84AE71CF49}">
      <formula1>AND(ISNUMBER(D35),D35=INT(D35),D35&gt;=0,D35&lt;=999999999999999)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6" xr:uid="{E3A966B0-6768-4248-9964-577357BEE5F0}">
      <formula1>AND(ISNUMBER(D36),D36=INT(D36),D36&gt;=0,D36&lt;=999999999999999)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7" xr:uid="{1022A676-36AE-4F00-8BAD-CE8822EBCE83}">
      <formula1>AND(ISNUMBER(D37),D37=INT(D37),D37&gt;=0,D37&lt;=999999999999999)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8" xr:uid="{1691139B-3E13-4B68-8799-C580286F076C}">
      <formula1>AND(ISNUMBER(D38),D38=INT(D38),D38&gt;=0,D38&lt;=999999999999999)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2" xr:uid="{4D23BC4F-418D-4F92-9FFB-6A6315B4E818}">
      <formula1>AND(ISNUMBER(D42),D42=INT(D42),D42&gt;=0,D42&lt;=999999999999999)</formula1>
    </dataValidation>
    <dataValidation type="custom" showInputMessage="1" showErrorMessage="1" errorTitle="入力エラー" error="絶対値1,000兆円未満の円単位整数を入力してください（負数可）。" sqref="D43" xr:uid="{E0BCB078-34EB-4706-916D-CDD2672551BA}">
      <formula1>AND(ISNUMBER(D43),D43=INT(D43),ABS(D43)&lt;=999999999999999)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4" xr:uid="{33E4F03D-95D9-4ABA-A731-43CB2C49318D}">
      <formula1>AND(ISNUMBER(D44),D44=INT(D44),D44&gt;=0,D44&lt;=999999999999999)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5" xr:uid="{A92810D1-23F0-4CBD-8E55-BB7E0EAE8ACB}">
      <formula1>AND(ISNUMBER(D45),D45=INT(D45),D45&gt;=0,D45&lt;=999999999999999)</formula1>
    </dataValidation>
    <dataValidation type="custom" showInputMessage="1" showErrorMessage="1" errorTitle="入力エラー" error="絶対値1,000兆円未満の円単位整数を入力してください（負数可）。" sqref="D46" xr:uid="{BAADFC94-7181-4725-B367-9779250C1A45}">
      <formula1>AND(ISNUMBER(D46),D46=INT(D46),ABS(D46)&lt;=999999999999999)</formula1>
    </dataValidation>
    <dataValidation type="custom" showInputMessage="1" showErrorMessage="1" errorTitle="入力エラー" error="絶対値1,000兆円未満の円単位整数を入力してください（負数可）。" sqref="D47" xr:uid="{CB42A2DD-6E46-481A-A438-225BB9F10D29}">
      <formula1>AND(ISNUMBER(D47),D47=INT(D47),ABS(D47)&lt;=999999999999999)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8" xr:uid="{406413AE-23EA-42ED-B4DC-B035B898DA14}">
      <formula1>AND(ISNUMBER(D48),D48=INT(D48),D48&gt;=0,D48&lt;=999999999999999)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9" xr:uid="{746F3647-449E-472E-9945-F37411F5679D}">
      <formula1>AND(ISNUMBER(D49),D49=INT(D49),D49&gt;=0,D49&lt;=999999999999999)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0" xr:uid="{52198551-E84D-45CA-83A7-A08B493EE515}">
      <formula1>AND(ISNUMBER(D50),D50=INT(D50),D50&gt;=0,D50&lt;=999999999999999)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1" xr:uid="{E9EC872E-01D2-41A8-B724-6C75C4378847}">
      <formula1>AND(ISNUMBER(D51),D51=INT(D51),D51&gt;=0,D51&lt;=999999999999999)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2" xr:uid="{3B030DFC-E68D-4325-A1C4-CB1A12DF2292}">
      <formula1>AND(ISNUMBER(D52),D52=INT(D52),D52&gt;=0,D52&lt;=999999999999999)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3" xr:uid="{7DA9F26F-B46B-4CBE-9B54-DAB40FCF6987}">
      <formula1>AND(ISNUMBER(D53),D53=INT(D53),D53&gt;=0,D53&lt;=999999999999999)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4" xr:uid="{3B231D1A-D8F7-484D-8CEA-2AA7D7A4EC3A}">
      <formula1>AND(ISNUMBER(D54),D54=INT(D54),D54&gt;=0,D54&lt;=999999999999999)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5" xr:uid="{94809614-11F3-4780-B40C-429F08F6F5EF}">
      <formula1>AND(ISNUMBER(D55),D55=INT(D55),D55&gt;=0,D55&lt;=999999999999999)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6" xr:uid="{781300DB-46E6-4805-9E4A-3FA8A4AADA64}">
      <formula1>AND(ISNUMBER(D56),D56=INT(D56),D56&gt;=0,D56&lt;=999999999999999)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7" xr:uid="{902200AF-59A5-43B8-A3CE-B920B381B53C}">
      <formula1>AND(ISNUMBER(D57),D57=INT(D57),D57&gt;=0,D57&lt;=999999999999999)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8" xr:uid="{4ACCF036-CC23-40C8-AA2A-BBD9D6A6615C}">
      <formula1>AND(ISNUMBER(D58),D58=INT(D58),D58&gt;=0,D58&lt;=999999999999999)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9" xr:uid="{BBA3EE1A-C779-4DF3-B0AF-90AD6DA1202B}">
      <formula1>AND(ISNUMBER(D59),D59=INT(D59),D59&gt;=0,D59&lt;=999999999999999)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0" xr:uid="{830CCCF2-B26A-438C-87C8-0FAE2612A91B}">
      <formula1>AND(ISNUMBER(D60),D60=INT(D60),D60&gt;=0,D60&lt;=999999999999999)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1" xr:uid="{E0AB79DC-0D7F-4875-9EDD-183FA0EE4F03}">
      <formula1>AND(ISNUMBER(D61),D61=INT(D61),D61&gt;=0,D61&lt;=999999999999999)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2" xr:uid="{2E69DF24-71D6-4AC6-8B5A-BD0D3E4CA45C}">
      <formula1>AND(ISNUMBER(D62),D62=INT(D62),D62&gt;=0,D62&lt;=999999999999999)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3" xr:uid="{49F95BAF-473C-4729-9828-F8EDC33CCC3C}">
      <formula1>AND(ISNUMBER(D63),D63=INT(D63),D63&gt;=0,D63&lt;=999999999999999)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4" xr:uid="{A0E7CECA-F1C4-45A0-AD1A-24FDF9BD1BCC}">
      <formula1>AND(ISNUMBER(D64),D64=INT(D64),D64&gt;=0,D64&lt;=999999999999999)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5" xr:uid="{8BC2FF83-C066-43E3-9E2E-29A89807E1E6}">
      <formula1>AND(ISNUMBER(D65),D65=INT(D65),D65&gt;=0,D65&lt;=999999999999999)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6" xr:uid="{3F0EB3B4-C724-47C5-AEF0-E1B60138E1A4}">
      <formula1>AND(ISNUMBER(D66),D66=INT(D66),D66&gt;=0,D66&lt;=999999999999999)</formula1>
    </dataValidation>
  </dataValidations>
  <pageMargins left="0.7" right="0.7" top="0.75" bottom="0.75" header="0.3" footer="0.3"/>
  <pageSetup paperSize="9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6781-67B6-44F3-BAEE-A9B32CF9E767}">
  <sheetPr>
    <tabColor rgb="FF2F75B5"/>
    <pageSetUpPr fitToPage="1"/>
  </sheetPr>
  <dimension ref="A1:G32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</cols>
  <sheetData>
    <row r="1" spans="1:7" ht="30" customHeight="1">
      <c r="A1" s="2" t="s">
        <v>175</v>
      </c>
      <c r="B1" s="3"/>
      <c r="C1" s="3"/>
      <c r="D1" s="3"/>
      <c r="E1" s="3"/>
    </row>
    <row r="2" spans="1:7">
      <c r="A2" s="4" t="s">
        <v>176</v>
      </c>
      <c r="B2" s="3"/>
      <c r="C2" s="3"/>
      <c r="D2" s="3"/>
      <c r="E2" s="3"/>
    </row>
    <row r="3" spans="1:7">
      <c r="A3" s="5"/>
      <c r="B3" s="5"/>
      <c r="C3" s="5"/>
      <c r="D3" s="5"/>
      <c r="E3" s="5"/>
    </row>
    <row r="4" spans="1:7">
      <c r="A4" s="24" t="s">
        <v>177</v>
      </c>
      <c r="B4" s="24" t="s">
        <v>178</v>
      </c>
      <c r="C4" s="24" t="s">
        <v>179</v>
      </c>
      <c r="D4" s="24" t="s">
        <v>180</v>
      </c>
      <c r="E4" s="24" t="s">
        <v>181</v>
      </c>
      <c r="F4" s="28" t="s">
        <v>279</v>
      </c>
      <c r="G4" s="28" t="s">
        <v>280</v>
      </c>
    </row>
    <row r="5" spans="1:7" ht="37.950000000000003" customHeight="1">
      <c r="A5" s="25">
        <v>1</v>
      </c>
      <c r="B5" s="26" t="s">
        <v>182</v>
      </c>
      <c r="C5" s="26" t="s">
        <v>183</v>
      </c>
      <c r="D5" s="27">
        <f>MIN(m_21,IF(inp_months="",0,30000000*inp_months/12))</f>
        <v>0</v>
      </c>
      <c r="E5" s="26" t="s">
        <v>184</v>
      </c>
      <c r="F5" s="1" t="s">
        <v>281</v>
      </c>
      <c r="G5" s="29">
        <f>MAX(m_19-m_20,0)</f>
        <v>0</v>
      </c>
    </row>
    <row r="6" spans="1:7" ht="37.950000000000003" customHeight="1">
      <c r="A6" s="25">
        <v>2</v>
      </c>
      <c r="B6" s="26" t="s">
        <v>185</v>
      </c>
      <c r="C6" s="26" t="s">
        <v>186</v>
      </c>
      <c r="D6" s="27">
        <f>$G$10</f>
        <v>0</v>
      </c>
      <c r="E6" s="26" t="s">
        <v>187</v>
      </c>
      <c r="F6" s="1" t="s">
        <v>282</v>
      </c>
      <c r="G6" s="29">
        <f>G5-m_21</f>
        <v>0</v>
      </c>
    </row>
    <row r="7" spans="1:7" ht="37.950000000000003" customHeight="1">
      <c r="A7" s="25">
        <v>3</v>
      </c>
      <c r="B7" s="26" t="s">
        <v>188</v>
      </c>
      <c r="C7" s="26" t="s">
        <v>189</v>
      </c>
      <c r="D7" s="27">
        <f>m_21-m_01-m_02</f>
        <v>0</v>
      </c>
      <c r="E7" s="26" t="s">
        <v>184</v>
      </c>
      <c r="F7" s="1" t="s">
        <v>283</v>
      </c>
      <c r="G7" s="29">
        <f>IF(inp_months="",0,100000000*inp_months/12)</f>
        <v>100000000</v>
      </c>
    </row>
    <row r="8" spans="1:7" ht="37.950000000000003" customHeight="1">
      <c r="A8" s="25">
        <v>4</v>
      </c>
      <c r="B8" s="26" t="s">
        <v>190</v>
      </c>
      <c r="C8" s="26" t="s">
        <v>191</v>
      </c>
      <c r="D8" s="27">
        <f>SUM(m_01:m_03)</f>
        <v>0</v>
      </c>
      <c r="E8" s="26" t="s">
        <v>192</v>
      </c>
      <c r="F8" s="1" t="s">
        <v>284</v>
      </c>
      <c r="G8" s="29">
        <f>MAX(0,MIN(m_21-m_01,G7-m_01))</f>
        <v>0</v>
      </c>
    </row>
    <row r="9" spans="1:7" ht="37.950000000000003" customHeight="1">
      <c r="A9" s="25">
        <v>5</v>
      </c>
      <c r="B9" s="26" t="s">
        <v>193</v>
      </c>
      <c r="C9" s="26" t="s">
        <v>194</v>
      </c>
      <c r="D9" s="27">
        <f>ROUNDDOWN(m_01*10%,0)</f>
        <v>0</v>
      </c>
      <c r="E9" s="26" t="s">
        <v>195</v>
      </c>
      <c r="F9" s="1" t="s">
        <v>285</v>
      </c>
      <c r="G9" s="29">
        <f>G8-ROUNDDOWN(G8,-3)</f>
        <v>0</v>
      </c>
    </row>
    <row r="10" spans="1:7" ht="37.950000000000003" customHeight="1">
      <c r="A10" s="25">
        <v>6</v>
      </c>
      <c r="B10" s="26" t="s">
        <v>196</v>
      </c>
      <c r="C10" s="26" t="s">
        <v>197</v>
      </c>
      <c r="D10" s="27">
        <f>ROUNDDOWN(m_02*15%,0)</f>
        <v>0</v>
      </c>
      <c r="E10" s="26" t="s">
        <v>195</v>
      </c>
      <c r="F10" s="1" t="s">
        <v>286</v>
      </c>
      <c r="G10" s="29">
        <f>IF(G9&gt;G6,ROUNDUP(G8,-3),ROUNDDOWN(G8,-3))</f>
        <v>0</v>
      </c>
    </row>
    <row r="11" spans="1:7" ht="37.950000000000003" customHeight="1">
      <c r="A11" s="25">
        <v>7</v>
      </c>
      <c r="B11" s="26" t="s">
        <v>198</v>
      </c>
      <c r="C11" s="26" t="s">
        <v>199</v>
      </c>
      <c r="D11" s="27">
        <f>ROUNDDOWN(m_03*20%,0)</f>
        <v>0</v>
      </c>
      <c r="E11" s="26" t="s">
        <v>195</v>
      </c>
    </row>
    <row r="12" spans="1:7" ht="37.950000000000003" customHeight="1">
      <c r="A12" s="25">
        <v>8</v>
      </c>
      <c r="B12" s="26" t="s">
        <v>200</v>
      </c>
      <c r="C12" s="26" t="s">
        <v>201</v>
      </c>
      <c r="D12" s="30">
        <f>SUM(m_05:m_07)</f>
        <v>0</v>
      </c>
      <c r="E12" s="26" t="s">
        <v>202</v>
      </c>
    </row>
    <row r="13" spans="1:7" ht="37.950000000000003" customHeight="1">
      <c r="A13" s="25">
        <v>9</v>
      </c>
      <c r="B13" s="26" t="s">
        <v>203</v>
      </c>
      <c r="C13" s="26" t="s">
        <v>204</v>
      </c>
      <c r="D13" s="27">
        <f>inp_m9_base+inp_m9_extra</f>
        <v>0</v>
      </c>
      <c r="E13" s="26" t="s">
        <v>205</v>
      </c>
    </row>
    <row r="14" spans="1:7" ht="37.950000000000003" customHeight="1">
      <c r="A14" s="25">
        <v>10</v>
      </c>
      <c r="B14" s="26" t="s">
        <v>35</v>
      </c>
      <c r="C14" s="26" t="s">
        <v>206</v>
      </c>
      <c r="D14" s="27">
        <f>inp_prev_div</f>
        <v>0</v>
      </c>
      <c r="E14" s="26" t="s">
        <v>195</v>
      </c>
    </row>
    <row r="15" spans="1:7" ht="37.950000000000003" customHeight="1">
      <c r="A15" s="25">
        <v>11</v>
      </c>
      <c r="B15" s="26" t="s">
        <v>38</v>
      </c>
      <c r="C15" s="26" t="s">
        <v>37</v>
      </c>
      <c r="D15" s="27">
        <f>inp_curr_div</f>
        <v>0</v>
      </c>
      <c r="E15" s="26" t="s">
        <v>195</v>
      </c>
    </row>
    <row r="16" spans="1:7" ht="37.950000000000003" customHeight="1">
      <c r="A16" s="25">
        <v>12</v>
      </c>
      <c r="B16" s="26" t="s">
        <v>207</v>
      </c>
      <c r="C16" s="26" t="s">
        <v>208</v>
      </c>
      <c r="D16" s="27">
        <f>MAX(MAX((inp_b1_4+inp_b1_5+inp_b1_7+inp_b1_10out-inp_b1_12-inp_b1_19)-inp_b6_5_2_5_3,0)+MAX(inp_b1_36-inp_b1_40-inp_b1_41,0)-MAX(inp_b6_5_2_5_3-(inp_b1_4+inp_b1_5+inp_b1_7+inp_b1_10out),0),0)</f>
        <v>0</v>
      </c>
      <c r="E16" s="26" t="s">
        <v>209</v>
      </c>
    </row>
    <row r="17" spans="1:5" ht="37.950000000000003" customHeight="1">
      <c r="A17" s="25">
        <v>13</v>
      </c>
      <c r="B17" s="26" t="s">
        <v>210</v>
      </c>
      <c r="C17" s="26" t="s">
        <v>211</v>
      </c>
      <c r="D17" s="27">
        <f>m_28</f>
        <v>0</v>
      </c>
      <c r="E17" s="26" t="s">
        <v>195</v>
      </c>
    </row>
    <row r="18" spans="1:5" ht="37.950000000000003" customHeight="1">
      <c r="A18" s="25">
        <v>14</v>
      </c>
      <c r="B18" s="26" t="s">
        <v>212</v>
      </c>
      <c r="C18" s="26" t="s">
        <v>90</v>
      </c>
      <c r="D18" s="27">
        <f>inp_m14_foreign</f>
        <v>0</v>
      </c>
      <c r="E18" s="26" t="s">
        <v>195</v>
      </c>
    </row>
    <row r="19" spans="1:5" ht="37.950000000000003" customHeight="1">
      <c r="A19" s="25">
        <v>15</v>
      </c>
      <c r="B19" s="26" t="s">
        <v>213</v>
      </c>
      <c r="C19" s="26" t="s">
        <v>214</v>
      </c>
      <c r="D19" s="27">
        <f>MAX(m_12+m_13-m_14,0)</f>
        <v>0</v>
      </c>
      <c r="E19" s="26" t="s">
        <v>195</v>
      </c>
    </row>
    <row r="20" spans="1:5" ht="37.950000000000003" customHeight="1">
      <c r="A20" s="25">
        <v>16</v>
      </c>
      <c r="B20" s="26" t="s">
        <v>215</v>
      </c>
      <c r="C20" s="26" t="s">
        <v>216</v>
      </c>
      <c r="D20" s="27">
        <f>inp_m16</f>
        <v>0</v>
      </c>
      <c r="E20" s="26" t="s">
        <v>195</v>
      </c>
    </row>
    <row r="21" spans="1:5" ht="37.950000000000003" customHeight="1">
      <c r="A21" s="25">
        <v>17</v>
      </c>
      <c r="B21" s="26" t="s">
        <v>217</v>
      </c>
      <c r="C21" s="26" t="s">
        <v>216</v>
      </c>
      <c r="D21" s="27">
        <f>inp_m17</f>
        <v>0</v>
      </c>
      <c r="E21" s="26" t="s">
        <v>195</v>
      </c>
    </row>
    <row r="22" spans="1:5" ht="37.950000000000003" customHeight="1">
      <c r="A22" s="25">
        <v>18</v>
      </c>
      <c r="B22" s="26" t="s">
        <v>218</v>
      </c>
      <c r="C22" s="26" t="s">
        <v>219</v>
      </c>
      <c r="D22" s="27">
        <f>inp_m18</f>
        <v>0</v>
      </c>
      <c r="E22" s="26" t="s">
        <v>195</v>
      </c>
    </row>
    <row r="23" spans="1:5" ht="37.950000000000003" customHeight="1">
      <c r="A23" s="25">
        <v>19</v>
      </c>
      <c r="B23" s="26" t="s">
        <v>220</v>
      </c>
      <c r="C23" s="26" t="s">
        <v>221</v>
      </c>
      <c r="D23" s="27">
        <f>m_09-inp_m9_inner+m_10-m_11-m_15+m_16-m_17-m_18</f>
        <v>0</v>
      </c>
      <c r="E23" s="26" t="s">
        <v>195</v>
      </c>
    </row>
    <row r="24" spans="1:5" ht="37.950000000000003" customHeight="1">
      <c r="A24" s="25">
        <v>20</v>
      </c>
      <c r="B24" s="26" t="s">
        <v>222</v>
      </c>
      <c r="C24" s="26" t="s">
        <v>223</v>
      </c>
      <c r="D24" s="27">
        <f>f1_32</f>
        <v>20000000</v>
      </c>
      <c r="E24" s="26" t="s">
        <v>195</v>
      </c>
    </row>
    <row r="25" spans="1:5" ht="37.950000000000003" customHeight="1">
      <c r="A25" s="25">
        <v>21</v>
      </c>
      <c r="B25" s="26" t="s">
        <v>224</v>
      </c>
      <c r="C25" s="26" t="s">
        <v>225</v>
      </c>
      <c r="D25" s="30">
        <f>ROUNDDOWN(MAX(m_19-m_20,0),-3)</f>
        <v>0</v>
      </c>
      <c r="E25" s="26" t="s">
        <v>226</v>
      </c>
    </row>
    <row r="26" spans="1:5" ht="37.950000000000003" customHeight="1">
      <c r="A26" s="25">
        <v>22</v>
      </c>
      <c r="B26" s="26" t="s">
        <v>227</v>
      </c>
      <c r="C26" s="26" t="s">
        <v>228</v>
      </c>
      <c r="D26" s="27">
        <f>inp_b1_2+inp_b1_5+inp_b1_7+inp_b1_10out-inp_b1_12-inp_b1_18-inp_m22_credits</f>
        <v>0</v>
      </c>
      <c r="E26" s="26" t="s">
        <v>195</v>
      </c>
    </row>
    <row r="27" spans="1:5" ht="37.950000000000003" customHeight="1">
      <c r="A27" s="25">
        <v>23</v>
      </c>
      <c r="B27" s="26" t="s">
        <v>229</v>
      </c>
      <c r="C27" s="26" t="s">
        <v>228</v>
      </c>
      <c r="D27" s="27">
        <f>inp_b1_2+inp_b1_5+inp_b1_7+inp_b1_10out-inp_b1_12-inp_b1_18-inp_m23_credits</f>
        <v>0</v>
      </c>
      <c r="E27" s="26" t="s">
        <v>195</v>
      </c>
    </row>
    <row r="28" spans="1:5" ht="37.950000000000003" customHeight="1">
      <c r="A28" s="25">
        <v>24</v>
      </c>
      <c r="B28" s="26" t="s">
        <v>210</v>
      </c>
      <c r="C28" s="26" t="s">
        <v>230</v>
      </c>
      <c r="D28" s="27">
        <f>ROUNDDOWN(MAX(0,IF(inp_class="該当",m_23,m_22))*cfg_resident_rate,0)</f>
        <v>0</v>
      </c>
      <c r="E28" s="26" t="s">
        <v>195</v>
      </c>
    </row>
    <row r="29" spans="1:5" ht="37.950000000000003" customHeight="1">
      <c r="A29" s="25">
        <v>25</v>
      </c>
      <c r="B29" s="26" t="s">
        <v>231</v>
      </c>
      <c r="C29" s="26" t="s">
        <v>232</v>
      </c>
      <c r="D29" s="27">
        <f>ROUNDDOWN(inp_specific_donation_total*cfg_donation_rate,0)</f>
        <v>0</v>
      </c>
      <c r="E29" s="26" t="s">
        <v>195</v>
      </c>
    </row>
    <row r="30" spans="1:5" ht="37.950000000000003" customHeight="1">
      <c r="A30" s="25">
        <v>26</v>
      </c>
      <c r="B30" s="26" t="s">
        <v>233</v>
      </c>
      <c r="C30" s="26" t="s">
        <v>234</v>
      </c>
      <c r="D30" s="27">
        <f>ROUNDDOWN(MAX(0,m_24+(inp_b1_12+inp_b1_18)*cfg_resident_rate)*20%,0)</f>
        <v>0</v>
      </c>
      <c r="E30" s="26" t="s">
        <v>195</v>
      </c>
    </row>
    <row r="31" spans="1:5" ht="37.950000000000003" customHeight="1">
      <c r="A31" s="25">
        <v>27</v>
      </c>
      <c r="B31" s="26" t="s">
        <v>235</v>
      </c>
      <c r="C31" s="26" t="s">
        <v>236</v>
      </c>
      <c r="D31" s="27">
        <f>MIN(m_25,m_26)</f>
        <v>0</v>
      </c>
      <c r="E31" s="26" t="s">
        <v>195</v>
      </c>
    </row>
    <row r="32" spans="1:5" ht="37.950000000000003" customHeight="1">
      <c r="A32" s="25">
        <v>28</v>
      </c>
      <c r="B32" s="26" t="s">
        <v>210</v>
      </c>
      <c r="C32" s="26" t="s">
        <v>237</v>
      </c>
      <c r="D32" s="27">
        <f>m_24-m_27</f>
        <v>0</v>
      </c>
      <c r="E32" s="26" t="s">
        <v>238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A5EC-3C85-4230-A010-F562A40FBDCF}">
  <sheetPr>
    <tabColor rgb="FF2F75B5"/>
    <pageSetUpPr fitToPage="1"/>
  </sheetPr>
  <dimension ref="A1:E36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2" t="s">
        <v>239</v>
      </c>
      <c r="B1" s="3"/>
      <c r="C1" s="3"/>
      <c r="D1" s="3"/>
      <c r="E1" s="3"/>
    </row>
    <row r="2" spans="1:5">
      <c r="A2" s="4" t="s">
        <v>176</v>
      </c>
      <c r="B2" s="3"/>
      <c r="C2" s="3"/>
      <c r="D2" s="3"/>
      <c r="E2" s="3"/>
    </row>
    <row r="3" spans="1:5">
      <c r="A3" s="5"/>
      <c r="B3" s="5"/>
      <c r="C3" s="5"/>
      <c r="D3" s="5"/>
      <c r="E3" s="5"/>
    </row>
    <row r="4" spans="1:5">
      <c r="A4" s="24" t="s">
        <v>177</v>
      </c>
      <c r="B4" s="24" t="s">
        <v>178</v>
      </c>
      <c r="C4" s="24" t="s">
        <v>179</v>
      </c>
      <c r="D4" s="24" t="s">
        <v>180</v>
      </c>
      <c r="E4" s="24" t="s">
        <v>181</v>
      </c>
    </row>
    <row r="5" spans="1:5" ht="37.950000000000003" customHeight="1">
      <c r="A5" s="25">
        <v>1</v>
      </c>
      <c r="B5" s="26" t="s">
        <v>240</v>
      </c>
      <c r="C5" s="26" t="s">
        <v>216</v>
      </c>
      <c r="D5" s="27">
        <f>inp_f1_capital</f>
        <v>0</v>
      </c>
      <c r="E5" s="26" t="s">
        <v>195</v>
      </c>
    </row>
    <row r="6" spans="1:5" ht="37.950000000000003" customHeight="1">
      <c r="A6" s="25">
        <v>2</v>
      </c>
      <c r="B6" s="26" t="s">
        <v>241</v>
      </c>
      <c r="C6" s="26" t="s">
        <v>242</v>
      </c>
      <c r="D6" s="27">
        <f>ROUNDDOWN(f1_01*25%,0)</f>
        <v>0</v>
      </c>
      <c r="E6" s="26" t="s">
        <v>243</v>
      </c>
    </row>
    <row r="7" spans="1:5" ht="37.950000000000003" customHeight="1">
      <c r="A7" s="25">
        <v>3</v>
      </c>
      <c r="B7" s="26" t="s">
        <v>244</v>
      </c>
      <c r="C7" s="26" t="s">
        <v>245</v>
      </c>
      <c r="D7" s="27">
        <f>inp_f1_opening_profit-inp_prev_div</f>
        <v>0</v>
      </c>
      <c r="E7" s="26" t="s">
        <v>195</v>
      </c>
    </row>
    <row r="8" spans="1:5" ht="37.950000000000003" customHeight="1">
      <c r="A8" s="25">
        <v>4</v>
      </c>
      <c r="B8" s="26" t="s">
        <v>106</v>
      </c>
      <c r="C8" s="26" t="s">
        <v>216</v>
      </c>
      <c r="D8" s="27">
        <f>inp_f1_merger_inc</f>
        <v>0</v>
      </c>
      <c r="E8" s="26" t="s">
        <v>195</v>
      </c>
    </row>
    <row r="9" spans="1:5" ht="37.950000000000003" customHeight="1">
      <c r="A9" s="25">
        <v>5</v>
      </c>
      <c r="B9" s="26" t="s">
        <v>109</v>
      </c>
      <c r="C9" s="26" t="s">
        <v>216</v>
      </c>
      <c r="D9" s="27">
        <f>inp_f1_split_dec</f>
        <v>0</v>
      </c>
      <c r="E9" s="26" t="s">
        <v>195</v>
      </c>
    </row>
    <row r="10" spans="1:5" ht="37.950000000000003" customHeight="1">
      <c r="A10" s="25">
        <v>6</v>
      </c>
      <c r="B10" s="26" t="s">
        <v>246</v>
      </c>
      <c r="C10" s="26" t="s">
        <v>247</v>
      </c>
      <c r="D10" s="27">
        <f>f1_03+f1_04-f1_05</f>
        <v>0</v>
      </c>
      <c r="E10" s="26" t="s">
        <v>195</v>
      </c>
    </row>
    <row r="11" spans="1:5" ht="37.950000000000003" customHeight="1">
      <c r="A11" s="25">
        <v>7</v>
      </c>
      <c r="B11" s="26" t="s">
        <v>248</v>
      </c>
      <c r="C11" s="26" t="s">
        <v>249</v>
      </c>
      <c r="D11" s="27">
        <f>MAX(f1_02-f1_06,0)</f>
        <v>0</v>
      </c>
      <c r="E11" s="26" t="s">
        <v>250</v>
      </c>
    </row>
    <row r="12" spans="1:5" ht="37.950000000000003" customHeight="1">
      <c r="A12" s="25">
        <v>8</v>
      </c>
      <c r="B12" s="26" t="s">
        <v>251</v>
      </c>
      <c r="C12" s="26" t="s">
        <v>252</v>
      </c>
      <c r="D12" s="27">
        <f>IF(inp_months="",0,ROUNDDOWN(20000000*inp_months/12,0))</f>
        <v>20000000</v>
      </c>
      <c r="E12" s="26" t="s">
        <v>243</v>
      </c>
    </row>
    <row r="13" spans="1:5" ht="37.950000000000003" customHeight="1">
      <c r="A13" s="25">
        <v>9</v>
      </c>
      <c r="B13" s="26" t="s">
        <v>253</v>
      </c>
      <c r="C13" s="26" t="s">
        <v>111</v>
      </c>
      <c r="D13" s="27">
        <f>inp_f1_09</f>
        <v>0</v>
      </c>
      <c r="E13" s="26" t="s">
        <v>195</v>
      </c>
    </row>
    <row r="14" spans="1:5" ht="37.950000000000003" customHeight="1">
      <c r="A14" s="25">
        <v>10</v>
      </c>
      <c r="B14" s="26" t="s">
        <v>254</v>
      </c>
      <c r="C14" s="26" t="s">
        <v>115</v>
      </c>
      <c r="D14" s="27">
        <f>inp_f1_10</f>
        <v>0</v>
      </c>
      <c r="E14" s="26" t="s">
        <v>195</v>
      </c>
    </row>
    <row r="15" spans="1:5" ht="37.950000000000003" customHeight="1">
      <c r="A15" s="25">
        <v>11</v>
      </c>
      <c r="B15" s="26" t="s">
        <v>255</v>
      </c>
      <c r="C15" s="26" t="s">
        <v>119</v>
      </c>
      <c r="D15" s="27">
        <f>inp_f1_11</f>
        <v>0</v>
      </c>
      <c r="E15" s="26" t="s">
        <v>195</v>
      </c>
    </row>
    <row r="16" spans="1:5" ht="37.950000000000003" customHeight="1">
      <c r="A16" s="25">
        <v>12</v>
      </c>
      <c r="B16" s="26" t="s">
        <v>256</v>
      </c>
      <c r="C16" s="26" t="s">
        <v>122</v>
      </c>
      <c r="D16" s="27">
        <f>inp_f1_12</f>
        <v>0</v>
      </c>
      <c r="E16" s="26" t="s">
        <v>195</v>
      </c>
    </row>
    <row r="17" spans="1:5" ht="37.950000000000003" customHeight="1">
      <c r="A17" s="25">
        <v>13</v>
      </c>
      <c r="B17" s="26" t="s">
        <v>257</v>
      </c>
      <c r="C17" s="26" t="s">
        <v>125</v>
      </c>
      <c r="D17" s="27">
        <f>inp_f1_13</f>
        <v>0</v>
      </c>
      <c r="E17" s="26" t="s">
        <v>195</v>
      </c>
    </row>
    <row r="18" spans="1:5" ht="37.950000000000003" customHeight="1">
      <c r="A18" s="25">
        <v>14</v>
      </c>
      <c r="B18" s="26" t="s">
        <v>258</v>
      </c>
      <c r="C18" s="26" t="s">
        <v>128</v>
      </c>
      <c r="D18" s="27">
        <f>inp_f1_14</f>
        <v>0</v>
      </c>
      <c r="E18" s="26" t="s">
        <v>195</v>
      </c>
    </row>
    <row r="19" spans="1:5" ht="37.950000000000003" customHeight="1">
      <c r="A19" s="25">
        <v>15</v>
      </c>
      <c r="B19" s="26" t="s">
        <v>259</v>
      </c>
      <c r="C19" s="26" t="s">
        <v>131</v>
      </c>
      <c r="D19" s="27">
        <f>inp_f1_15</f>
        <v>0</v>
      </c>
      <c r="E19" s="26" t="s">
        <v>195</v>
      </c>
    </row>
    <row r="20" spans="1:5" ht="37.950000000000003" customHeight="1">
      <c r="A20" s="25">
        <v>16</v>
      </c>
      <c r="B20" s="26" t="s">
        <v>260</v>
      </c>
      <c r="C20" s="26" t="s">
        <v>134</v>
      </c>
      <c r="D20" s="27">
        <f>inp_f1_16</f>
        <v>0</v>
      </c>
      <c r="E20" s="26" t="s">
        <v>195</v>
      </c>
    </row>
    <row r="21" spans="1:5" ht="37.950000000000003" customHeight="1">
      <c r="A21" s="25">
        <v>17</v>
      </c>
      <c r="B21" s="26" t="s">
        <v>261</v>
      </c>
      <c r="C21" s="26" t="s">
        <v>137</v>
      </c>
      <c r="D21" s="27">
        <f>inp_f1_17</f>
        <v>0</v>
      </c>
      <c r="E21" s="26" t="s">
        <v>195</v>
      </c>
    </row>
    <row r="22" spans="1:5" ht="37.950000000000003" customHeight="1">
      <c r="A22" s="25">
        <v>18</v>
      </c>
      <c r="B22" s="26" t="s">
        <v>218</v>
      </c>
      <c r="C22" s="26" t="s">
        <v>140</v>
      </c>
      <c r="D22" s="27">
        <f>inp_f1_18</f>
        <v>0</v>
      </c>
      <c r="E22" s="26" t="s">
        <v>195</v>
      </c>
    </row>
    <row r="23" spans="1:5" ht="37.950000000000003" customHeight="1">
      <c r="A23" s="25">
        <v>19</v>
      </c>
      <c r="B23" s="26" t="s">
        <v>262</v>
      </c>
      <c r="C23" s="26" t="s">
        <v>143</v>
      </c>
      <c r="D23" s="27">
        <f>inp_f1_19</f>
        <v>0</v>
      </c>
      <c r="E23" s="26" t="s">
        <v>195</v>
      </c>
    </row>
    <row r="24" spans="1:5" ht="37.950000000000003" customHeight="1">
      <c r="A24" s="25">
        <v>20</v>
      </c>
      <c r="B24" s="26" t="s">
        <v>263</v>
      </c>
      <c r="C24" s="26" t="s">
        <v>146</v>
      </c>
      <c r="D24" s="27">
        <f>inp_f1_20</f>
        <v>0</v>
      </c>
      <c r="E24" s="26" t="s">
        <v>195</v>
      </c>
    </row>
    <row r="25" spans="1:5" ht="37.950000000000003" customHeight="1">
      <c r="A25" s="25">
        <v>21</v>
      </c>
      <c r="B25" s="26" t="s">
        <v>264</v>
      </c>
      <c r="C25" s="26" t="s">
        <v>149</v>
      </c>
      <c r="D25" s="27">
        <f>inp_f1_21</f>
        <v>0</v>
      </c>
      <c r="E25" s="26" t="s">
        <v>195</v>
      </c>
    </row>
    <row r="26" spans="1:5" ht="37.950000000000003" customHeight="1">
      <c r="A26" s="25">
        <v>22</v>
      </c>
      <c r="B26" s="26" t="s">
        <v>265</v>
      </c>
      <c r="C26" s="26" t="s">
        <v>152</v>
      </c>
      <c r="D26" s="27">
        <f>inp_f1_22</f>
        <v>0</v>
      </c>
      <c r="E26" s="26" t="s">
        <v>195</v>
      </c>
    </row>
    <row r="27" spans="1:5" ht="37.950000000000003" customHeight="1">
      <c r="A27" s="25">
        <v>23</v>
      </c>
      <c r="B27" s="26" t="s">
        <v>266</v>
      </c>
      <c r="C27" s="26" t="s">
        <v>155</v>
      </c>
      <c r="D27" s="27">
        <f>inp_f1_23</f>
        <v>0</v>
      </c>
      <c r="E27" s="26" t="s">
        <v>195</v>
      </c>
    </row>
    <row r="28" spans="1:5" ht="37.950000000000003" customHeight="1">
      <c r="A28" s="25">
        <v>24</v>
      </c>
      <c r="B28" s="26" t="s">
        <v>267</v>
      </c>
      <c r="C28" s="26" t="s">
        <v>158</v>
      </c>
      <c r="D28" s="27">
        <f>inp_f1_24</f>
        <v>0</v>
      </c>
      <c r="E28" s="26" t="s">
        <v>195</v>
      </c>
    </row>
    <row r="29" spans="1:5" ht="37.950000000000003" customHeight="1">
      <c r="A29" s="25">
        <v>25</v>
      </c>
      <c r="B29" s="26" t="s">
        <v>268</v>
      </c>
      <c r="C29" s="26" t="s">
        <v>161</v>
      </c>
      <c r="D29" s="27">
        <f>inp_f1_25</f>
        <v>0</v>
      </c>
      <c r="E29" s="26" t="s">
        <v>195</v>
      </c>
    </row>
    <row r="30" spans="1:5" ht="37.950000000000003" customHeight="1">
      <c r="A30" s="25">
        <v>26</v>
      </c>
      <c r="B30" s="26" t="s">
        <v>269</v>
      </c>
      <c r="C30" s="26" t="s">
        <v>164</v>
      </c>
      <c r="D30" s="27">
        <f>inp_f1_26</f>
        <v>0</v>
      </c>
      <c r="E30" s="26" t="s">
        <v>195</v>
      </c>
    </row>
    <row r="31" spans="1:5" ht="37.950000000000003" customHeight="1">
      <c r="A31" s="25">
        <v>27</v>
      </c>
      <c r="B31" s="26" t="s">
        <v>270</v>
      </c>
      <c r="C31" s="26" t="s">
        <v>167</v>
      </c>
      <c r="D31" s="27">
        <f>inp_f1_27</f>
        <v>0</v>
      </c>
      <c r="E31" s="26" t="s">
        <v>195</v>
      </c>
    </row>
    <row r="32" spans="1:5" ht="37.950000000000003" customHeight="1">
      <c r="A32" s="25">
        <v>28</v>
      </c>
      <c r="B32" s="26" t="s">
        <v>271</v>
      </c>
      <c r="C32" s="26" t="s">
        <v>170</v>
      </c>
      <c r="D32" s="27">
        <f>inp_f1_28</f>
        <v>0</v>
      </c>
      <c r="E32" s="26" t="s">
        <v>195</v>
      </c>
    </row>
    <row r="33" spans="1:5" ht="37.950000000000003" customHeight="1">
      <c r="A33" s="25">
        <v>29</v>
      </c>
      <c r="B33" s="26" t="s">
        <v>272</v>
      </c>
      <c r="C33" s="26" t="s">
        <v>173</v>
      </c>
      <c r="D33" s="27">
        <f>inp_f1_29</f>
        <v>0</v>
      </c>
      <c r="E33" s="26" t="s">
        <v>195</v>
      </c>
    </row>
    <row r="34" spans="1:5" ht="37.950000000000003" customHeight="1">
      <c r="A34" s="25">
        <v>30</v>
      </c>
      <c r="B34" s="26" t="s">
        <v>273</v>
      </c>
      <c r="C34" s="26" t="s">
        <v>274</v>
      </c>
      <c r="D34" s="27">
        <f>f1_09-f1_10+f1_11+f1_12+f1_13+f1_14+f1_15+f1_16-f1_17-f1_18+f1_19+f1_20-f1_21+f1_22+f1_23+f1_24+f1_25-f1_26+f1_27+f1_28-f1_29</f>
        <v>0</v>
      </c>
      <c r="E34" s="26" t="s">
        <v>195</v>
      </c>
    </row>
    <row r="35" spans="1:5" ht="37.950000000000003" customHeight="1">
      <c r="A35" s="25">
        <v>31</v>
      </c>
      <c r="B35" s="26" t="s">
        <v>275</v>
      </c>
      <c r="C35" s="26" t="s">
        <v>276</v>
      </c>
      <c r="D35" s="27">
        <f>ROUNDDOWN(f1_30*40%,0)</f>
        <v>0</v>
      </c>
      <c r="E35" s="26" t="s">
        <v>243</v>
      </c>
    </row>
    <row r="36" spans="1:5" ht="37.950000000000003" customHeight="1">
      <c r="A36" s="25">
        <v>32</v>
      </c>
      <c r="B36" s="26" t="s">
        <v>222</v>
      </c>
      <c r="C36" s="26" t="s">
        <v>277</v>
      </c>
      <c r="D36" s="30">
        <f>MAX(f1_07,f1_08,f1_31)</f>
        <v>20000000</v>
      </c>
      <c r="E36" s="26" t="s">
        <v>278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AD4F-2337-4649-9B36-3E354930D8FB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8984375" customWidth="1"/>
  </cols>
  <sheetData>
    <row r="1" ht="280.5" customHeight="1"/>
    <row r="2" ht="280.5" customHeight="1"/>
    <row r="3" ht="280.64999999999998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CDCF-311F-42FE-A5CD-3699FBD0AD84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8984375" customWidth="1"/>
  </cols>
  <sheetData>
    <row r="1" ht="280.5" customHeight="1"/>
    <row r="2" ht="280.5" customHeight="1"/>
    <row r="3" ht="280.64999999999998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7696-317F-46DA-80DA-73F42EFFEE9E}">
  <sheetPr>
    <tabColor rgb="FFC00000"/>
    <pageSetUpPr fitToPage="1"/>
  </sheetPr>
  <dimension ref="A1:D19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6.69921875" customWidth="1"/>
    <col min="2" max="3" width="32.69921875" customWidth="1"/>
    <col min="4" max="4" width="12.69921875" customWidth="1"/>
  </cols>
  <sheetData>
    <row r="1" spans="1:4">
      <c r="A1" s="39" t="s">
        <v>349</v>
      </c>
      <c r="B1" s="36"/>
      <c r="C1" s="36"/>
      <c r="D1" s="36"/>
    </row>
    <row r="2" spans="1:4">
      <c r="A2" s="40"/>
      <c r="B2" s="40"/>
      <c r="C2" s="40"/>
      <c r="D2" s="40"/>
    </row>
    <row r="3" spans="1:4">
      <c r="A3" s="41" t="s">
        <v>350</v>
      </c>
      <c r="B3" s="41" t="s">
        <v>351</v>
      </c>
      <c r="C3" s="41" t="s">
        <v>352</v>
      </c>
      <c r="D3" s="41" t="s">
        <v>353</v>
      </c>
    </row>
    <row r="4" spans="1:4">
      <c r="A4" s="14" t="s">
        <v>354</v>
      </c>
      <c r="B4" s="14" t="s">
        <v>355</v>
      </c>
      <c r="C4" s="14" t="s">
        <v>356</v>
      </c>
      <c r="D4" s="42" t="s">
        <v>357</v>
      </c>
    </row>
    <row r="5" spans="1:4">
      <c r="A5" s="14" t="s">
        <v>358</v>
      </c>
      <c r="B5" s="14" t="s">
        <v>359</v>
      </c>
      <c r="C5" s="14" t="s">
        <v>359</v>
      </c>
      <c r="D5" s="42" t="s">
        <v>357</v>
      </c>
    </row>
    <row r="6" spans="1:4">
      <c r="A6" s="14" t="s">
        <v>360</v>
      </c>
      <c r="B6" s="14" t="s">
        <v>361</v>
      </c>
      <c r="C6" s="14" t="s">
        <v>361</v>
      </c>
      <c r="D6" s="42" t="s">
        <v>357</v>
      </c>
    </row>
    <row r="7" spans="1:4">
      <c r="A7" s="14" t="s">
        <v>362</v>
      </c>
      <c r="B7" s="14" t="s">
        <v>363</v>
      </c>
      <c r="C7" s="14" t="s">
        <v>363</v>
      </c>
      <c r="D7" s="42" t="s">
        <v>357</v>
      </c>
    </row>
    <row r="8" spans="1:4">
      <c r="A8" s="14" t="s">
        <v>364</v>
      </c>
      <c r="B8" s="14" t="s">
        <v>363</v>
      </c>
      <c r="C8" s="14" t="s">
        <v>363</v>
      </c>
      <c r="D8" s="42" t="s">
        <v>357</v>
      </c>
    </row>
    <row r="9" spans="1:4">
      <c r="A9" s="14" t="s">
        <v>365</v>
      </c>
      <c r="B9" s="14" t="s">
        <v>363</v>
      </c>
      <c r="C9" s="14" t="s">
        <v>363</v>
      </c>
      <c r="D9" s="42" t="s">
        <v>357</v>
      </c>
    </row>
    <row r="10" spans="1:4">
      <c r="A10" s="14" t="s">
        <v>366</v>
      </c>
      <c r="B10" s="14" t="s">
        <v>367</v>
      </c>
      <c r="C10" s="14" t="s">
        <v>367</v>
      </c>
      <c r="D10" s="42" t="s">
        <v>357</v>
      </c>
    </row>
    <row r="11" spans="1:4" ht="36">
      <c r="A11" s="14" t="s">
        <v>368</v>
      </c>
      <c r="B11" s="14" t="s">
        <v>369</v>
      </c>
      <c r="C11" s="14" t="s">
        <v>370</v>
      </c>
      <c r="D11" s="42" t="s">
        <v>357</v>
      </c>
    </row>
    <row r="12" spans="1:4">
      <c r="A12" s="14" t="s">
        <v>371</v>
      </c>
      <c r="B12" s="14" t="s">
        <v>372</v>
      </c>
      <c r="C12" s="14" t="s">
        <v>373</v>
      </c>
      <c r="D12" s="42" t="s">
        <v>357</v>
      </c>
    </row>
    <row r="13" spans="1:4">
      <c r="A13" s="14"/>
      <c r="B13" s="14"/>
      <c r="C13" s="14"/>
      <c r="D13" s="14"/>
    </row>
    <row r="14" spans="1:4" ht="22.95" customHeight="1">
      <c r="A14" s="43" t="s">
        <v>374</v>
      </c>
      <c r="B14" s="43"/>
      <c r="C14" s="43"/>
      <c r="D14" s="43"/>
    </row>
    <row r="15" spans="1:4">
      <c r="A15" s="14" t="s">
        <v>375</v>
      </c>
      <c r="B15" s="14">
        <v>0</v>
      </c>
      <c r="C15" s="14">
        <v>0</v>
      </c>
      <c r="D15" s="44" t="s">
        <v>357</v>
      </c>
    </row>
    <row r="16" spans="1:4">
      <c r="A16" s="14" t="s">
        <v>376</v>
      </c>
      <c r="B16" s="14">
        <v>28</v>
      </c>
      <c r="C16" s="14">
        <v>28</v>
      </c>
      <c r="D16" s="44" t="s">
        <v>357</v>
      </c>
    </row>
    <row r="17" spans="1:4">
      <c r="A17" s="14" t="s">
        <v>377</v>
      </c>
      <c r="B17" s="14">
        <v>32</v>
      </c>
      <c r="C17" s="14">
        <v>32</v>
      </c>
      <c r="D17" s="44" t="s">
        <v>357</v>
      </c>
    </row>
    <row r="18" spans="1:4">
      <c r="A18" s="14" t="s">
        <v>378</v>
      </c>
      <c r="B18" s="14">
        <v>0</v>
      </c>
      <c r="C18" s="14">
        <v>0</v>
      </c>
      <c r="D18" s="44" t="s">
        <v>357</v>
      </c>
    </row>
    <row r="19" spans="1:4">
      <c r="A19" s="14" t="s">
        <v>379</v>
      </c>
      <c r="B19" s="14" t="b">
        <v>1</v>
      </c>
      <c r="C19" s="14" t="b">
        <v>1</v>
      </c>
      <c r="D19" s="44" t="s">
        <v>357</v>
      </c>
    </row>
  </sheetData>
  <sheetProtection sheet="1" objects="1" scenarios="1"/>
  <mergeCells count="2">
    <mergeCell ref="A1:D1"/>
    <mergeCell ref="A14:D14"/>
  </mergeCells>
  <phoneticPr fontId="2"/>
  <pageMargins left="0.7" right="0.7" top="0.75" bottom="0.75" header="0.3" footer="0.3"/>
  <pageSetup paperSize="9" fitToHeight="9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856D-24A4-434E-81EF-D0F168C91322}">
  <sheetPr>
    <tabColor rgb="FFD9E1F2"/>
    <pageSetUpPr fitToPage="1"/>
  </sheetPr>
  <dimension ref="A1:E13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14.69921875" customWidth="1"/>
    <col min="2" max="2" width="38.69921875" customWidth="1"/>
    <col min="3" max="3" width="62.69921875" customWidth="1"/>
    <col min="4" max="4" width="68.69921875" customWidth="1"/>
    <col min="5" max="5" width="38.69921875" customWidth="1"/>
  </cols>
  <sheetData>
    <row r="1" spans="1:5" ht="26.4">
      <c r="A1" s="2" t="s">
        <v>311</v>
      </c>
      <c r="B1" s="3"/>
      <c r="C1" s="3"/>
      <c r="D1" s="3"/>
      <c r="E1" s="3"/>
    </row>
    <row r="2" spans="1:5">
      <c r="A2" s="5"/>
      <c r="B2" s="5"/>
      <c r="C2" s="5"/>
      <c r="D2" s="5"/>
      <c r="E2" s="5"/>
    </row>
    <row r="3" spans="1:5">
      <c r="A3" s="13" t="s">
        <v>312</v>
      </c>
      <c r="B3" s="13" t="s">
        <v>313</v>
      </c>
      <c r="C3" s="13" t="s">
        <v>314</v>
      </c>
      <c r="D3" s="13" t="s">
        <v>315</v>
      </c>
      <c r="E3" s="13" t="s">
        <v>316</v>
      </c>
    </row>
    <row r="4" spans="1:5" ht="42" customHeight="1">
      <c r="A4" s="9" t="s">
        <v>317</v>
      </c>
      <c r="B4" s="14" t="s">
        <v>318</v>
      </c>
      <c r="C4" s="38" t="s">
        <v>319</v>
      </c>
      <c r="D4" s="14"/>
      <c r="E4" s="14" t="s">
        <v>320</v>
      </c>
    </row>
    <row r="5" spans="1:5" ht="42" customHeight="1">
      <c r="A5" s="9" t="s">
        <v>317</v>
      </c>
      <c r="B5" s="14" t="s">
        <v>321</v>
      </c>
      <c r="C5" s="38" t="s">
        <v>322</v>
      </c>
      <c r="D5" s="14" t="s">
        <v>323</v>
      </c>
      <c r="E5" s="14" t="s">
        <v>324</v>
      </c>
    </row>
    <row r="6" spans="1:5" ht="42" customHeight="1">
      <c r="A6" s="9" t="s">
        <v>317</v>
      </c>
      <c r="B6" s="14" t="s">
        <v>325</v>
      </c>
      <c r="C6" s="38" t="s">
        <v>326</v>
      </c>
      <c r="D6" s="14" t="s">
        <v>327</v>
      </c>
      <c r="E6" s="14" t="s">
        <v>324</v>
      </c>
    </row>
    <row r="7" spans="1:5" ht="42" customHeight="1">
      <c r="A7" s="9" t="s">
        <v>317</v>
      </c>
      <c r="B7" s="14" t="s">
        <v>328</v>
      </c>
      <c r="C7" s="38" t="s">
        <v>329</v>
      </c>
      <c r="D7" s="14" t="s">
        <v>330</v>
      </c>
      <c r="E7" s="14" t="s">
        <v>324</v>
      </c>
    </row>
    <row r="8" spans="1:5" ht="42" customHeight="1">
      <c r="A8" s="9" t="s">
        <v>317</v>
      </c>
      <c r="B8" s="14" t="s">
        <v>331</v>
      </c>
      <c r="C8" s="38" t="s">
        <v>332</v>
      </c>
      <c r="D8" s="14" t="s">
        <v>333</v>
      </c>
      <c r="E8" s="14" t="s">
        <v>324</v>
      </c>
    </row>
    <row r="9" spans="1:5" ht="42" customHeight="1">
      <c r="A9" s="9" t="s">
        <v>317</v>
      </c>
      <c r="B9" s="14" t="s">
        <v>334</v>
      </c>
      <c r="C9" s="38" t="s">
        <v>335</v>
      </c>
      <c r="D9" s="14"/>
      <c r="E9" s="14" t="s">
        <v>336</v>
      </c>
    </row>
    <row r="10" spans="1:5" ht="42" customHeight="1">
      <c r="A10" s="9" t="s">
        <v>337</v>
      </c>
      <c r="B10" s="14" t="s">
        <v>338</v>
      </c>
      <c r="C10" s="38" t="s">
        <v>339</v>
      </c>
      <c r="D10" s="14"/>
      <c r="E10" s="14" t="s">
        <v>340</v>
      </c>
    </row>
    <row r="11" spans="1:5" ht="42" customHeight="1">
      <c r="A11" s="9" t="s">
        <v>337</v>
      </c>
      <c r="B11" s="14" t="s">
        <v>341</v>
      </c>
      <c r="C11" s="38" t="s">
        <v>342</v>
      </c>
      <c r="D11" s="14"/>
      <c r="E11" s="14" t="s">
        <v>343</v>
      </c>
    </row>
    <row r="12" spans="1:5">
      <c r="A12" s="9"/>
      <c r="B12" s="9"/>
      <c r="C12" s="9"/>
      <c r="D12" s="9"/>
      <c r="E12" s="9"/>
    </row>
    <row r="13" spans="1:5">
      <c r="A13" s="9" t="s">
        <v>344</v>
      </c>
      <c r="B13" s="8" t="s">
        <v>345</v>
      </c>
      <c r="C13" s="8"/>
      <c r="D13" s="8"/>
      <c r="E13" s="8"/>
    </row>
  </sheetData>
  <sheetProtection sheet="1" objects="1" scenarios="1"/>
  <mergeCells count="2">
    <mergeCell ref="A1:E1"/>
    <mergeCell ref="B13:E13"/>
  </mergeCells>
  <phoneticPr fontId="2"/>
  <hyperlinks>
    <hyperlink ref="C4" r:id="rId1" tooltip="https://www.nta.go.jp/taxes/tetsuzuki/shinsei/annai/hojin/shinkoku/itiran2021/01.htm" xr:uid="{B4BD8274-6BE7-43A3-9264-379BD3D17910}"/>
    <hyperlink ref="C5" r:id="rId2" tooltip="https://www.nta.go.jp/taxes/tetsuzuki/shinsei/annai/hojin/shinkoku/itiran2021/pdf/03%2801%29.pdf" xr:uid="{4CB008CD-64E8-4E4E-9825-2C702096D5A9}"/>
    <hyperlink ref="C6" r:id="rId3" tooltip="https://www.nta.go.jp/taxes/tetsuzuki/shinsei/annai/hojin/shinkoku/itiran2021/pdf/03%2801%29-ki.pdf" xr:uid="{099400EF-BC96-459F-9CC3-A987BD4C698E}"/>
    <hyperlink ref="C7" r:id="rId4" tooltip="https://www.nta.go.jp/taxes/tetsuzuki/shinsei/annai/hojin/shinkoku/itiran2021/pdf/03%2801%29-f.pdf" xr:uid="{BB94B0A4-3599-4B3D-ADF6-77B55600D964}"/>
    <hyperlink ref="C8" r:id="rId5" tooltip="https://www.nta.go.jp/taxes/tetsuzuki/shinsei/annai/hojin/shinkoku/itiran2021/pdf/03%2801%29-f-ki.pdf" xr:uid="{0B4CE199-CF48-4BF7-97B7-59E238CB8EA4}"/>
    <hyperlink ref="C9" r:id="rId6" tooltip="https://www.nta.go.jp/law/tsutatsu/kihon/hojin/16/16_01_02.htm" xr:uid="{6F73D8C8-A5BD-4DEF-BBB2-A042E4C3FCAE}"/>
    <hyperlink ref="C10" r:id="rId7" location="Mp-At_67" tooltip="https://laws.e-gov.go.jp/law/340AC0000000034#Mp-At_67" xr:uid="{CB36FAD1-B566-4211-87D1-31A836B9F0E1}"/>
    <hyperlink ref="C11" r:id="rId8" location="Mp-At_10" tooltip="https://laws.e-gov.go.jp/law/337AC0000000066#Mp-At_10" xr:uid="{EE378FB7-51FA-44BC-9619-C73BFE425E72}"/>
  </hyperlinks>
  <pageMargins left="0.7" right="0.7" top="0.75" bottom="0.75" header="0.3" footer="0.3"/>
  <pageSetup paperSize="9" fitToHeight="999" orientation="landscape"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285A-56C9-4245-98CA-BA70EE48E023}">
  <dimension ref="A1:C36"/>
  <sheetViews>
    <sheetView workbookViewId="0"/>
  </sheetViews>
  <sheetFormatPr defaultRowHeight="18"/>
  <sheetData>
    <row r="1" spans="1:3">
      <c r="A1" t="str">
        <f>IF(inp_corp="","",inp_corp)</f>
        <v/>
      </c>
    </row>
    <row r="2" spans="1:3">
      <c r="A2" t="str">
        <f>IF(OR(inp_start="",inp_end=""),"",TEXT(inp_start,"yyyy.m.d")&amp;CHAR(10)&amp;TEXT(inp_end,"yyyy.m.d"))</f>
        <v>2021.4.1
2022.3.31</v>
      </c>
    </row>
    <row r="5" spans="1:3">
      <c r="A5" t="str">
        <f>IF(m_01=0,"",TEXT(m_01/1000,"#,##0;-#,##0"))</f>
        <v/>
      </c>
      <c r="B5" t="str">
        <f>IF(inp_m9_inner=0,"",TEXT(inp_m9_inner,"#,##0;-#,##0"))</f>
        <v/>
      </c>
      <c r="C5" t="str">
        <f>IF(f1_01=0,"",TEXT(f1_01,"#,##0;-#,##0"))</f>
        <v/>
      </c>
    </row>
    <row r="6" spans="1:3">
      <c r="A6" t="str">
        <f>IF(m_02=0,"",TEXT(m_02/1000,"#,##0;-#,##0"))</f>
        <v/>
      </c>
      <c r="C6" t="str">
        <f>IF(f1_02=0,"",TEXT(f1_02,"#,##0;-#,##0"))</f>
        <v/>
      </c>
    </row>
    <row r="7" spans="1:3">
      <c r="A7" t="str">
        <f>IF(m_03=0,"",TEXT(m_03/1000,"#,##0;-#,##0"))</f>
        <v/>
      </c>
      <c r="C7" t="str">
        <f>IF(f1_03=0,"",TEXT(f1_03,"#,##0;-#,##0"))</f>
        <v/>
      </c>
    </row>
    <row r="8" spans="1:3">
      <c r="A8" t="str">
        <f>IF(m_04=0,"",TEXT(m_04/1000,"#,##0;-#,##0"))</f>
        <v/>
      </c>
      <c r="C8" t="str">
        <f>IF(f1_04=0,"",TEXT(f1_04,"#,##0;-#,##0"))</f>
        <v/>
      </c>
    </row>
    <row r="9" spans="1:3">
      <c r="A9" t="str">
        <f>IF(m_05=0,"",TEXT(m_05,"#,##0;-#,##0"))</f>
        <v/>
      </c>
      <c r="C9" t="str">
        <f>IF(f1_05=0,"",TEXT(f1_05,"#,##0;-#,##0"))</f>
        <v/>
      </c>
    </row>
    <row r="10" spans="1:3">
      <c r="A10" t="str">
        <f>IF(m_06=0,"",TEXT(m_06,"#,##0;-#,##0"))</f>
        <v/>
      </c>
      <c r="C10" t="str">
        <f>IF(f1_06=0,"",TEXT(f1_06,"#,##0;-#,##0"))</f>
        <v/>
      </c>
    </row>
    <row r="11" spans="1:3">
      <c r="A11" t="str">
        <f>IF(m_07=0,"",TEXT(m_07,"#,##0;-#,##0"))</f>
        <v/>
      </c>
      <c r="C11" t="str">
        <f>IF(f1_07=0,"",TEXT(f1_07,"#,##0;-#,##0"))</f>
        <v/>
      </c>
    </row>
    <row r="12" spans="1:3">
      <c r="A12" t="str">
        <f>IF(m_08=0,"",TEXT(m_08,"#,##0;-#,##0"))</f>
        <v/>
      </c>
      <c r="C12" t="str">
        <f>IF(f1_08=0,"",TEXT(f1_08,"#,##0;-#,##0"))</f>
        <v>20,000,000</v>
      </c>
    </row>
    <row r="13" spans="1:3">
      <c r="A13" t="str">
        <f>IF(m_09=0,"",TEXT(m_09,"#,##0;-#,##0"))</f>
        <v/>
      </c>
      <c r="C13" t="str">
        <f>IF(f1_09=0,"",TEXT(f1_09,"#,##0;-#,##0"))</f>
        <v/>
      </c>
    </row>
    <row r="14" spans="1:3">
      <c r="A14" t="str">
        <f>IF(m_10=0,"",TEXT(m_10,"#,##0;-#,##0"))</f>
        <v/>
      </c>
      <c r="C14" t="str">
        <f>IF(f1_10=0,"",TEXT(f1_10,"#,##0;-#,##0"))</f>
        <v/>
      </c>
    </row>
    <row r="15" spans="1:3">
      <c r="A15" t="str">
        <f>IF(m_11=0,"",TEXT(m_11,"#,##0;-#,##0"))</f>
        <v/>
      </c>
      <c r="C15" t="str">
        <f>IF(f1_11=0,"",TEXT(f1_11,"#,##0;-#,##0"))</f>
        <v/>
      </c>
    </row>
    <row r="16" spans="1:3">
      <c r="A16" t="str">
        <f>IF(m_12=0,"",TEXT(m_12,"#,##0;-#,##0"))</f>
        <v/>
      </c>
      <c r="C16" t="str">
        <f>IF(f1_12=0,"",TEXT(f1_12,"#,##0;-#,##0"))</f>
        <v/>
      </c>
    </row>
    <row r="17" spans="1:3">
      <c r="A17" t="str">
        <f>IF(m_13=0,"",TEXT(m_13,"#,##0;-#,##0"))</f>
        <v/>
      </c>
      <c r="C17" t="str">
        <f>IF(f1_13=0,"",TEXT(f1_13,"#,##0;-#,##0"))</f>
        <v/>
      </c>
    </row>
    <row r="18" spans="1:3">
      <c r="A18" t="str">
        <f>IF(m_14=0,"",TEXT(m_14,"#,##0;-#,##0"))</f>
        <v/>
      </c>
      <c r="C18" t="str">
        <f>IF(f1_14=0,"",TEXT(f1_14,"#,##0;-#,##0"))</f>
        <v/>
      </c>
    </row>
    <row r="19" spans="1:3">
      <c r="A19" t="str">
        <f>IF(m_15=0,"",TEXT(m_15,"#,##0;-#,##0"))</f>
        <v/>
      </c>
      <c r="C19" t="str">
        <f>IF(f1_15=0,"",TEXT(f1_15,"#,##0;-#,##0"))</f>
        <v/>
      </c>
    </row>
    <row r="20" spans="1:3">
      <c r="A20" t="str">
        <f>IF(m_16=0,"",TEXT(m_16,"#,##0;-#,##0"))</f>
        <v/>
      </c>
      <c r="C20" t="str">
        <f>IF(f1_16=0,"",TEXT(f1_16,"#,##0;-#,##0"))</f>
        <v/>
      </c>
    </row>
    <row r="21" spans="1:3">
      <c r="A21" t="str">
        <f>IF(m_17=0,"",TEXT(m_17,"#,##0;-#,##0"))</f>
        <v/>
      </c>
      <c r="C21" t="str">
        <f>IF(f1_17=0,"",TEXT(f1_17,"#,##0;-#,##0"))</f>
        <v/>
      </c>
    </row>
    <row r="22" spans="1:3">
      <c r="A22" t="str">
        <f>IF(m_18=0,"",TEXT(m_18,"#,##0;-#,##0"))</f>
        <v/>
      </c>
      <c r="C22" t="str">
        <f>IF(f1_18=0,"",TEXT(f1_18,"#,##0;-#,##0"))</f>
        <v/>
      </c>
    </row>
    <row r="23" spans="1:3">
      <c r="A23" t="str">
        <f>IF(m_19=0,"",TEXT(m_19,"#,##0;-#,##0"))</f>
        <v/>
      </c>
      <c r="C23" t="str">
        <f>IF(f1_19=0,"",TEXT(f1_19,"#,##0;-#,##0"))</f>
        <v/>
      </c>
    </row>
    <row r="24" spans="1:3">
      <c r="A24" t="str">
        <f>IF(m_20=0,"",TEXT(m_20,"#,##0;-#,##0"))</f>
        <v>20,000,000</v>
      </c>
      <c r="C24" t="str">
        <f>IF(f1_20=0,"",TEXT(f1_20,"#,##0;-#,##0"))</f>
        <v/>
      </c>
    </row>
    <row r="25" spans="1:3">
      <c r="A25" t="str">
        <f>IF(m_21=0,"",TEXT(m_21/1000,"#,##0;-#,##0"))</f>
        <v/>
      </c>
      <c r="C25" t="str">
        <f>IF(f1_21=0,"",TEXT(f1_21,"#,##0;-#,##0"))</f>
        <v/>
      </c>
    </row>
    <row r="26" spans="1:3">
      <c r="A26" t="str">
        <f>IF(m_22=0,"",TEXT(m_22,"#,##0;-#,##0"))</f>
        <v/>
      </c>
      <c r="C26" t="str">
        <f>IF(f1_22=0,"",TEXT(f1_22,"#,##0;-#,##0"))</f>
        <v/>
      </c>
    </row>
    <row r="27" spans="1:3">
      <c r="A27" t="str">
        <f>IF(m_23=0,"",TEXT(m_23,"#,##0;-#,##0"))</f>
        <v/>
      </c>
      <c r="C27" t="str">
        <f>IF(f1_23=0,"",TEXT(f1_23,"#,##0;-#,##0"))</f>
        <v/>
      </c>
    </row>
    <row r="28" spans="1:3">
      <c r="A28" t="str">
        <f>IF(m_24=0,"",TEXT(m_24,"#,##0;-#,##0"))</f>
        <v/>
      </c>
      <c r="C28" t="str">
        <f>IF(f1_24=0,"",TEXT(f1_24,"#,##0;-#,##0"))</f>
        <v/>
      </c>
    </row>
    <row r="29" spans="1:3">
      <c r="A29" t="str">
        <f>IF(m_25=0,"",TEXT(m_25,"#,##0;-#,##0"))</f>
        <v/>
      </c>
      <c r="C29" t="str">
        <f>IF(f1_25=0,"",TEXT(f1_25,"#,##0;-#,##0"))</f>
        <v/>
      </c>
    </row>
    <row r="30" spans="1:3">
      <c r="A30" t="str">
        <f>IF(m_26=0,"",TEXT(m_26,"#,##0;-#,##0"))</f>
        <v/>
      </c>
      <c r="C30" t="str">
        <f>IF(f1_26=0,"",TEXT(f1_26,"#,##0;-#,##0"))</f>
        <v/>
      </c>
    </row>
    <row r="31" spans="1:3">
      <c r="A31" t="str">
        <f>IF(m_27=0,"",TEXT(m_27,"#,##0;-#,##0"))</f>
        <v/>
      </c>
      <c r="C31" t="str">
        <f>IF(f1_27=0,"",TEXT(f1_27,"#,##0;-#,##0"))</f>
        <v/>
      </c>
    </row>
    <row r="32" spans="1:3">
      <c r="A32" t="str">
        <f>IF(m_28=0,"",TEXT(m_28,"#,##0;-#,##0"))</f>
        <v/>
      </c>
      <c r="C32" t="str">
        <f>IF(f1_28=0,"",TEXT(f1_28,"#,##0;-#,##0"))</f>
        <v/>
      </c>
    </row>
    <row r="33" spans="3:3">
      <c r="C33" t="str">
        <f>IF(f1_29=0,"",TEXT(f1_29,"#,##0;-#,##0"))</f>
        <v/>
      </c>
    </row>
    <row r="34" spans="3:3">
      <c r="C34" t="str">
        <f>IF(f1_30=0,"",TEXT(f1_30,"#,##0;-#,##0"))</f>
        <v/>
      </c>
    </row>
    <row r="35" spans="3:3">
      <c r="C35" t="str">
        <f>IF(f1_31=0,"",TEXT(f1_31,"#,##0;-#,##0"))</f>
        <v/>
      </c>
    </row>
    <row r="36" spans="3:3">
      <c r="C36" t="str">
        <f>IF(f1_32=0,"",TEXT(f1_32,"#,##0;-#,##0"))</f>
        <v>20,000,000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131</vt:i4>
      </vt:variant>
    </vt:vector>
  </HeadingPairs>
  <TitlesOfParts>
    <vt:vector size="139" baseType="lpstr">
      <vt:lpstr>使い方</vt:lpstr>
      <vt:lpstr>入力</vt:lpstr>
      <vt:lpstr>別表三一_計算</vt:lpstr>
      <vt:lpstr>付表_計算</vt:lpstr>
      <vt:lpstr>別表三(一)</vt:lpstr>
      <vt:lpstr>別表三(一)付表</vt:lpstr>
      <vt:lpstr>検算</vt:lpstr>
      <vt:lpstr>根拠・出典</vt:lpstr>
      <vt:lpstr>cfg_applicable</vt:lpstr>
      <vt:lpstr>cfg_donation_rate</vt:lpstr>
      <vt:lpstr>cfg_resident_rate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f1_30</vt:lpstr>
      <vt:lpstr>f1_31</vt:lpstr>
      <vt:lpstr>f1_32</vt:lpstr>
      <vt:lpstr>inp_b1_10out</vt:lpstr>
      <vt:lpstr>inp_b1_12</vt:lpstr>
      <vt:lpstr>inp_b1_18</vt:lpstr>
      <vt:lpstr>inp_b1_19</vt:lpstr>
      <vt:lpstr>inp_b1_2</vt:lpstr>
      <vt:lpstr>inp_b1_36</vt:lpstr>
      <vt:lpstr>inp_b1_4</vt:lpstr>
      <vt:lpstr>inp_b1_40</vt:lpstr>
      <vt:lpstr>inp_b1_41</vt:lpstr>
      <vt:lpstr>inp_b1_5</vt:lpstr>
      <vt:lpstr>inp_b1_7</vt:lpstr>
      <vt:lpstr>inp_b6_5_2_5_3</vt:lpstr>
      <vt:lpstr>inp_class</vt:lpstr>
      <vt:lpstr>inp_corp</vt:lpstr>
      <vt:lpstr>inp_curr_div</vt:lpstr>
      <vt:lpstr>inp_end</vt:lpstr>
      <vt:lpstr>inp_f1_09</vt:lpstr>
      <vt:lpstr>inp_f1_10</vt:lpstr>
      <vt:lpstr>inp_f1_11</vt:lpstr>
      <vt:lpstr>inp_f1_12</vt:lpstr>
      <vt:lpstr>inp_f1_13</vt:lpstr>
      <vt:lpstr>inp_f1_14</vt:lpstr>
      <vt:lpstr>inp_f1_15</vt:lpstr>
      <vt:lpstr>inp_f1_16</vt:lpstr>
      <vt:lpstr>inp_f1_17</vt:lpstr>
      <vt:lpstr>inp_f1_18</vt:lpstr>
      <vt:lpstr>inp_f1_19</vt:lpstr>
      <vt:lpstr>inp_f1_20</vt:lpstr>
      <vt:lpstr>inp_f1_21</vt:lpstr>
      <vt:lpstr>inp_f1_22</vt:lpstr>
      <vt:lpstr>inp_f1_23</vt:lpstr>
      <vt:lpstr>inp_f1_24</vt:lpstr>
      <vt:lpstr>inp_f1_25</vt:lpstr>
      <vt:lpstr>inp_f1_26</vt:lpstr>
      <vt:lpstr>inp_f1_27</vt:lpstr>
      <vt:lpstr>inp_f1_28</vt:lpstr>
      <vt:lpstr>inp_f1_29</vt:lpstr>
      <vt:lpstr>inp_f1_capital</vt:lpstr>
      <vt:lpstr>inp_f1_merger_inc</vt:lpstr>
      <vt:lpstr>inp_f1_opening_profit</vt:lpstr>
      <vt:lpstr>inp_f1_split_dec</vt:lpstr>
      <vt:lpstr>inp_group</vt:lpstr>
      <vt:lpstr>inp_m14_foreign</vt:lpstr>
      <vt:lpstr>inp_m16</vt:lpstr>
      <vt:lpstr>inp_m17</vt:lpstr>
      <vt:lpstr>inp_m18</vt:lpstr>
      <vt:lpstr>inp_m22_credits</vt:lpstr>
      <vt:lpstr>inp_m23_credits</vt:lpstr>
      <vt:lpstr>inp_m9_base</vt:lpstr>
      <vt:lpstr>inp_m9_extra</vt:lpstr>
      <vt:lpstr>inp_m9_inner</vt:lpstr>
      <vt:lpstr>inp_months</vt:lpstr>
      <vt:lpstr>inp_prev_div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m_26</vt:lpstr>
      <vt:lpstr>m_27</vt:lpstr>
      <vt:lpstr>m_28</vt:lpstr>
      <vt:lpstr>out_municipal_tax</vt:lpstr>
      <vt:lpstr>out_retained_tax</vt:lpstr>
      <vt:lpstr>out_retention_allowance</vt:lpstr>
      <vt:lpstr>out_taxable_retained</vt:lpstr>
      <vt:lpstr>検算!Print_Area</vt:lpstr>
      <vt:lpstr>根拠・出典!Print_Area</vt:lpstr>
      <vt:lpstr>使い方!Print_Area</vt:lpstr>
      <vt:lpstr>入力!Print_Area</vt:lpstr>
      <vt:lpstr>付表_計算!Print_Area</vt:lpstr>
      <vt:lpstr>'別表三(一)'!Print_Area</vt:lpstr>
      <vt:lpstr>'別表三(一)付表'!Print_Area</vt:lpstr>
      <vt:lpstr>別表三一_計算!Print_Area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jplawdb4</dc:creator>
  <cp:lastModifiedBy>jplawdb4</cp:lastModifiedBy>
</cp:coreProperties>
</file>