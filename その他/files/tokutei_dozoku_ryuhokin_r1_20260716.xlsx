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bookViews>
    <workbookView xWindow="-108" yWindow="-108" windowWidth="23256" windowHeight="12456"/>
  </bookViews>
  <sheets>
    <sheet name="使い方" sheetId="1" r:id="rId1"/>
    <sheet name="入力" sheetId="2" r:id="rId2"/>
    <sheet name="別表三一_計算" sheetId="3" r:id="rId3"/>
    <sheet name="付表_計算" sheetId="4" r:id="rId4"/>
    <sheet name="別表三(一)" sheetId="5" r:id="rId5"/>
    <sheet name="別表三(一)付表" sheetId="6" r:id="rId6"/>
    <sheet name="検算" sheetId="7" r:id="rId7"/>
    <sheet name="根拠・出典" sheetId="8" r:id="rId8"/>
    <sheet name="印字値" sheetId="9" state="veryHidden" r:id="rId9"/>
  </sheets>
  <definedNames>
    <definedName name="cfg_applicable">入力!$H$5</definedName>
    <definedName name="cfg_donation_rate">入力!$H$7</definedName>
    <definedName name="cfg_resident_rate">入力!$H$6</definedName>
    <definedName name="f1_01">付表_計算!$D$5</definedName>
    <definedName name="f1_02">付表_計算!$D$6</definedName>
    <definedName name="f1_03">付表_計算!$D$7</definedName>
    <definedName name="f1_04">付表_計算!$D$8</definedName>
    <definedName name="f1_05">付表_計算!$D$9</definedName>
    <definedName name="f1_06">付表_計算!$D$10</definedName>
    <definedName name="f1_07">付表_計算!$D$11</definedName>
    <definedName name="f1_08">付表_計算!$D$12</definedName>
    <definedName name="f1_09">付表_計算!$D$13</definedName>
    <definedName name="f1_10">付表_計算!$D$14</definedName>
    <definedName name="f1_11">付表_計算!$D$15</definedName>
    <definedName name="f1_12">付表_計算!$D$16</definedName>
    <definedName name="f1_13">付表_計算!$D$17</definedName>
    <definedName name="f1_14">付表_計算!$D$18</definedName>
    <definedName name="f1_15">付表_計算!$D$19</definedName>
    <definedName name="f1_16">付表_計算!$D$20</definedName>
    <definedName name="f1_17">付表_計算!$D$21</definedName>
    <definedName name="f1_18">付表_計算!$D$22</definedName>
    <definedName name="f1_19">付表_計算!$D$23</definedName>
    <definedName name="f1_20">付表_計算!$D$24</definedName>
    <definedName name="f1_21">付表_計算!$D$25</definedName>
    <definedName name="f1_22">付表_計算!$D$26</definedName>
    <definedName name="f1_23">付表_計算!$D$27</definedName>
    <definedName name="f1_24">付表_計算!$D$28</definedName>
    <definedName name="f1_25">付表_計算!$D$29</definedName>
    <definedName name="f1_26">付表_計算!$D$30</definedName>
    <definedName name="f1_27">付表_計算!$D$31</definedName>
    <definedName name="f1_28">付表_計算!$D$32</definedName>
    <definedName name="f1_29">付表_計算!$D$33</definedName>
    <definedName name="inp_b1_10out">入力!$D$26</definedName>
    <definedName name="inp_b1_12">入力!$D$27</definedName>
    <definedName name="inp_b1_18">入力!$D$28</definedName>
    <definedName name="inp_b1_19">入力!$D$29</definedName>
    <definedName name="inp_b1_2">入力!$D$22</definedName>
    <definedName name="inp_b1_36">入力!$D$30</definedName>
    <definedName name="inp_b1_4">入力!$D$23</definedName>
    <definedName name="inp_b1_40">入力!$D$31</definedName>
    <definedName name="inp_b1_41">入力!$D$32</definedName>
    <definedName name="inp_b1_5">入力!$D$24</definedName>
    <definedName name="inp_b1_7">入力!$D$25</definedName>
    <definedName name="inp_b6_5_2_5_3">入力!$D$33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09">入力!$D$45</definedName>
    <definedName name="inp_f1_10">入力!$D$46</definedName>
    <definedName name="inp_f1_11">入力!$D$47</definedName>
    <definedName name="inp_f1_12">入力!$D$48</definedName>
    <definedName name="inp_f1_13">入力!$D$49</definedName>
    <definedName name="inp_f1_14">入力!$D$50</definedName>
    <definedName name="inp_f1_15">入力!$D$51</definedName>
    <definedName name="inp_f1_16">入力!$D$52</definedName>
    <definedName name="inp_f1_17">入力!$D$53</definedName>
    <definedName name="inp_f1_18">入力!$D$54</definedName>
    <definedName name="inp_f1_19">入力!$D$55</definedName>
    <definedName name="inp_f1_20">入力!$D$56</definedName>
    <definedName name="inp_f1_21">入力!$D$57</definedName>
    <definedName name="inp_f1_22">入力!$D$58</definedName>
    <definedName name="inp_f1_23">入力!$D$59</definedName>
    <definedName name="inp_f1_24">入力!$D$60</definedName>
    <definedName name="inp_f1_25">入力!$D$61</definedName>
    <definedName name="inp_f1_26">入力!$D$62</definedName>
    <definedName name="inp_f1_capital">入力!$D$41</definedName>
    <definedName name="inp_f1_merger_inc">入力!$D$43</definedName>
    <definedName name="inp_f1_opening_profit">入力!$D$42</definedName>
    <definedName name="inp_f1_split_dec">入力!$D$44</definedName>
    <definedName name="inp_group">入力!$D$10</definedName>
    <definedName name="inp_m14_foreign">入力!$D$36</definedName>
    <definedName name="inp_m22_credits">入力!$D$34</definedName>
    <definedName name="inp_m23_credits">入力!$D$35</definedName>
    <definedName name="inp_m9_base">入力!$D$15</definedName>
    <definedName name="inp_m9_extra">入力!$D$16</definedName>
    <definedName name="inp_m9_inner">入力!$D$17</definedName>
    <definedName name="inp_months">入力!$D$8</definedName>
    <definedName name="inp_prev_div">入力!$D$18</definedName>
    <definedName name="inp_r1_group_paid">入力!$D$20</definedName>
    <definedName name="inp_r1_group_received">入力!$D$21</definedName>
    <definedName name="inp_special">入力!$D$11</definedName>
    <definedName name="inp_specific_donation_total">入力!$D$37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out_municipal_tax">別表三一_計算!$D$29</definedName>
    <definedName name="out_retained_tax">別表三一_計算!$D$12</definedName>
    <definedName name="out_retention_allowance">付表_計算!$D$33</definedName>
    <definedName name="out_taxable_retained">別表三一_計算!$D$22</definedName>
    <definedName name="_xlnm.Print_Area" localSheetId="6">検算!$A$1:$D$20</definedName>
    <definedName name="_xlnm.Print_Area" localSheetId="7">根拠・出典!$A$1:$E$14</definedName>
    <definedName name="_xlnm.Print_Area" localSheetId="0">使い方!$A$1:$H$40</definedName>
    <definedName name="_xlnm.Print_Area" localSheetId="1">入力!$A$1:$H$62</definedName>
    <definedName name="_xlnm.Print_Area" localSheetId="3">付表_計算!$A$1:$E$33</definedName>
    <definedName name="_xlnm.Print_Area" localSheetId="4">'別表三(一)'!$A$1:$L$3</definedName>
    <definedName name="_xlnm.Print_Area" localSheetId="5">'別表三(一)付表'!$A$1:$L$3</definedName>
    <definedName name="_xlnm.Print_Area" localSheetId="2">別表三一_計算!$A$1:$G$29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9" l="1"/>
  <c r="A2" i="9"/>
  <c r="A1" i="9"/>
  <c r="F13" i="1"/>
  <c r="F12" i="1"/>
  <c r="D24" i="3"/>
  <c r="D23" i="3"/>
  <c r="A23" i="9" s="1"/>
  <c r="D18" i="3"/>
  <c r="A18" i="9" s="1"/>
  <c r="D16" i="3"/>
  <c r="A16" i="9" s="1"/>
  <c r="D15" i="3"/>
  <c r="A15" i="9" s="1"/>
  <c r="D14" i="3"/>
  <c r="A14" i="9" s="1"/>
  <c r="D13" i="3"/>
  <c r="A13" i="9" s="1"/>
  <c r="D30" i="4"/>
  <c r="C30" i="9" s="1"/>
  <c r="D29" i="4"/>
  <c r="C29" i="9" s="1"/>
  <c r="D28" i="4"/>
  <c r="C28" i="9" s="1"/>
  <c r="D27" i="4"/>
  <c r="C27" i="9" s="1"/>
  <c r="D26" i="4"/>
  <c r="C26" i="9" s="1"/>
  <c r="D25" i="4"/>
  <c r="C25" i="9" s="1"/>
  <c r="D24" i="4"/>
  <c r="C24" i="9" s="1"/>
  <c r="D23" i="4"/>
  <c r="C23" i="9" s="1"/>
  <c r="D22" i="4"/>
  <c r="C22" i="9" s="1"/>
  <c r="D21" i="4"/>
  <c r="C21" i="9" s="1"/>
  <c r="D20" i="4"/>
  <c r="C20" i="9" s="1"/>
  <c r="D19" i="4"/>
  <c r="C19" i="9" s="1"/>
  <c r="D18" i="4"/>
  <c r="C18" i="9" s="1"/>
  <c r="D17" i="4"/>
  <c r="C17" i="9" s="1"/>
  <c r="D16" i="4"/>
  <c r="C16" i="9" s="1"/>
  <c r="D15" i="4"/>
  <c r="C15" i="9" s="1"/>
  <c r="D14" i="4"/>
  <c r="C14" i="9" s="1"/>
  <c r="D13" i="4"/>
  <c r="D9" i="4"/>
  <c r="C9" i="9" s="1"/>
  <c r="D8" i="4"/>
  <c r="D7" i="4"/>
  <c r="C7" i="9" s="1"/>
  <c r="D5" i="4"/>
  <c r="D6" i="4" s="1"/>
  <c r="H7" i="2"/>
  <c r="D26" i="3" s="1"/>
  <c r="A26" i="9" s="1"/>
  <c r="H6" i="2"/>
  <c r="H5" i="2"/>
  <c r="F11" i="1" s="1"/>
  <c r="D8" i="2"/>
  <c r="G7" i="3" s="1"/>
  <c r="D25" i="3" l="1"/>
  <c r="D27" i="3" s="1"/>
  <c r="D31" i="4"/>
  <c r="D32" i="4" s="1"/>
  <c r="C32" i="9" s="1"/>
  <c r="D10" i="4"/>
  <c r="C10" i="9" s="1"/>
  <c r="C6" i="9"/>
  <c r="D11" i="4"/>
  <c r="C11" i="9" s="1"/>
  <c r="C13" i="9"/>
  <c r="C8" i="9"/>
  <c r="A24" i="9"/>
  <c r="C5" i="9"/>
  <c r="D12" i="4"/>
  <c r="F14" i="1"/>
  <c r="C31" i="9" l="1"/>
  <c r="A25" i="9"/>
  <c r="D28" i="3"/>
  <c r="A27" i="9"/>
  <c r="C12" i="9"/>
  <c r="D33" i="4"/>
  <c r="C33" i="9" l="1"/>
  <c r="D21" i="3"/>
  <c r="A21" i="9" s="1"/>
  <c r="F7" i="1"/>
  <c r="A28" i="9"/>
  <c r="D29" i="3"/>
  <c r="F8" i="1" l="1"/>
  <c r="D17" i="3"/>
  <c r="A29" i="9"/>
  <c r="D19" i="3" l="1"/>
  <c r="A17" i="9"/>
  <c r="D20" i="3" l="1"/>
  <c r="A19" i="9"/>
  <c r="G5" i="3" l="1"/>
  <c r="A20" i="9"/>
  <c r="D22" i="3"/>
  <c r="D5" i="3" l="1"/>
  <c r="A22" i="9"/>
  <c r="F6" i="1"/>
  <c r="G6" i="3"/>
  <c r="G8" i="3" l="1"/>
  <c r="G9" i="3" s="1"/>
  <c r="G10" i="3" s="1"/>
  <c r="D6" i="3" s="1"/>
  <c r="A5" i="9"/>
  <c r="D9" i="3"/>
  <c r="A9" i="9" s="1"/>
  <c r="A6" i="9" l="1"/>
  <c r="D10" i="3"/>
  <c r="D7" i="3"/>
  <c r="D8" i="3"/>
  <c r="A8" i="9" s="1"/>
  <c r="D11" i="3" l="1"/>
  <c r="A11" i="9" s="1"/>
  <c r="A7" i="9"/>
  <c r="A10" i="9"/>
  <c r="D12" i="3" l="1"/>
  <c r="F5" i="1" s="1"/>
  <c r="A1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D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法人税法67条7項・国税通則法10条に従い、応当日がない月は月末を満了日とし、1月未満の端数を1月に切り上げます。</t>
        </r>
      </text>
    </comment>
    <comment ref="D1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別表四「47の②」
別表四の留保所得金額又は欠損金額を符号付きで転記（欠損は負数可）</t>
        </r>
      </text>
    </comment>
    <comment ref="D1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該当なし（通常0）
該当がなければ0</t>
        </r>
      </text>
    </comment>
    <comment ref="D1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別表四「17」
当期留保金額で主表9から減算</t>
        </r>
      </text>
    </comment>
    <comment ref="D1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前期の別表三(一)「11」</t>
        </r>
      </text>
    </comment>
    <comment ref="D1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法人税法67条4項</t>
        </r>
      </text>
    </comment>
    <comment ref="D2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連結法人間配当等</t>
        </r>
      </text>
    </comment>
    <comment ref="D2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連結法人間配当等</t>
        </r>
      </text>
    </comment>
    <comment ref="D2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別表一「2」</t>
        </r>
      </text>
    </comment>
    <comment ref="D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別表一「4」</t>
        </r>
      </text>
    </comment>
    <comment ref="D2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別表一「5」</t>
        </r>
      </text>
    </comment>
    <comment ref="D2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別表一「7」</t>
        </r>
      </text>
    </comment>
    <comment ref="D2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別表一「10の外書」</t>
        </r>
      </text>
    </comment>
    <comment ref="D2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別表一「12」</t>
        </r>
      </text>
    </comment>
    <comment ref="D2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別表一「18」</t>
        </r>
      </text>
    </comment>
    <comment ref="D2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別表一「19」</t>
        </r>
      </text>
    </comment>
    <comment ref="D3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別表一「36」</t>
        </r>
      </text>
    </comment>
    <comment ref="D3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別表一「40」</t>
        </r>
      </text>
    </comment>
    <comment ref="D3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別表一「41」</t>
        </r>
      </text>
    </comment>
    <comment ref="D3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別表六(五の二)「5の③」</t>
        </r>
      </text>
    </comment>
    <comment ref="D3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別表六(十三)23、(十四)17、(十五)22、(十六)24、(二十三)22、(二十四)23、(二十八)28、(二十九)13の合計</t>
        </r>
      </text>
    </comment>
    <comment ref="D3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別表六(九)20、(十)11、(十一)12、(十三)23、(十四)17、(十五)22、(十六)24、(十九)19、(二十)18、(二十一)31、(二十三)22、(二十四)23、(二十五)24、(二十六)21、(二十七)22、(二十八)28、(二十九)13の合計</t>
        </r>
      </text>
    </comment>
    <comment ref="D3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別表十七(三の十二)「1」</t>
        </r>
      </text>
    </comment>
    <comment ref="D3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法人税法施行令139条の10第1項
損金算入される額のみ</t>
        </r>
      </text>
    </comment>
    <comment ref="D4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期末資本金又は出資金</t>
        </r>
      </text>
    </comment>
    <comment ref="D4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別表五(一)の該当欄
利益積立金額がマイナスの場合は負数可</t>
        </r>
      </text>
    </comment>
    <comment ref="D4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適格合併等</t>
        </r>
      </text>
    </comment>
    <comment ref="D4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適格分割型分割等</t>
        </r>
      </text>
    </comment>
    <comment ref="D4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別表四「47の①」
別表四の所得金額又は欠損金額を符号付きで転記（欠損は負数可）</t>
        </r>
      </text>
    </comment>
    <comment ref="D4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別表四「38」
譲渡損失額はマイナス入力可</t>
        </r>
      </text>
    </comment>
    <comment ref="D4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別表八(一)「13」又は「26」から連結法人間配当等を除いた額</t>
        </r>
      </text>
    </comment>
    <comment ref="D4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別表八(二)「26」＋別表十七(三の四)「27の計」</t>
        </r>
      </text>
    </comment>
    <comment ref="D4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別表四「16」</t>
        </r>
      </text>
    </comment>
    <comment ref="D5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別表四「19」＋益金不算入附帯税（利子税を除く。）</t>
        </r>
      </text>
    </comment>
    <comment ref="D5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別表七(一)「4の計」＋別表七(二)又は(三)該当額</t>
        </r>
      </text>
    </comment>
    <comment ref="D5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別表四「26」</t>
        </r>
      </text>
    </comment>
    <comment ref="D5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別表四「37」</t>
        </r>
      </text>
    </comment>
    <comment ref="D5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別表十(三)「43」</t>
        </r>
      </text>
    </comment>
    <comment ref="D5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別表十(四)「20」</t>
        </r>
      </text>
    </comment>
    <comment ref="D5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別表十(四)「21」又は「23」</t>
        </r>
      </text>
    </comment>
    <comment ref="D5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別表十(一)「9」又は「13」</t>
        </r>
      </text>
    </comment>
    <comment ref="D5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別表十(二)「8」</t>
        </r>
      </text>
    </comment>
    <comment ref="D5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別表十(五)「22+37+42+47+52」</t>
        </r>
      </text>
    </comment>
    <comment ref="D6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別表十(六)「22」</t>
        </r>
      </text>
    </comment>
    <comment ref="D6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別表十七(二の三)「10」</t>
        </r>
      </text>
    </comment>
    <comment ref="D6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別表十七(三)・(三の二)・(三の三)・(三の九)・(三の十)の様式列挙額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G1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法人税基本通達16-1-8(2)の短期事業年度における1億円相当額の端数判定。</t>
        </r>
      </text>
    </comment>
  </commentList>
</comments>
</file>

<file path=xl/sharedStrings.xml><?xml version="1.0" encoding="utf-8"?>
<sst xmlns="http://schemas.openxmlformats.org/spreadsheetml/2006/main" count="484" uniqueCount="370">
  <si>
    <t>特定同族会社の留保金課税 - 入力（令和1年版）</t>
  </si>
  <si>
    <t>黄色セルだけを入力してください。青色セルと国税庁様式帳票は自動計算・自動転記です。</t>
  </si>
  <si>
    <t>法人名</t>
  </si>
  <si>
    <t>事業年度開始日</t>
  </si>
  <si>
    <t>事業年度終了日</t>
  </si>
  <si>
    <t>事業年度月数（自動）</t>
  </si>
  <si>
    <t>中小企業者等該当性（住民税計算用）</t>
  </si>
  <si>
    <t>通算法人</t>
  </si>
  <si>
    <t>別表二の判定結果：特定同族会社</t>
  </si>
  <si>
    <t>基本情報</t>
    <phoneticPr fontId="2"/>
  </si>
  <si>
    <t>年度版チェック</t>
  </si>
  <si>
    <t>事業年度が対象範囲内</t>
  </si>
  <si>
    <t>住民税率</t>
  </si>
  <si>
    <t>特定寄附金控除率</t>
  </si>
  <si>
    <t>令和1年4月1日から令和2年3月31日までに終了する事業年度の年次版</t>
  </si>
  <si>
    <t>別表三(一)・住民税額計算の入力</t>
  </si>
  <si>
    <t>入力ID</t>
  </si>
  <si>
    <t>転記元</t>
  </si>
  <si>
    <t>内容</t>
  </si>
  <si>
    <t>入力額</t>
  </si>
  <si>
    <t>備考</t>
  </si>
  <si>
    <t>m9_base</t>
  </si>
  <si>
    <t>別表四「47の②」</t>
  </si>
  <si>
    <t>留保所得金額（主表9）の基礎額</t>
  </si>
  <si>
    <t>別表四の留保所得金額又は欠損金額を符号付きで転記（欠損は負数可）</t>
  </si>
  <si>
    <t>m9_extra</t>
  </si>
  <si>
    <t>該当なし（通常0）</t>
  </si>
  <si>
    <t>留保所得金額（主表9）に含める記載要領上の追加額</t>
  </si>
  <si>
    <t>該当がなければ0</t>
  </si>
  <si>
    <t>m9_inner</t>
  </si>
  <si>
    <t>別表四「17」</t>
  </si>
  <si>
    <t>留保所得金額（主表9）の内書額</t>
  </si>
  <si>
    <t>当期留保金額で主表9から減算</t>
  </si>
  <si>
    <t>prev_div</t>
  </si>
  <si>
    <t>前期の別表三(一)「11」</t>
  </si>
  <si>
    <t>前期末配当等の額</t>
  </si>
  <si>
    <t>curr_div</t>
  </si>
  <si>
    <t>法人税法67条4項</t>
  </si>
  <si>
    <t>当期末配当等の額</t>
  </si>
  <si>
    <t>r1_group_paid</t>
  </si>
  <si>
    <t>連結法人間配当等</t>
  </si>
  <si>
    <t>当期支払額（主表9に加算）</t>
  </si>
  <si>
    <t>r1_group_received</t>
  </si>
  <si>
    <t>当期受取額（主表9から減算）</t>
  </si>
  <si>
    <t>b1_2</t>
  </si>
  <si>
    <t>別表一「2」</t>
  </si>
  <si>
    <t>主表12・住民税計算用：別表一「2」</t>
  </si>
  <si>
    <t>b1_4</t>
  </si>
  <si>
    <t>別表一「4」</t>
  </si>
  <si>
    <t>主表12・住民税計算用：別表一「4」</t>
  </si>
  <si>
    <t>b1_5</t>
  </si>
  <si>
    <t>別表一「5」</t>
  </si>
  <si>
    <t>主表12・住民税計算用：別表一「5」</t>
  </si>
  <si>
    <t>b1_7</t>
  </si>
  <si>
    <t>別表一「7」</t>
  </si>
  <si>
    <t>主表12・住民税計算用：別表一「7」</t>
  </si>
  <si>
    <t>b1_10out</t>
  </si>
  <si>
    <t>別表一「10の外書」</t>
  </si>
  <si>
    <t>主表12・住民税計算用：別表一「10の外書」</t>
  </si>
  <si>
    <t>b1_12</t>
  </si>
  <si>
    <t>別表一「12」</t>
  </si>
  <si>
    <t>主表12・住民税計算用：別表一「12」</t>
  </si>
  <si>
    <t>b1_18</t>
  </si>
  <si>
    <t>別表一「18」</t>
  </si>
  <si>
    <t>主表12・住民税計算用：別表一「18」</t>
  </si>
  <si>
    <t>b1_19</t>
  </si>
  <si>
    <t>別表一「19」</t>
  </si>
  <si>
    <t>主表12・住民税計算用：別表一「19」</t>
  </si>
  <si>
    <t>b1_36</t>
  </si>
  <si>
    <t>別表一「36」</t>
  </si>
  <si>
    <t>主表12・住民税計算用：別表一「36」</t>
  </si>
  <si>
    <t>b1_40</t>
  </si>
  <si>
    <t>別表一「40」</t>
  </si>
  <si>
    <t>主表12・住民税計算用：別表一「40」</t>
  </si>
  <si>
    <t>b1_41</t>
  </si>
  <si>
    <t>別表一「41」</t>
  </si>
  <si>
    <t>主表12・住民税計算用：別表一「41」</t>
  </si>
  <si>
    <t>b6_5_2_5_3</t>
  </si>
  <si>
    <t>別表六(五の二)「5の③」</t>
  </si>
  <si>
    <t>主表12の分配時調整外国税相当額</t>
  </si>
  <si>
    <t>m22_credits</t>
  </si>
  <si>
    <t>別表六(十三)23、(十四)17、(十五)22、(十六)24、(二十三)22、(二十四)23、(二十八)28、(二十九)13の合計</t>
  </si>
  <si>
    <t>主表22で差し引く税額控除等の合計</t>
  </si>
  <si>
    <t>m23_credits</t>
  </si>
  <si>
    <t>別表六(九)20、(十)11、(十一)12、(十三)23、(十四)17、(十五)22、(十六)24、(十九)19、(二十)18、(二十一)31、(二十三)22、(二十四)23、(二十五)24、(二十六)21、(二十七)22、(二十八)28、(二十九)13の合計</t>
  </si>
  <si>
    <t>主表23で差し引く税額控除等の合計</t>
  </si>
  <si>
    <t>m14_foreign</t>
  </si>
  <si>
    <t>別表十七(三の十二)「1」</t>
  </si>
  <si>
    <t>主表14：外国関係会社等に係る控除対象所得税額等相当額</t>
  </si>
  <si>
    <t>specific_donation_total</t>
  </si>
  <si>
    <t>法人税法施行令139条の10第1項</t>
  </si>
  <si>
    <t>主表の特定寄附金控除額の基礎となる合計額</t>
  </si>
  <si>
    <t>損金算入される額のみ</t>
  </si>
  <si>
    <t>留保控除額（付表・付表一）の入力</t>
  </si>
  <si>
    <t>f1_capital</t>
  </si>
  <si>
    <t>期末資本金又は出資金</t>
  </si>
  <si>
    <t>付表1欄：期末資本金の額又は出資金の額</t>
  </si>
  <si>
    <t>f1_opening_profit</t>
  </si>
  <si>
    <t>別表五(一)の該当欄</t>
  </si>
  <si>
    <t>期首利益積立金額の基礎額（主表10控除前）</t>
  </si>
  <si>
    <t>利益積立金額がマイナスの場合は負数可</t>
  </si>
  <si>
    <t>f1_merger_inc</t>
  </si>
  <si>
    <t>適格合併等</t>
  </si>
  <si>
    <t>適格合併等により増加した利益積立金額</t>
  </si>
  <si>
    <t>f1_split_dec</t>
  </si>
  <si>
    <t>適格分割型分割等</t>
  </si>
  <si>
    <t>適格分割型分割等により減少した利益積立金額</t>
  </si>
  <si>
    <t>f1_09</t>
  </si>
  <si>
    <t>別表四「47の①」</t>
  </si>
  <si>
    <t>付表の9欄：所得金額</t>
  </si>
  <si>
    <t>別表四の所得金額又は欠損金額を符号付きで転記（欠損は負数可）</t>
  </si>
  <si>
    <t>f1_10</t>
  </si>
  <si>
    <t>別表四「38」</t>
  </si>
  <si>
    <t>付表の10欄：非適格合併による移転資産等の譲渡利益額又は譲渡損失額</t>
  </si>
  <si>
    <t>譲渡損失額はマイナス入力可</t>
  </si>
  <si>
    <t>f1_11</t>
  </si>
  <si>
    <t>別表八(一)「13」又は「26」から連結法人間配当等を除いた額</t>
  </si>
  <si>
    <t>付表の11欄：受取配当等の益金不算入額</t>
  </si>
  <si>
    <t>f1_12</t>
  </si>
  <si>
    <t>別表八(二)「26」＋別表十七(三の四)「27の計」</t>
  </si>
  <si>
    <t>付表の12欄：外国子会社等から受ける剰余金の配当等の益金不算入額</t>
  </si>
  <si>
    <t>f1_13</t>
  </si>
  <si>
    <t>別表四「16」</t>
  </si>
  <si>
    <t>付表の13欄：受贈益の益金不算入額</t>
  </si>
  <si>
    <t>f1_14</t>
  </si>
  <si>
    <t>別表四「19」＋益金不算入附帯税（利子税を除く。）</t>
  </si>
  <si>
    <t>付表の14欄：法人税額の還付金等</t>
  </si>
  <si>
    <t>f1_15</t>
  </si>
  <si>
    <t>別表七(一)「4の計」＋別表七(二)又は(三)該当額</t>
  </si>
  <si>
    <t>付表の15欄：欠損金又は災害損失金等の当期控除額</t>
  </si>
  <si>
    <t>f1_16</t>
  </si>
  <si>
    <t>別表四「26」</t>
  </si>
  <si>
    <t>付表の16欄：被合併法人等の最終事業年度の欠損金の損金算入額</t>
  </si>
  <si>
    <t>f1_17</t>
  </si>
  <si>
    <t>別表四「37」</t>
  </si>
  <si>
    <t>付表の17欄：災害損失欠損金額の益金算入額</t>
  </si>
  <si>
    <t>f1_18</t>
  </si>
  <si>
    <t>別表十(三)「43」</t>
  </si>
  <si>
    <t>付表の18欄：新鉱床探鉱費又は海外新鉱床探鉱費の特別控除額</t>
  </si>
  <si>
    <t>f1_19</t>
  </si>
  <si>
    <t>別表十(四)「20」</t>
  </si>
  <si>
    <t>付表の19欄：日本船舶による収入金額に係る所得の損金算入額</t>
  </si>
  <si>
    <t>f1_20</t>
  </si>
  <si>
    <t>別表十(四)「21」又は「23」</t>
  </si>
  <si>
    <t>付表の20欄：日本船舶による収入金額に係る所得の益金算入額</t>
  </si>
  <si>
    <t>f1_21</t>
  </si>
  <si>
    <t>別表十(一)「9」又は「13」</t>
  </si>
  <si>
    <t>付表の21欄：沖縄の認定法人の所得の特別控除額</t>
  </si>
  <si>
    <t>f1_22</t>
  </si>
  <si>
    <t>別表十(二)「8」</t>
  </si>
  <si>
    <t>付表の22欄：国家戦略特別区域の指定法人の所得の特別控除額</t>
  </si>
  <si>
    <t>f1_23</t>
  </si>
  <si>
    <t>別表十(五)「22+37+42+47+52」</t>
  </si>
  <si>
    <t>付表の23欄：収用等の場合等の所得の特別控除額</t>
  </si>
  <si>
    <t>f1_24</t>
  </si>
  <si>
    <t>別表十(六)「22」</t>
  </si>
  <si>
    <t>付表の24欄：肉用牛の売却に係る所得の特別控除額</t>
  </si>
  <si>
    <t>f1_25</t>
  </si>
  <si>
    <t>別表十七(二の三)「10」</t>
  </si>
  <si>
    <t>付表の25欄：超過利子額の損金算入額</t>
  </si>
  <si>
    <t>f1_26</t>
  </si>
  <si>
    <t>別表十七(三)・(三の二)・(三の三)・(三の九)・(三の十)の様式列挙額</t>
  </si>
  <si>
    <t>付表の26欄：課税対象金額等の益金算入額</t>
  </si>
  <si>
    <t>別表三(一) - 留保金額に対する税額の計算</t>
  </si>
  <si>
    <t>令和1年版 国税庁様式。青色セルは自動計算、黄色セルは入力シートで入力します。</t>
  </si>
  <si>
    <t>番号</t>
  </si>
  <si>
    <t>項目</t>
  </si>
  <si>
    <t>計算式・転記元</t>
  </si>
  <si>
    <t>金額</t>
  </si>
  <si>
    <t>注記</t>
  </si>
  <si>
    <t>年3,000万円相当額以下の金額</t>
  </si>
  <si>
    <t>MIN((18),3,000万円×月数/12)</t>
  </si>
  <si>
    <t>1,000円単位</t>
  </si>
  <si>
    <t>年3,000万円相当額超・年1億円相当額以下</t>
  </si>
  <si>
    <t>基本通達16-1-8(2)の端数判定</t>
  </si>
  <si>
    <t>特殊な切上げ・切捨て</t>
  </si>
  <si>
    <t>年1億円相当額を超える金額</t>
  </si>
  <si>
    <t>(18)-(1)-(2)</t>
  </si>
  <si>
    <t>課税留保金額 計</t>
  </si>
  <si>
    <t>(1)+(2)+(3)</t>
  </si>
  <si>
    <t>主表(18)と一致</t>
  </si>
  <si>
    <t>(1)の10％相当額</t>
  </si>
  <si>
    <t>(1)×10％</t>
  </si>
  <si>
    <t/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</si>
  <si>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</si>
  <si>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</si>
  <si>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</si>
  <si>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</si>
  <si>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</si>
  <si>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</si>
  <si>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</si>
  <si>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</si>
  <si>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別表四47②＋連結法人間支払－受取</t>
  </si>
  <si>
    <t>内書額は別入力</t>
  </si>
  <si>
    <t>前期の主表11</t>
  </si>
  <si>
    <t>法人税額及び地方法人税額の合計額</t>
  </si>
  <si>
    <t>R1公式様式算式</t>
  </si>
  <si>
    <t>マイナスは0</t>
  </si>
  <si>
    <t>住民税額</t>
  </si>
  <si>
    <t>主表25</t>
  </si>
  <si>
    <t>外国関係会社等に係る控除対象所得税額等相当額</t>
  </si>
  <si>
    <t>法人税額等の合計額</t>
  </si>
  <si>
    <t>MAX((12)+(13)-(14),0)</t>
  </si>
  <si>
    <t>当期留保金額</t>
  </si>
  <si>
    <t>(9)-9内書+(10)-(11)-(15)</t>
  </si>
  <si>
    <t>留保控除額</t>
  </si>
  <si>
    <t>旧付表29</t>
  </si>
  <si>
    <t>課税留保金額</t>
  </si>
  <si>
    <t>MAX((16)-(17),0)、1,000円未満切捨て</t>
  </si>
  <si>
    <t>基本通達16-1-8(1)</t>
  </si>
  <si>
    <t>住民税計算の基礎となる法人税額（中小企業者等以外）</t>
  </si>
  <si>
    <t>R1様式列挙額</t>
  </si>
  <si>
    <t>住民税計算の基礎となる法人税額（中小企業者等）</t>
  </si>
  <si>
    <t>選択した(19)又は(20)×適用率</t>
  </si>
  <si>
    <t>開始日2019-10-1前16.3％、以後10.4％</t>
  </si>
  <si>
    <t>特定寄附金の額の合計額に係る控除額</t>
  </si>
  <si>
    <t>特定寄附金合計×20％</t>
  </si>
  <si>
    <t>R1は20％</t>
  </si>
  <si>
    <t>調整地方税額に係る控除額</t>
  </si>
  <si>
    <t>((21)+(別表一12+18)×適用率)×20％</t>
  </si>
  <si>
    <t>住民税額から控除される金額</t>
  </si>
  <si>
    <t>(22)又は(23)の少ない金額</t>
  </si>
  <si>
    <t>(21)-(24)</t>
  </si>
  <si>
    <t>主表13へ</t>
  </si>
  <si>
    <t>別表三(一)付表 - 留保控除額の計算</t>
  </si>
  <si>
    <t>期末資本金の額又は出資金の額</t>
  </si>
  <si>
    <t>入力値</t>
  </si>
  <si>
    <t>同上の25％相当額</t>
  </si>
  <si>
    <t>(1)×25％</t>
  </si>
  <si>
    <t>1円未満切捨て</t>
  </si>
  <si>
    <t>期首利益積立金額</t>
  </si>
  <si>
    <t>別表五(一)該当欄－主表(10)</t>
  </si>
  <si>
    <t>期末利益積立金額</t>
  </si>
  <si>
    <t>(3)+(4)-(5)</t>
  </si>
  <si>
    <t>積立金基準額</t>
  </si>
  <si>
    <t>MAX((2)-(6),0)</t>
  </si>
  <si>
    <t>負数は0。期末利益積立金額が負ならその正数分だけ増加</t>
  </si>
  <si>
    <t>定額基準額</t>
  </si>
  <si>
    <t>2,000万円×当期月数/12</t>
  </si>
  <si>
    <t>所得金額</t>
  </si>
  <si>
    <t>非適格合併による移転資産等の譲渡利益額又は譲渡損失額</t>
  </si>
  <si>
    <t>受取配当等の益金不算入額</t>
  </si>
  <si>
    <t>外国子会社等から受ける剰余金の配当等の益金不算入額</t>
  </si>
  <si>
    <t>受贈益の益金不算入額</t>
  </si>
  <si>
    <t>法人税額の還付金等</t>
  </si>
  <si>
    <t>欠損金又は災害損失金等の当期控除額</t>
  </si>
  <si>
    <t>被合併法人等の最終事業年度の欠損金の損金算入額</t>
  </si>
  <si>
    <t>災害損失欠損金額の益金算入額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</si>
  <si>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</si>
  <si>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</si>
  <si>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</si>
  <si>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沖縄の認定法人の所得の特別控除額</t>
  </si>
  <si>
    <t>国家戦略特別区域の指定法人の所得の特別控除額</t>
  </si>
  <si>
    <t>収用等の場合等の所得の特別控除額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</si>
  <si>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</si>
  <si>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</si>
  <si>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</si>
  <si>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</si>
  <si>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(9)-(10)+(11)+(12)+(13)+(14)+(15)+(16)-(17)+(18)+(19)-(20)+(21)+(22)+(23)+(24)+(25)-(26)</t>
  </si>
  <si>
    <t>所得基準額</t>
  </si>
  <si>
    <t>(27)×40％</t>
  </si>
  <si>
    <t>(7)、(8)、(28)のいずれか多い金額</t>
  </si>
  <si>
    <t>主表17へ</t>
  </si>
  <si>
    <t>端数処理ヘルパー</t>
  </si>
  <si>
    <t>値</t>
  </si>
  <si>
    <t>課税留保金額（切捨前）</t>
  </si>
  <si>
    <t>主表(18)で切り捨てた端数</t>
  </si>
  <si>
    <t>年1億円相当額（生額）</t>
  </si>
  <si>
    <t>主表(2)の丸め前金額</t>
  </si>
  <si>
    <t>主表(2)の1,000円未満端数</t>
  </si>
  <si>
    <t>主表(2)の丸め後金額</t>
  </si>
  <si>
    <t>特定同族会社の留保金課税 計算シート（令和1年版）</t>
  </si>
  <si>
    <t>令和1年4月1日から令和2年3月31日までに終了する事業年度の年次版／国税庁の当該年公式別表を背景として再現</t>
  </si>
  <si>
    <t>最終結果</t>
  </si>
  <si>
    <t>留保金額に対する税額（別表三(一)「8」）</t>
  </si>
  <si>
    <t>課税留保金額（同「18」）</t>
  </si>
  <si>
    <t>留保控除額（別表三(一)付表「29」）</t>
  </si>
  <si>
    <t>住民税額（別表三(一)「25」）</t>
  </si>
  <si>
    <t>適用・入力チェック</t>
  </si>
  <si>
    <t>年度版の適用期間</t>
  </si>
  <si>
    <t>特定同族会社の判定</t>
  </si>
  <si>
    <t>通算法人付表二</t>
  </si>
  <si>
    <t>事業年度月数</t>
  </si>
  <si>
    <t>操作手順</t>
  </si>
  <si>
    <t>1. 「入力」シートの黄色セルへ、各別表から円単位で入力します。負数を許容する4項目は備考・コメントに明記しています。</t>
  </si>
  <si>
    <t>2. 青色の計算シートで主表・付表の算式と転記元を確認します。</t>
  </si>
  <si>
    <t>3. 緑色タブの国税庁様式に自動転記された金額を確認し、申告用データと突合します。</t>
  </si>
  <si>
    <t>4. このブックは計算補助です。提出前に最新の法令・記載要領・電子申告仕様を必ず確認してください。</t>
  </si>
  <si>
    <t>シート移動</t>
  </si>
  <si>
    <t>入力</t>
  </si>
  <si>
    <t>主表計算</t>
  </si>
  <si>
    <t>付表_計算</t>
  </si>
  <si>
    <t>公式様式</t>
  </si>
  <si>
    <t>検算</t>
  </si>
  <si>
    <t>根拠・出典</t>
  </si>
  <si>
    <t>令和1年版 根拠・出典・ファイル同一性</t>
  </si>
  <si>
    <t>種別</t>
  </si>
  <si>
    <t>資料名</t>
  </si>
  <si>
    <t>URL</t>
  </si>
  <si>
    <t>SHA-256</t>
  </si>
  <si>
    <t>用途</t>
  </si>
  <si>
    <t>国税庁</t>
  </si>
  <si>
    <t>令和1年 法人税各種別表一覧</t>
  </si>
  <si>
    <t>https://www.nta.go.jp/taxes/tetsuzuki/shinsei/annai/hojin/shinkoku/itiran_r01/01.htm</t>
  </si>
  <si>
    <t>年度版・適用様式の確認</t>
  </si>
  <si>
    <t>令和元年10月1日前開始事業年度版一覧</t>
  </si>
  <si>
    <t>https://www.nta.go.jp/taxes/tetsuzuki/shinsei/annai/hojin/shinkoku/itiran2019/01.htm</t>
  </si>
  <si>
    <t>R1前後版はレンダリング完全一致。率は開始日分岐</t>
  </si>
  <si>
    <t>別表三(一) 公式様式</t>
  </si>
  <si>
    <t>https://www.nta.go.jp/taxes/tetsuzuki/shinsei/annai/hojin/shinkoku/itiran_r01/pdf/03%281%29.pdf</t>
  </si>
  <si>
    <t>5C8D8C4914FB6979C81548703F8BF792A5A7A035020301C16C1675111A48C698</t>
  </si>
  <si>
    <t>公式様式・算式・記載要領</t>
  </si>
  <si>
    <t>別表三(一) 記載要領</t>
  </si>
  <si>
    <t>https://www.nta.go.jp/taxes/tetsuzuki/shinsei/annai/hojin/shinkoku/itiran_r01/pdf/03%281%29-ki.pdf</t>
  </si>
  <si>
    <t>A60642DEF57D92B8D3B39B9BE87B91A153773B390E14AFB976BA5EEA05DBA5CD</t>
  </si>
  <si>
    <t>別表三(一)付表（付表一）公式様式</t>
  </si>
  <si>
    <t>https://www.nta.go.jp/taxes/tetsuzuki/shinsei/annai/hojin/shinkoku/itiran_r01/pdf/03%281%29-f.pdf</t>
  </si>
  <si>
    <t>3ECE4243129799F1FF245AF6F25EA219B4AE2688DFA8CF2188D6F79A5B34C27A</t>
  </si>
  <si>
    <t>別表三(一)付表（付表一）記載要領</t>
  </si>
  <si>
    <t>https://www.nta.go.jp/taxes/tetsuzuki/shinsei/annai/hojin/shinkoku/itiran_r01/pdf/03%281%29-f-ki.pdf</t>
  </si>
  <si>
    <t>4086C04082D103550D04268AD21B32F059EEFC4509FABA45346BD4ADAF3FD636</t>
  </si>
  <si>
    <t>法人税基本通達16-1-8</t>
  </si>
  <si>
    <t>https://www.nta.go.jp/law/tsutatsu/kihon/hojin/16/16_01_02.htm</t>
  </si>
  <si>
    <t>課税留保金額の1,000円端数処理</t>
  </si>
  <si>
    <t>e-Gov</t>
  </si>
  <si>
    <t>法人税法67条</t>
  </si>
  <si>
    <t>https://laws.e-gov.go.jp/law/340AC0000000034#Mp-At_67</t>
  </si>
  <si>
    <t>特定同族会社の特別税率・留保控除</t>
  </si>
  <si>
    <t>国税通則法10条</t>
  </si>
  <si>
    <t>https://laws.e-gov.go.jp/law/337AC0000000066#Mp-At_10</t>
  </si>
  <si>
    <t>暦による月数計算</t>
  </si>
  <si>
    <t>計算</t>
  </si>
  <si>
    <t>端数処理：法人税基本通達16-1-8。月数：法人税法67条7項・国税通則法10条。留保控除：積立金・定額・所得の三基準の最大額。</t>
  </si>
  <si>
    <t>いいえ</t>
    <phoneticPr fontId="2"/>
  </si>
  <si>
    <t>該当</t>
    <phoneticPr fontId="2"/>
  </si>
  <si>
    <t>はい</t>
    <phoneticPr fontId="2"/>
  </si>
  <si>
    <t>令和1年版 組込検算・構造QA</t>
  </si>
  <si>
    <t>テスト</t>
  </si>
  <si>
    <t>期待値</t>
  </si>
  <si>
    <t>実測値</t>
  </si>
  <si>
    <t>結果</t>
  </si>
  <si>
    <t>12か月・3段階税率</t>
  </si>
  <si>
    <t>課税留保180,000,000 / 税額29,500,000</t>
  </si>
  <si>
    <t>180,000,000 / 29,500,000</t>
  </si>
  <si>
    <t>PASS</t>
  </si>
  <si>
    <t>5か月・通達端数切上げ</t>
  </si>
  <si>
    <t>(2)=29,167,000</t>
  </si>
  <si>
    <t>5か月・通達端数切捨て</t>
  </si>
  <si>
    <t>(2)=29,166,000</t>
  </si>
  <si>
    <t>月数・平年月末</t>
  </si>
  <si>
    <t>月数=1</t>
  </si>
  <si>
    <t>月数・閏年月末</t>
  </si>
  <si>
    <t>月数・応当日前日</t>
  </si>
  <si>
    <t>月数・1か月と1日</t>
  </si>
  <si>
    <t>月数=2</t>
  </si>
  <si>
    <t>入力規則・符号分類</t>
  </si>
  <si>
    <t>資本金の負数を拒否／利益積立金の負数を受理</t>
  </si>
  <si>
    <t>資本金拒否=True／利益積立金受理=True</t>
  </si>
  <si>
    <t>R1税率・2019-10-1前</t>
  </si>
  <si>
    <t>住民税16.3% / 寄附20%</t>
  </si>
  <si>
    <t>16.3% / 20%</t>
  </si>
  <si>
    <t>R1税率・2019-10-1以後</t>
  </si>
  <si>
    <t>住民税10.4% / 寄附20%</t>
  </si>
  <si>
    <t>10.4% / 20%</t>
  </si>
  <si>
    <t>構造検査</t>
  </si>
  <si>
    <t>数式エラー</t>
  </si>
  <si>
    <t>主表行数</t>
  </si>
  <si>
    <t>付表行数</t>
  </si>
  <si>
    <t>付表二行数</t>
  </si>
  <si>
    <t>年度版適用期間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</si>
</sst>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9" formatCode="yyyy/mm/dd"/>
    <numFmt numFmtId="180" formatCode="[=0]&quot;OK&quot;;[=0]&quot;要確認&quot;"/>
    <numFmt numFmtId="181" formatCode="0.0%"/>
    <numFmt numFmtId="182" formatCode="#,##0;\-#,##0;0"/>
    <numFmt numFmtId="183" formatCode="#,##0&quot; 円&quot;"/>
  </numFmts>
  <fonts count="14">
    <font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548235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80" fontId="5" fillId="0" borderId="1" xfId="0" applyNumberFormat="1" applyFont="1" applyBorder="1" applyAlignment="1">
      <alignment vertical="center"/>
    </xf>
    <xf numFmtId="18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182" fontId="5" fillId="4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82" fontId="9" fillId="7" borderId="1" xfId="0" applyNumberFormat="1" applyFont="1" applyFill="1" applyBorder="1" applyAlignment="1">
      <alignment horizontal="right" vertical="center"/>
    </xf>
    <xf numFmtId="0" fontId="11" fillId="2" borderId="0" xfId="0" applyFont="1" applyFill="1">
      <alignment vertical="center"/>
    </xf>
    <xf numFmtId="0" fontId="9" fillId="8" borderId="0" xfId="0" applyFont="1" applyFill="1">
      <alignment vertical="center"/>
    </xf>
    <xf numFmtId="183" fontId="9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12" fillId="0" borderId="0" xfId="1" applyFont="1">
      <alignment vertical="center"/>
    </xf>
    <xf numFmtId="0" fontId="12" fillId="0" borderId="1" xfId="1" applyFon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182" fontId="5" fillId="3" borderId="1" xfId="0" applyNumberFormat="1" applyFont="1" applyFill="1" applyBorder="1" applyAlignment="1" applyProtection="1">
      <alignment horizontal="right" vertical="center"/>
      <protection locked="0"/>
    </xf>
    <xf numFmtId="49" fontId="5" fillId="3" borderId="1" xfId="0" applyNumberFormat="1" applyFont="1" applyFill="1" applyBorder="1" applyAlignment="1" applyProtection="1">
      <alignment horizontal="right" vertical="center"/>
      <protection locked="0"/>
    </xf>
    <xf numFmtId="179" fontId="5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0</xdr:colOff>
      <xdr:row>3</xdr:row>
      <xdr:rowOff>13716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4D537F7F-ECC5-D5C6-254F-210999612D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9336"/>
        </a:xfrm>
        <a:prstGeom prst="rect">
          <a:avLst/>
        </a:prstGeom>
      </xdr:spPr>
    </xdr:pic>
    <xdr:clientData/>
  </xdr:twoCellAnchor>
  <xdr:twoCellAnchor editAs="absolute">
    <xdr:from>
      <xdr:col>6</xdr:col>
      <xdr:colOff>511937</xdr:colOff>
      <xdr:row>0</xdr:row>
      <xdr:rowOff>359664</xdr:rowOff>
    </xdr:from>
    <xdr:to>
      <xdr:col>7</xdr:col>
      <xdr:colOff>552577</xdr:colOff>
      <xdr:row>0</xdr:row>
      <xdr:rowOff>753364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BCCEC4C6-3384-A44B-C5B4-811261DCFAF8}"/>
            </a:ext>
          </a:extLst>
        </xdr:cNvPr>
        <xdr:cNvSpPr txBox="1"/>
      </xdr:nvSpPr>
      <xdr:spPr>
        <a:xfrm>
          <a:off x="4306697" y="359664"/>
          <a:ext cx="6731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8F2BA2F1-8F3C-4B3D-97DE-2D709D4A0BD6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2019.4.1
2020.3.31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396494</xdr:colOff>
      <xdr:row>0</xdr:row>
      <xdr:rowOff>359664</xdr:rowOff>
    </xdr:from>
    <xdr:to>
      <xdr:col>11</xdr:col>
      <xdr:colOff>48514</xdr:colOff>
      <xdr:row>0</xdr:row>
      <xdr:rowOff>753364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68F892F0-9CFF-4CF6-E33C-E5C09C36BDFF}"/>
            </a:ext>
          </a:extLst>
        </xdr:cNvPr>
        <xdr:cNvSpPr txBox="1"/>
      </xdr:nvSpPr>
      <xdr:spPr>
        <a:xfrm>
          <a:off x="5456174" y="359664"/>
          <a:ext cx="15494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E71BB532-4502-4CA2-B2EE-9AA0843638E2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0</xdr:row>
      <xdr:rowOff>1308354</xdr:rowOff>
    </xdr:from>
    <xdr:to>
      <xdr:col>5</xdr:col>
      <xdr:colOff>351663</xdr:colOff>
      <xdr:row>0</xdr:row>
      <xdr:rowOff>1803654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5C5FD6E6-018F-7606-7962-6F9591787395}"/>
            </a:ext>
          </a:extLst>
        </xdr:cNvPr>
        <xdr:cNvSpPr txBox="1"/>
      </xdr:nvSpPr>
      <xdr:spPr>
        <a:xfrm>
          <a:off x="3005963" y="1308354"/>
          <a:ext cx="5080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062E864-8B84-4C6D-B5F8-0E4C12783D27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0</xdr:row>
      <xdr:rowOff>1910588</xdr:rowOff>
    </xdr:from>
    <xdr:to>
      <xdr:col>5</xdr:col>
      <xdr:colOff>351663</xdr:colOff>
      <xdr:row>0</xdr:row>
      <xdr:rowOff>2405888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78D8F28B-B801-D563-3ACC-3599861D11D9}"/>
            </a:ext>
          </a:extLst>
        </xdr:cNvPr>
        <xdr:cNvSpPr txBox="1"/>
      </xdr:nvSpPr>
      <xdr:spPr>
        <a:xfrm>
          <a:off x="3005963" y="1910588"/>
          <a:ext cx="5080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19348B9-E5A9-4B73-8E3A-E2B32D1792E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0</xdr:row>
      <xdr:rowOff>2512568</xdr:rowOff>
    </xdr:from>
    <xdr:to>
      <xdr:col>5</xdr:col>
      <xdr:colOff>351663</xdr:colOff>
      <xdr:row>0</xdr:row>
      <xdr:rowOff>3007868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BBB37FF2-B2DC-C093-A76D-1475DEDF205E}"/>
            </a:ext>
          </a:extLst>
        </xdr:cNvPr>
        <xdr:cNvSpPr txBox="1"/>
      </xdr:nvSpPr>
      <xdr:spPr>
        <a:xfrm>
          <a:off x="3005963" y="2512568"/>
          <a:ext cx="5080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2B6F1E6-DEDC-4819-8D08-182106798EC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0</xdr:row>
      <xdr:rowOff>3114548</xdr:rowOff>
    </xdr:from>
    <xdr:to>
      <xdr:col>5</xdr:col>
      <xdr:colOff>351663</xdr:colOff>
      <xdr:row>1</xdr:row>
      <xdr:rowOff>51308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F05CD1DE-E980-38A8-F02A-0BC1B020B73B}"/>
            </a:ext>
          </a:extLst>
        </xdr:cNvPr>
        <xdr:cNvSpPr txBox="1"/>
      </xdr:nvSpPr>
      <xdr:spPr>
        <a:xfrm>
          <a:off x="3005963" y="3114548"/>
          <a:ext cx="5080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1549D6E-7F02-419C-8511-BCABE34E6C9F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0</xdr:row>
      <xdr:rowOff>1308354</xdr:rowOff>
    </xdr:from>
    <xdr:to>
      <xdr:col>11</xdr:col>
      <xdr:colOff>31242</xdr:colOff>
      <xdr:row>0</xdr:row>
      <xdr:rowOff>1803654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E9BD94FE-2FBC-5C0D-377F-79C762F0FADB}"/>
            </a:ext>
          </a:extLst>
        </xdr:cNvPr>
        <xdr:cNvSpPr txBox="1"/>
      </xdr:nvSpPr>
      <xdr:spPr>
        <a:xfrm>
          <a:off x="6277102" y="1308354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314A657-ED1D-4EC9-83E9-F37A521443B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0</xdr:row>
      <xdr:rowOff>1910588</xdr:rowOff>
    </xdr:from>
    <xdr:to>
      <xdr:col>11</xdr:col>
      <xdr:colOff>31242</xdr:colOff>
      <xdr:row>0</xdr:row>
      <xdr:rowOff>2405888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DDA0ED00-CB9E-0EFC-C827-C1D43FAB46E2}"/>
            </a:ext>
          </a:extLst>
        </xdr:cNvPr>
        <xdr:cNvSpPr txBox="1"/>
      </xdr:nvSpPr>
      <xdr:spPr>
        <a:xfrm>
          <a:off x="6277102" y="1910588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2D144CF-35A0-48EC-8686-EBB01A51ED4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0</xdr:row>
      <xdr:rowOff>2512568</xdr:rowOff>
    </xdr:from>
    <xdr:to>
      <xdr:col>11</xdr:col>
      <xdr:colOff>31242</xdr:colOff>
      <xdr:row>0</xdr:row>
      <xdr:rowOff>3007868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CB634C93-6D0C-E774-8E51-97E36870738E}"/>
            </a:ext>
          </a:extLst>
        </xdr:cNvPr>
        <xdr:cNvSpPr txBox="1"/>
      </xdr:nvSpPr>
      <xdr:spPr>
        <a:xfrm>
          <a:off x="6277102" y="2512568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FD395E3-5107-4EE5-95E0-D70FFF24C95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0</xdr:row>
      <xdr:rowOff>3114548</xdr:rowOff>
    </xdr:from>
    <xdr:to>
      <xdr:col>11</xdr:col>
      <xdr:colOff>31242</xdr:colOff>
      <xdr:row>1</xdr:row>
      <xdr:rowOff>51308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72B1DF80-6636-1037-C161-14E17E9CB07D}"/>
            </a:ext>
          </a:extLst>
        </xdr:cNvPr>
        <xdr:cNvSpPr txBox="1"/>
      </xdr:nvSpPr>
      <xdr:spPr>
        <a:xfrm>
          <a:off x="6277102" y="3114548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8AF0960-005F-4B95-8F4B-7477011B1C1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1</xdr:row>
      <xdr:rowOff>399161</xdr:rowOff>
    </xdr:from>
    <xdr:to>
      <xdr:col>5</xdr:col>
      <xdr:colOff>554863</xdr:colOff>
      <xdr:row>1</xdr:row>
      <xdr:rowOff>894461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5B03F85A-F1FE-6B2B-9FD0-9F9676E2DE34}"/>
            </a:ext>
          </a:extLst>
        </xdr:cNvPr>
        <xdr:cNvSpPr txBox="1"/>
      </xdr:nvSpPr>
      <xdr:spPr>
        <a:xfrm>
          <a:off x="3005963" y="3957701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3B1E413-4814-407B-8A82-6F2588D2BC2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1</xdr:row>
      <xdr:rowOff>1001141</xdr:rowOff>
    </xdr:from>
    <xdr:to>
      <xdr:col>5</xdr:col>
      <xdr:colOff>554863</xdr:colOff>
      <xdr:row>1</xdr:row>
      <xdr:rowOff>1496441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BBFD4115-AFB1-0242-9A28-ADC397F3FD87}"/>
            </a:ext>
          </a:extLst>
        </xdr:cNvPr>
        <xdr:cNvSpPr txBox="1"/>
      </xdr:nvSpPr>
      <xdr:spPr>
        <a:xfrm>
          <a:off x="3005963" y="4559681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378937E-D2A5-4224-9625-A35278D7527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1</xdr:row>
      <xdr:rowOff>1603121</xdr:rowOff>
    </xdr:from>
    <xdr:to>
      <xdr:col>5</xdr:col>
      <xdr:colOff>554863</xdr:colOff>
      <xdr:row>1</xdr:row>
      <xdr:rowOff>2098421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00B32AF6-15BD-FF7F-09EA-02767D8D0CAF}"/>
            </a:ext>
          </a:extLst>
        </xdr:cNvPr>
        <xdr:cNvSpPr txBox="1"/>
      </xdr:nvSpPr>
      <xdr:spPr>
        <a:xfrm>
          <a:off x="3005963" y="5161661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BE3DA20-BC93-417C-BBAD-8DC85784D0F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1</xdr:row>
      <xdr:rowOff>2205355</xdr:rowOff>
    </xdr:from>
    <xdr:to>
      <xdr:col>5</xdr:col>
      <xdr:colOff>554863</xdr:colOff>
      <xdr:row>1</xdr:row>
      <xdr:rowOff>3424555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E5FC55FE-0F1C-A5E7-442E-06D79512D15E}"/>
            </a:ext>
          </a:extLst>
        </xdr:cNvPr>
        <xdr:cNvSpPr txBox="1"/>
      </xdr:nvSpPr>
      <xdr:spPr>
        <a:xfrm>
          <a:off x="3005963" y="5763895"/>
          <a:ext cx="711200" cy="1219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52A23A8-DD9E-4CD7-B2BE-C19A6CD1AF8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1</xdr:row>
      <xdr:rowOff>3529711</xdr:rowOff>
    </xdr:from>
    <xdr:to>
      <xdr:col>5</xdr:col>
      <xdr:colOff>554863</xdr:colOff>
      <xdr:row>2</xdr:row>
      <xdr:rowOff>466471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51D2DA41-306A-C0B5-9D1C-61A1ACD865DB}"/>
            </a:ext>
          </a:extLst>
        </xdr:cNvPr>
        <xdr:cNvSpPr txBox="1"/>
      </xdr:nvSpPr>
      <xdr:spPr>
        <a:xfrm>
          <a:off x="3005963" y="7088251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E061DA8-5A84-484B-9C33-4606B60DFA1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2</xdr:row>
      <xdr:rowOff>573532</xdr:rowOff>
    </xdr:from>
    <xdr:to>
      <xdr:col>5</xdr:col>
      <xdr:colOff>554863</xdr:colOff>
      <xdr:row>2</xdr:row>
      <xdr:rowOff>1068832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FB5DD699-2E6E-C6E1-02A6-C3EC9FAAE14B}"/>
            </a:ext>
          </a:extLst>
        </xdr:cNvPr>
        <xdr:cNvSpPr txBox="1"/>
      </xdr:nvSpPr>
      <xdr:spPr>
        <a:xfrm>
          <a:off x="3005963" y="7690612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720867F-3041-4008-83CA-E9777E1161E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2</xdr:row>
      <xdr:rowOff>1175512</xdr:rowOff>
    </xdr:from>
    <xdr:to>
      <xdr:col>5</xdr:col>
      <xdr:colOff>554863</xdr:colOff>
      <xdr:row>2</xdr:row>
      <xdr:rowOff>1670812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97789776-DD27-F1E1-6766-0308858768AE}"/>
            </a:ext>
          </a:extLst>
        </xdr:cNvPr>
        <xdr:cNvSpPr txBox="1"/>
      </xdr:nvSpPr>
      <xdr:spPr>
        <a:xfrm>
          <a:off x="3005963" y="8292592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08FC966-E1EB-4B44-88AE-FE435825CB2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2</xdr:row>
      <xdr:rowOff>1777492</xdr:rowOff>
    </xdr:from>
    <xdr:to>
      <xdr:col>5</xdr:col>
      <xdr:colOff>554863</xdr:colOff>
      <xdr:row>2</xdr:row>
      <xdr:rowOff>2272792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D0AAB3CC-6D1C-8194-2D60-5396CE02DC08}"/>
            </a:ext>
          </a:extLst>
        </xdr:cNvPr>
        <xdr:cNvSpPr txBox="1"/>
      </xdr:nvSpPr>
      <xdr:spPr>
        <a:xfrm>
          <a:off x="3005963" y="8894572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FB880DF-1390-4536-8A5A-708EB865C13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2</xdr:row>
      <xdr:rowOff>2379726</xdr:rowOff>
    </xdr:from>
    <xdr:to>
      <xdr:col>5</xdr:col>
      <xdr:colOff>554863</xdr:colOff>
      <xdr:row>2</xdr:row>
      <xdr:rowOff>2760726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97FDB466-ADE9-79CA-E313-5526FC4D645F}"/>
            </a:ext>
          </a:extLst>
        </xdr:cNvPr>
        <xdr:cNvSpPr txBox="1"/>
      </xdr:nvSpPr>
      <xdr:spPr>
        <a:xfrm>
          <a:off x="3005963" y="9496806"/>
          <a:ext cx="7112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C1DE138-7648-46DE-99C9-332EB558403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2</xdr:row>
      <xdr:rowOff>2861310</xdr:rowOff>
    </xdr:from>
    <xdr:to>
      <xdr:col>5</xdr:col>
      <xdr:colOff>351663</xdr:colOff>
      <xdr:row>2</xdr:row>
      <xdr:rowOff>3242310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FCC636DE-031E-F5FA-76B7-99C3B51BD64F}"/>
            </a:ext>
          </a:extLst>
        </xdr:cNvPr>
        <xdr:cNvSpPr txBox="1"/>
      </xdr:nvSpPr>
      <xdr:spPr>
        <a:xfrm>
          <a:off x="3005963" y="9978390"/>
          <a:ext cx="5080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7E687C3-C1D9-4062-8C70-D3C5F4AB2ED5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1</xdr:row>
      <xdr:rowOff>399161</xdr:rowOff>
    </xdr:from>
    <xdr:to>
      <xdr:col>11</xdr:col>
      <xdr:colOff>31242</xdr:colOff>
      <xdr:row>1</xdr:row>
      <xdr:rowOff>1732661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C4DE3239-0FA3-09C3-FEA1-2B254504A996}"/>
            </a:ext>
          </a:extLst>
        </xdr:cNvPr>
        <xdr:cNvSpPr txBox="1"/>
      </xdr:nvSpPr>
      <xdr:spPr>
        <a:xfrm>
          <a:off x="6277102" y="3957701"/>
          <a:ext cx="711200" cy="1333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9CBC61F-765E-4204-AF9C-F175571BEA4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1</xdr:row>
      <xdr:rowOff>1843913</xdr:rowOff>
    </xdr:from>
    <xdr:to>
      <xdr:col>11</xdr:col>
      <xdr:colOff>31242</xdr:colOff>
      <xdr:row>2</xdr:row>
      <xdr:rowOff>469773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2ACF7863-1D72-B143-FD0C-37FF5D09BBED}"/>
            </a:ext>
          </a:extLst>
        </xdr:cNvPr>
        <xdr:cNvSpPr txBox="1"/>
      </xdr:nvSpPr>
      <xdr:spPr>
        <a:xfrm>
          <a:off x="6277102" y="5402453"/>
          <a:ext cx="711200" cy="2184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D99ED00-C27E-45FE-99C2-53D2219198B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2</xdr:row>
      <xdr:rowOff>573532</xdr:rowOff>
    </xdr:from>
    <xdr:to>
      <xdr:col>11</xdr:col>
      <xdr:colOff>31242</xdr:colOff>
      <xdr:row>2</xdr:row>
      <xdr:rowOff>1068832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3F9772A8-3E56-241B-7F8E-0C0E9672A0B1}"/>
            </a:ext>
          </a:extLst>
        </xdr:cNvPr>
        <xdr:cNvSpPr txBox="1"/>
      </xdr:nvSpPr>
      <xdr:spPr>
        <a:xfrm>
          <a:off x="6277102" y="7690612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B2EA91A-B257-4A38-A2B1-1B6BCF476B3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2</xdr:row>
      <xdr:rowOff>1175512</xdr:rowOff>
    </xdr:from>
    <xdr:to>
      <xdr:col>11</xdr:col>
      <xdr:colOff>31242</xdr:colOff>
      <xdr:row>2</xdr:row>
      <xdr:rowOff>1670812</xdr:rowOff>
    </xdr:to>
    <xdr:sp macro="" textlink="印字値!$A$26">
      <xdr:nvSpPr>
        <xdr:cNvPr id="27" name="主表22">
          <a:extLst>
            <a:ext uri="{FF2B5EF4-FFF2-40B4-BE49-F238E27FC236}">
              <a16:creationId xmlns:a16="http://schemas.microsoft.com/office/drawing/2014/main" id="{CE251EE3-7A3C-9DAB-84C5-8AF9BBFCFE02}"/>
            </a:ext>
          </a:extLst>
        </xdr:cNvPr>
        <xdr:cNvSpPr txBox="1"/>
      </xdr:nvSpPr>
      <xdr:spPr>
        <a:xfrm>
          <a:off x="6277102" y="8292592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2933ACB-63EF-4C0E-95D3-95EFAEF38A5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2</xdr:row>
      <xdr:rowOff>1777492</xdr:rowOff>
    </xdr:from>
    <xdr:to>
      <xdr:col>11</xdr:col>
      <xdr:colOff>31242</xdr:colOff>
      <xdr:row>2</xdr:row>
      <xdr:rowOff>2272792</xdr:rowOff>
    </xdr:to>
    <xdr:sp macro="" textlink="印字値!$A$27">
      <xdr:nvSpPr>
        <xdr:cNvPr id="28" name="主表23">
          <a:extLst>
            <a:ext uri="{FF2B5EF4-FFF2-40B4-BE49-F238E27FC236}">
              <a16:creationId xmlns:a16="http://schemas.microsoft.com/office/drawing/2014/main" id="{7D87BCFB-1FCF-8FD2-9461-03675619BC15}"/>
            </a:ext>
          </a:extLst>
        </xdr:cNvPr>
        <xdr:cNvSpPr txBox="1"/>
      </xdr:nvSpPr>
      <xdr:spPr>
        <a:xfrm>
          <a:off x="6277102" y="8894572"/>
          <a:ext cx="7112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BED4799-1281-4406-BF90-C2A145AAC5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2</xdr:row>
      <xdr:rowOff>2379726</xdr:rowOff>
    </xdr:from>
    <xdr:to>
      <xdr:col>11</xdr:col>
      <xdr:colOff>31242</xdr:colOff>
      <xdr:row>2</xdr:row>
      <xdr:rowOff>2760726</xdr:rowOff>
    </xdr:to>
    <xdr:sp macro="" textlink="印字値!$A$28">
      <xdr:nvSpPr>
        <xdr:cNvPr id="29" name="主表24">
          <a:extLst>
            <a:ext uri="{FF2B5EF4-FFF2-40B4-BE49-F238E27FC236}">
              <a16:creationId xmlns:a16="http://schemas.microsoft.com/office/drawing/2014/main" id="{D7CE1AE9-90AB-A7F2-53FF-2BD7BE1668C8}"/>
            </a:ext>
          </a:extLst>
        </xdr:cNvPr>
        <xdr:cNvSpPr txBox="1"/>
      </xdr:nvSpPr>
      <xdr:spPr>
        <a:xfrm>
          <a:off x="6277102" y="9496806"/>
          <a:ext cx="7112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FE391DB-5D32-4449-B3A5-C0EB3EBD2BB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584962</xdr:colOff>
      <xdr:row>2</xdr:row>
      <xdr:rowOff>2861310</xdr:rowOff>
    </xdr:from>
    <xdr:to>
      <xdr:col>11</xdr:col>
      <xdr:colOff>31242</xdr:colOff>
      <xdr:row>2</xdr:row>
      <xdr:rowOff>3242310</xdr:rowOff>
    </xdr:to>
    <xdr:sp macro="" textlink="印字値!$A$29">
      <xdr:nvSpPr>
        <xdr:cNvPr id="30" name="主表25">
          <a:extLst>
            <a:ext uri="{FF2B5EF4-FFF2-40B4-BE49-F238E27FC236}">
              <a16:creationId xmlns:a16="http://schemas.microsoft.com/office/drawing/2014/main" id="{A28EAB49-4068-83F5-D6CF-827963A8E4C0}"/>
            </a:ext>
          </a:extLst>
        </xdr:cNvPr>
        <xdr:cNvSpPr txBox="1"/>
      </xdr:nvSpPr>
      <xdr:spPr>
        <a:xfrm>
          <a:off x="6277102" y="9978390"/>
          <a:ext cx="7112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0A9D9BE-A271-48A1-8242-0FB522D2443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476123</xdr:colOff>
      <xdr:row>1</xdr:row>
      <xdr:rowOff>386461</xdr:rowOff>
    </xdr:from>
    <xdr:to>
      <xdr:col>5</xdr:col>
      <xdr:colOff>529463</xdr:colOff>
      <xdr:row>1</xdr:row>
      <xdr:rowOff>538861</xdr:rowOff>
    </xdr:to>
    <xdr:sp macro="" textlink="印字値!$B$5">
      <xdr:nvSpPr>
        <xdr:cNvPr id="31" name="主表09内書">
          <a:extLst>
            <a:ext uri="{FF2B5EF4-FFF2-40B4-BE49-F238E27FC236}">
              <a16:creationId xmlns:a16="http://schemas.microsoft.com/office/drawing/2014/main" id="{A6B97DFA-7D70-8A33-D49E-F4A6A7411C5B}"/>
            </a:ext>
          </a:extLst>
        </xdr:cNvPr>
        <xdr:cNvSpPr txBox="1"/>
      </xdr:nvSpPr>
      <xdr:spPr>
        <a:xfrm>
          <a:off x="3005963" y="3945001"/>
          <a:ext cx="6858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rmAutofit/>
        </a:bodyPr>
        <a:lstStyle/>
        <a:p>
          <a:pPr algn="r"/>
          <a:fld id="{DD6A27DD-7D7E-4D57-B2D7-6E3CD8E1FC17}" type="TxLink">
            <a:rPr kumimoji="1" lang="en-US" altLang="en-US" sz="5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0</xdr:colOff>
      <xdr:row>3</xdr:row>
      <xdr:rowOff>13716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C9A224D1-90A3-90F1-1207-FFC15EB80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9336"/>
        </a:xfrm>
        <a:prstGeom prst="rect">
          <a:avLst/>
        </a:prstGeom>
      </xdr:spPr>
    </xdr:pic>
    <xdr:clientData/>
  </xdr:twoCellAnchor>
  <xdr:twoCellAnchor editAs="absolute">
    <xdr:from>
      <xdr:col>6</xdr:col>
      <xdr:colOff>450977</xdr:colOff>
      <xdr:row>0</xdr:row>
      <xdr:rowOff>710184</xdr:rowOff>
    </xdr:from>
    <xdr:to>
      <xdr:col>7</xdr:col>
      <xdr:colOff>580517</xdr:colOff>
      <xdr:row>0</xdr:row>
      <xdr:rowOff>1065784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20D8A87C-26E6-8E4E-F9BB-ABB60FED2E3F}"/>
            </a:ext>
          </a:extLst>
        </xdr:cNvPr>
        <xdr:cNvSpPr txBox="1"/>
      </xdr:nvSpPr>
      <xdr:spPr>
        <a:xfrm>
          <a:off x="4245737" y="710184"/>
          <a:ext cx="762000" cy="3556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AD4F6838-796F-488E-8006-6D4ED6AB2F45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2019.4.1
2020.3.31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423926</xdr:colOff>
      <xdr:row>0</xdr:row>
      <xdr:rowOff>710184</xdr:rowOff>
    </xdr:from>
    <xdr:to>
      <xdr:col>10</xdr:col>
      <xdr:colOff>543306</xdr:colOff>
      <xdr:row>0</xdr:row>
      <xdr:rowOff>1065784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5C3DCDB5-4826-2077-C2D4-B00709052E26}"/>
            </a:ext>
          </a:extLst>
        </xdr:cNvPr>
        <xdr:cNvSpPr txBox="1"/>
      </xdr:nvSpPr>
      <xdr:spPr>
        <a:xfrm>
          <a:off x="5483606" y="710184"/>
          <a:ext cx="13843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86EA6033-BCD8-4C3D-BA21-52D9F6CF8FBF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0</xdr:row>
      <xdr:rowOff>1129284</xdr:rowOff>
    </xdr:from>
    <xdr:to>
      <xdr:col>5</xdr:col>
      <xdr:colOff>582803</xdr:colOff>
      <xdr:row>0</xdr:row>
      <xdr:rowOff>1611884</xdr:rowOff>
    </xdr:to>
    <xdr:sp macro="" textlink="印字値!$C$5">
      <xdr:nvSpPr>
        <xdr:cNvPr id="6" name="付表01">
          <a:extLst>
            <a:ext uri="{FF2B5EF4-FFF2-40B4-BE49-F238E27FC236}">
              <a16:creationId xmlns:a16="http://schemas.microsoft.com/office/drawing/2014/main" id="{9A73E3CE-E17A-6C3F-1CAD-A0E1A43A79CE}"/>
            </a:ext>
          </a:extLst>
        </xdr:cNvPr>
        <xdr:cNvSpPr txBox="1"/>
      </xdr:nvSpPr>
      <xdr:spPr>
        <a:xfrm>
          <a:off x="2945003" y="112928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13BE8D9-661C-4B1D-A320-2381B228B8D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0</xdr:row>
      <xdr:rowOff>1712214</xdr:rowOff>
    </xdr:from>
    <xdr:to>
      <xdr:col>5</xdr:col>
      <xdr:colOff>582803</xdr:colOff>
      <xdr:row>0</xdr:row>
      <xdr:rowOff>2194814</xdr:rowOff>
    </xdr:to>
    <xdr:sp macro="" textlink="印字値!$C$6">
      <xdr:nvSpPr>
        <xdr:cNvPr id="7" name="付表02">
          <a:extLst>
            <a:ext uri="{FF2B5EF4-FFF2-40B4-BE49-F238E27FC236}">
              <a16:creationId xmlns:a16="http://schemas.microsoft.com/office/drawing/2014/main" id="{FD6884B9-7DC9-AAF6-107F-CE76CFF9B067}"/>
            </a:ext>
          </a:extLst>
        </xdr:cNvPr>
        <xdr:cNvSpPr txBox="1"/>
      </xdr:nvSpPr>
      <xdr:spPr>
        <a:xfrm>
          <a:off x="2945003" y="171221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635A0E4-59A4-4B84-8CE8-2B49FA60226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0</xdr:row>
      <xdr:rowOff>2297684</xdr:rowOff>
    </xdr:from>
    <xdr:to>
      <xdr:col>5</xdr:col>
      <xdr:colOff>582803</xdr:colOff>
      <xdr:row>0</xdr:row>
      <xdr:rowOff>2780284</xdr:rowOff>
    </xdr:to>
    <xdr:sp macro="" textlink="印字値!$C$7">
      <xdr:nvSpPr>
        <xdr:cNvPr id="8" name="付表03">
          <a:extLst>
            <a:ext uri="{FF2B5EF4-FFF2-40B4-BE49-F238E27FC236}">
              <a16:creationId xmlns:a16="http://schemas.microsoft.com/office/drawing/2014/main" id="{6B9A6623-4D4A-F982-7DB6-8224D754C6AB}"/>
            </a:ext>
          </a:extLst>
        </xdr:cNvPr>
        <xdr:cNvSpPr txBox="1"/>
      </xdr:nvSpPr>
      <xdr:spPr>
        <a:xfrm>
          <a:off x="2945003" y="229768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0BC175F-CC77-4ACA-9EEB-10D39D4F912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0</xdr:row>
      <xdr:rowOff>2882900</xdr:rowOff>
    </xdr:from>
    <xdr:to>
      <xdr:col>5</xdr:col>
      <xdr:colOff>582803</xdr:colOff>
      <xdr:row>0</xdr:row>
      <xdr:rowOff>3365500</xdr:rowOff>
    </xdr:to>
    <xdr:sp macro="" textlink="印字値!$C$8">
      <xdr:nvSpPr>
        <xdr:cNvPr id="9" name="付表04">
          <a:extLst>
            <a:ext uri="{FF2B5EF4-FFF2-40B4-BE49-F238E27FC236}">
              <a16:creationId xmlns:a16="http://schemas.microsoft.com/office/drawing/2014/main" id="{297A39E0-81DE-2608-E26C-1F397E69811D}"/>
            </a:ext>
          </a:extLst>
        </xdr:cNvPr>
        <xdr:cNvSpPr txBox="1"/>
      </xdr:nvSpPr>
      <xdr:spPr>
        <a:xfrm>
          <a:off x="2945003" y="2882900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1B8C970-E1AB-4EB6-9EC4-967C02D89AA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0</xdr:row>
      <xdr:rowOff>3468116</xdr:rowOff>
    </xdr:from>
    <xdr:to>
      <xdr:col>5</xdr:col>
      <xdr:colOff>582803</xdr:colOff>
      <xdr:row>1</xdr:row>
      <xdr:rowOff>392176</xdr:rowOff>
    </xdr:to>
    <xdr:sp macro="" textlink="印字値!$C$9">
      <xdr:nvSpPr>
        <xdr:cNvPr id="10" name="付表05">
          <a:extLst>
            <a:ext uri="{FF2B5EF4-FFF2-40B4-BE49-F238E27FC236}">
              <a16:creationId xmlns:a16="http://schemas.microsoft.com/office/drawing/2014/main" id="{2C2E77A6-96C7-2422-5A96-64F1FFA43223}"/>
            </a:ext>
          </a:extLst>
        </xdr:cNvPr>
        <xdr:cNvSpPr txBox="1"/>
      </xdr:nvSpPr>
      <xdr:spPr>
        <a:xfrm>
          <a:off x="2945003" y="3468116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090BDBF-E646-462A-A4F1-BDEEC1358D5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1</xdr:row>
      <xdr:rowOff>495173</xdr:rowOff>
    </xdr:from>
    <xdr:to>
      <xdr:col>5</xdr:col>
      <xdr:colOff>582803</xdr:colOff>
      <xdr:row>1</xdr:row>
      <xdr:rowOff>977773</xdr:rowOff>
    </xdr:to>
    <xdr:sp macro="" textlink="印字値!$C$10">
      <xdr:nvSpPr>
        <xdr:cNvPr id="11" name="付表06">
          <a:extLst>
            <a:ext uri="{FF2B5EF4-FFF2-40B4-BE49-F238E27FC236}">
              <a16:creationId xmlns:a16="http://schemas.microsoft.com/office/drawing/2014/main" id="{9FA76714-BCC4-B33C-5786-A7A41082D71D}"/>
            </a:ext>
          </a:extLst>
        </xdr:cNvPr>
        <xdr:cNvSpPr txBox="1"/>
      </xdr:nvSpPr>
      <xdr:spPr>
        <a:xfrm>
          <a:off x="2945003" y="4053713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684BF80-BF34-4987-92E3-7755E7811FC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1</xdr:row>
      <xdr:rowOff>1080389</xdr:rowOff>
    </xdr:from>
    <xdr:to>
      <xdr:col>5</xdr:col>
      <xdr:colOff>582803</xdr:colOff>
      <xdr:row>1</xdr:row>
      <xdr:rowOff>1562989</xdr:rowOff>
    </xdr:to>
    <xdr:sp macro="" textlink="印字値!$C$11">
      <xdr:nvSpPr>
        <xdr:cNvPr id="12" name="付表07">
          <a:extLst>
            <a:ext uri="{FF2B5EF4-FFF2-40B4-BE49-F238E27FC236}">
              <a16:creationId xmlns:a16="http://schemas.microsoft.com/office/drawing/2014/main" id="{4E0CF030-6EC9-07E6-2F04-B34C503E930B}"/>
            </a:ext>
          </a:extLst>
        </xdr:cNvPr>
        <xdr:cNvSpPr txBox="1"/>
      </xdr:nvSpPr>
      <xdr:spPr>
        <a:xfrm>
          <a:off x="2945003" y="4638929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C6C2A84-BB2B-437D-96DE-FCF5701D5B9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1</xdr:row>
      <xdr:rowOff>1665605</xdr:rowOff>
    </xdr:from>
    <xdr:to>
      <xdr:col>5</xdr:col>
      <xdr:colOff>582803</xdr:colOff>
      <xdr:row>1</xdr:row>
      <xdr:rowOff>2148205</xdr:rowOff>
    </xdr:to>
    <xdr:sp macro="" textlink="印字値!$C$12">
      <xdr:nvSpPr>
        <xdr:cNvPr id="13" name="付表08">
          <a:extLst>
            <a:ext uri="{FF2B5EF4-FFF2-40B4-BE49-F238E27FC236}">
              <a16:creationId xmlns:a16="http://schemas.microsoft.com/office/drawing/2014/main" id="{D13C7267-5449-296C-2E13-1B1EEB33E0A6}"/>
            </a:ext>
          </a:extLst>
        </xdr:cNvPr>
        <xdr:cNvSpPr txBox="1"/>
      </xdr:nvSpPr>
      <xdr:spPr>
        <a:xfrm>
          <a:off x="2945003" y="5224145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34CA324-C659-452C-8401-C8E7022D42B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1</xdr:row>
      <xdr:rowOff>2251075</xdr:rowOff>
    </xdr:from>
    <xdr:to>
      <xdr:col>5</xdr:col>
      <xdr:colOff>582803</xdr:colOff>
      <xdr:row>1</xdr:row>
      <xdr:rowOff>2733675</xdr:rowOff>
    </xdr:to>
    <xdr:sp macro="" textlink="印字値!$C$13">
      <xdr:nvSpPr>
        <xdr:cNvPr id="14" name="付表09">
          <a:extLst>
            <a:ext uri="{FF2B5EF4-FFF2-40B4-BE49-F238E27FC236}">
              <a16:creationId xmlns:a16="http://schemas.microsoft.com/office/drawing/2014/main" id="{F55F06FA-CF3C-EB56-7147-50958A094FAA}"/>
            </a:ext>
          </a:extLst>
        </xdr:cNvPr>
        <xdr:cNvSpPr txBox="1"/>
      </xdr:nvSpPr>
      <xdr:spPr>
        <a:xfrm>
          <a:off x="2945003" y="5809615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30D65B9-611D-4CA7-9DF5-9EF5B870E6A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1</xdr:row>
      <xdr:rowOff>2836291</xdr:rowOff>
    </xdr:from>
    <xdr:to>
      <xdr:col>5</xdr:col>
      <xdr:colOff>582803</xdr:colOff>
      <xdr:row>1</xdr:row>
      <xdr:rowOff>3318891</xdr:rowOff>
    </xdr:to>
    <xdr:sp macro="" textlink="印字値!$C$14">
      <xdr:nvSpPr>
        <xdr:cNvPr id="15" name="付表10">
          <a:extLst>
            <a:ext uri="{FF2B5EF4-FFF2-40B4-BE49-F238E27FC236}">
              <a16:creationId xmlns:a16="http://schemas.microsoft.com/office/drawing/2014/main" id="{5C7A6287-7DC3-F3FC-7310-F47602A7F2C4}"/>
            </a:ext>
          </a:extLst>
        </xdr:cNvPr>
        <xdr:cNvSpPr txBox="1"/>
      </xdr:nvSpPr>
      <xdr:spPr>
        <a:xfrm>
          <a:off x="2945003" y="6394831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C41A8F1-9553-481F-AE98-143B6757229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1</xdr:row>
      <xdr:rowOff>3421507</xdr:rowOff>
    </xdr:from>
    <xdr:to>
      <xdr:col>5</xdr:col>
      <xdr:colOff>582803</xdr:colOff>
      <xdr:row>2</xdr:row>
      <xdr:rowOff>345567</xdr:rowOff>
    </xdr:to>
    <xdr:sp macro="" textlink="印字値!$C$15">
      <xdr:nvSpPr>
        <xdr:cNvPr id="16" name="付表11">
          <a:extLst>
            <a:ext uri="{FF2B5EF4-FFF2-40B4-BE49-F238E27FC236}">
              <a16:creationId xmlns:a16="http://schemas.microsoft.com/office/drawing/2014/main" id="{EA01F6A5-D8D4-CD73-2889-2628975044DC}"/>
            </a:ext>
          </a:extLst>
        </xdr:cNvPr>
        <xdr:cNvSpPr txBox="1"/>
      </xdr:nvSpPr>
      <xdr:spPr>
        <a:xfrm>
          <a:off x="2945003" y="6980047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906A1CA-5AF4-47AE-B6AE-5260B8F0391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2</xdr:row>
      <xdr:rowOff>448564</xdr:rowOff>
    </xdr:from>
    <xdr:to>
      <xdr:col>5</xdr:col>
      <xdr:colOff>582803</xdr:colOff>
      <xdr:row>2</xdr:row>
      <xdr:rowOff>931164</xdr:rowOff>
    </xdr:to>
    <xdr:sp macro="" textlink="印字値!$C$16">
      <xdr:nvSpPr>
        <xdr:cNvPr id="17" name="付表12">
          <a:extLst>
            <a:ext uri="{FF2B5EF4-FFF2-40B4-BE49-F238E27FC236}">
              <a16:creationId xmlns:a16="http://schemas.microsoft.com/office/drawing/2014/main" id="{540FB2B7-CC74-B477-EDAD-981A22501517}"/>
            </a:ext>
          </a:extLst>
        </xdr:cNvPr>
        <xdr:cNvSpPr txBox="1"/>
      </xdr:nvSpPr>
      <xdr:spPr>
        <a:xfrm>
          <a:off x="2945003" y="756564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468802F-B631-4684-A2A2-26799BA7121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2</xdr:row>
      <xdr:rowOff>1033780</xdr:rowOff>
    </xdr:from>
    <xdr:to>
      <xdr:col>5</xdr:col>
      <xdr:colOff>582803</xdr:colOff>
      <xdr:row>2</xdr:row>
      <xdr:rowOff>1516380</xdr:rowOff>
    </xdr:to>
    <xdr:sp macro="" textlink="印字値!$C$17">
      <xdr:nvSpPr>
        <xdr:cNvPr id="18" name="付表13">
          <a:extLst>
            <a:ext uri="{FF2B5EF4-FFF2-40B4-BE49-F238E27FC236}">
              <a16:creationId xmlns:a16="http://schemas.microsoft.com/office/drawing/2014/main" id="{A3820951-B09B-220E-65A4-CF20036768DE}"/>
            </a:ext>
          </a:extLst>
        </xdr:cNvPr>
        <xdr:cNvSpPr txBox="1"/>
      </xdr:nvSpPr>
      <xdr:spPr>
        <a:xfrm>
          <a:off x="2945003" y="8150860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3C50CF7-03C4-441B-A282-F5844ACBFE5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415163</xdr:colOff>
      <xdr:row>2</xdr:row>
      <xdr:rowOff>1618996</xdr:rowOff>
    </xdr:from>
    <xdr:to>
      <xdr:col>5</xdr:col>
      <xdr:colOff>582803</xdr:colOff>
      <xdr:row>2</xdr:row>
      <xdr:rowOff>2101596</xdr:rowOff>
    </xdr:to>
    <xdr:sp macro="" textlink="印字値!$C$18">
      <xdr:nvSpPr>
        <xdr:cNvPr id="19" name="付表14">
          <a:extLst>
            <a:ext uri="{FF2B5EF4-FFF2-40B4-BE49-F238E27FC236}">
              <a16:creationId xmlns:a16="http://schemas.microsoft.com/office/drawing/2014/main" id="{9B5D2898-1ACC-3975-FCA1-A53B72EC98C5}"/>
            </a:ext>
          </a:extLst>
        </xdr:cNvPr>
        <xdr:cNvSpPr txBox="1"/>
      </xdr:nvSpPr>
      <xdr:spPr>
        <a:xfrm>
          <a:off x="2945003" y="8736076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FF94A2F-D637-4D81-B78F-CC27E8EFB5E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0</xdr:row>
      <xdr:rowOff>1129284</xdr:rowOff>
    </xdr:from>
    <xdr:to>
      <xdr:col>10</xdr:col>
      <xdr:colOff>514858</xdr:colOff>
      <xdr:row>0</xdr:row>
      <xdr:rowOff>1611884</xdr:rowOff>
    </xdr:to>
    <xdr:sp macro="" textlink="印字値!$C$19">
      <xdr:nvSpPr>
        <xdr:cNvPr id="20" name="付表15">
          <a:extLst>
            <a:ext uri="{FF2B5EF4-FFF2-40B4-BE49-F238E27FC236}">
              <a16:creationId xmlns:a16="http://schemas.microsoft.com/office/drawing/2014/main" id="{99959B3E-7169-3E70-3298-CE858E49F091}"/>
            </a:ext>
          </a:extLst>
        </xdr:cNvPr>
        <xdr:cNvSpPr txBox="1"/>
      </xdr:nvSpPr>
      <xdr:spPr>
        <a:xfrm>
          <a:off x="6039358" y="112928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8A6C2E9-8919-42B9-8A83-F49E80F01C9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0</xdr:row>
      <xdr:rowOff>1712214</xdr:rowOff>
    </xdr:from>
    <xdr:to>
      <xdr:col>10</xdr:col>
      <xdr:colOff>514858</xdr:colOff>
      <xdr:row>0</xdr:row>
      <xdr:rowOff>2194814</xdr:rowOff>
    </xdr:to>
    <xdr:sp macro="" textlink="印字値!$C$20">
      <xdr:nvSpPr>
        <xdr:cNvPr id="21" name="付表16">
          <a:extLst>
            <a:ext uri="{FF2B5EF4-FFF2-40B4-BE49-F238E27FC236}">
              <a16:creationId xmlns:a16="http://schemas.microsoft.com/office/drawing/2014/main" id="{94E56927-0467-C752-C3A9-0D5F4F328AEF}"/>
            </a:ext>
          </a:extLst>
        </xdr:cNvPr>
        <xdr:cNvSpPr txBox="1"/>
      </xdr:nvSpPr>
      <xdr:spPr>
        <a:xfrm>
          <a:off x="6039358" y="171221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D228666-7C73-4745-BB50-77A2DFCFECB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0</xdr:row>
      <xdr:rowOff>2297684</xdr:rowOff>
    </xdr:from>
    <xdr:to>
      <xdr:col>10</xdr:col>
      <xdr:colOff>514858</xdr:colOff>
      <xdr:row>0</xdr:row>
      <xdr:rowOff>2780284</xdr:rowOff>
    </xdr:to>
    <xdr:sp macro="" textlink="印字値!$C$21">
      <xdr:nvSpPr>
        <xdr:cNvPr id="22" name="付表17">
          <a:extLst>
            <a:ext uri="{FF2B5EF4-FFF2-40B4-BE49-F238E27FC236}">
              <a16:creationId xmlns:a16="http://schemas.microsoft.com/office/drawing/2014/main" id="{54122649-453F-9A4F-FE19-D5C08410164F}"/>
            </a:ext>
          </a:extLst>
        </xdr:cNvPr>
        <xdr:cNvSpPr txBox="1"/>
      </xdr:nvSpPr>
      <xdr:spPr>
        <a:xfrm>
          <a:off x="6039358" y="229768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023BA34-6C5B-42DA-BDB4-AD53AC1B4F5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0</xdr:row>
      <xdr:rowOff>2882900</xdr:rowOff>
    </xdr:from>
    <xdr:to>
      <xdr:col>10</xdr:col>
      <xdr:colOff>514858</xdr:colOff>
      <xdr:row>0</xdr:row>
      <xdr:rowOff>3365500</xdr:rowOff>
    </xdr:to>
    <xdr:sp macro="" textlink="印字値!$C$22">
      <xdr:nvSpPr>
        <xdr:cNvPr id="23" name="付表18">
          <a:extLst>
            <a:ext uri="{FF2B5EF4-FFF2-40B4-BE49-F238E27FC236}">
              <a16:creationId xmlns:a16="http://schemas.microsoft.com/office/drawing/2014/main" id="{06866885-E513-9317-7F01-B9FB43AE24C2}"/>
            </a:ext>
          </a:extLst>
        </xdr:cNvPr>
        <xdr:cNvSpPr txBox="1"/>
      </xdr:nvSpPr>
      <xdr:spPr>
        <a:xfrm>
          <a:off x="6039358" y="2882900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D3CFB4E-5C91-4DE8-927D-47B409B2FFC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0</xdr:row>
      <xdr:rowOff>3468116</xdr:rowOff>
    </xdr:from>
    <xdr:to>
      <xdr:col>10</xdr:col>
      <xdr:colOff>514858</xdr:colOff>
      <xdr:row>1</xdr:row>
      <xdr:rowOff>392176</xdr:rowOff>
    </xdr:to>
    <xdr:sp macro="" textlink="印字値!$C$23">
      <xdr:nvSpPr>
        <xdr:cNvPr id="24" name="付表19">
          <a:extLst>
            <a:ext uri="{FF2B5EF4-FFF2-40B4-BE49-F238E27FC236}">
              <a16:creationId xmlns:a16="http://schemas.microsoft.com/office/drawing/2014/main" id="{B134DD40-15AB-F45E-0BDD-2DB199008A70}"/>
            </a:ext>
          </a:extLst>
        </xdr:cNvPr>
        <xdr:cNvSpPr txBox="1"/>
      </xdr:nvSpPr>
      <xdr:spPr>
        <a:xfrm>
          <a:off x="6039358" y="3468116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717FAF6-4BA5-445F-AA68-C2EC0FD0018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1</xdr:row>
      <xdr:rowOff>495173</xdr:rowOff>
    </xdr:from>
    <xdr:to>
      <xdr:col>10</xdr:col>
      <xdr:colOff>514858</xdr:colOff>
      <xdr:row>1</xdr:row>
      <xdr:rowOff>977773</xdr:rowOff>
    </xdr:to>
    <xdr:sp macro="" textlink="印字値!$C$24">
      <xdr:nvSpPr>
        <xdr:cNvPr id="25" name="付表20">
          <a:extLst>
            <a:ext uri="{FF2B5EF4-FFF2-40B4-BE49-F238E27FC236}">
              <a16:creationId xmlns:a16="http://schemas.microsoft.com/office/drawing/2014/main" id="{0A5D29E8-59CF-CC95-65A0-F225C0F62E12}"/>
            </a:ext>
          </a:extLst>
        </xdr:cNvPr>
        <xdr:cNvSpPr txBox="1"/>
      </xdr:nvSpPr>
      <xdr:spPr>
        <a:xfrm>
          <a:off x="6039358" y="4053713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F8CD1A4-946C-4BC5-9050-7D0F6DE67A8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1</xdr:row>
      <xdr:rowOff>1080389</xdr:rowOff>
    </xdr:from>
    <xdr:to>
      <xdr:col>10</xdr:col>
      <xdr:colOff>514858</xdr:colOff>
      <xdr:row>1</xdr:row>
      <xdr:rowOff>1410589</xdr:rowOff>
    </xdr:to>
    <xdr:sp macro="" textlink="印字値!$C$25">
      <xdr:nvSpPr>
        <xdr:cNvPr id="26" name="付表21">
          <a:extLst>
            <a:ext uri="{FF2B5EF4-FFF2-40B4-BE49-F238E27FC236}">
              <a16:creationId xmlns:a16="http://schemas.microsoft.com/office/drawing/2014/main" id="{8F51D85D-BB29-9B00-FABA-B6E577B37F2D}"/>
            </a:ext>
          </a:extLst>
        </xdr:cNvPr>
        <xdr:cNvSpPr txBox="1"/>
      </xdr:nvSpPr>
      <xdr:spPr>
        <a:xfrm>
          <a:off x="6039358" y="4638929"/>
          <a:ext cx="8001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FBD4417-03F4-4267-A3D2-4585C33D28D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1</xdr:row>
      <xdr:rowOff>1519301</xdr:rowOff>
    </xdr:from>
    <xdr:to>
      <xdr:col>10</xdr:col>
      <xdr:colOff>514858</xdr:colOff>
      <xdr:row>1</xdr:row>
      <xdr:rowOff>2001901</xdr:rowOff>
    </xdr:to>
    <xdr:sp macro="" textlink="印字値!$C$26">
      <xdr:nvSpPr>
        <xdr:cNvPr id="27" name="付表22">
          <a:extLst>
            <a:ext uri="{FF2B5EF4-FFF2-40B4-BE49-F238E27FC236}">
              <a16:creationId xmlns:a16="http://schemas.microsoft.com/office/drawing/2014/main" id="{CF8443C1-9981-3E62-E3FA-A0CBEBFCA375}"/>
            </a:ext>
          </a:extLst>
        </xdr:cNvPr>
        <xdr:cNvSpPr txBox="1"/>
      </xdr:nvSpPr>
      <xdr:spPr>
        <a:xfrm>
          <a:off x="6039358" y="5077841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28D4700-85CE-4884-8759-48F35FE8D85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1</xdr:row>
      <xdr:rowOff>2104771</xdr:rowOff>
    </xdr:from>
    <xdr:to>
      <xdr:col>10</xdr:col>
      <xdr:colOff>514858</xdr:colOff>
      <xdr:row>1</xdr:row>
      <xdr:rowOff>2434971</xdr:rowOff>
    </xdr:to>
    <xdr:sp macro="" textlink="印字値!$C$27">
      <xdr:nvSpPr>
        <xdr:cNvPr id="28" name="付表23">
          <a:extLst>
            <a:ext uri="{FF2B5EF4-FFF2-40B4-BE49-F238E27FC236}">
              <a16:creationId xmlns:a16="http://schemas.microsoft.com/office/drawing/2014/main" id="{6ACFE3D1-C500-0C1A-8486-34DC93C4D535}"/>
            </a:ext>
          </a:extLst>
        </xdr:cNvPr>
        <xdr:cNvSpPr txBox="1"/>
      </xdr:nvSpPr>
      <xdr:spPr>
        <a:xfrm>
          <a:off x="6039358" y="5663311"/>
          <a:ext cx="8001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0261B06-B319-482C-9B63-00217D99C49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1</xdr:row>
      <xdr:rowOff>2543683</xdr:rowOff>
    </xdr:from>
    <xdr:to>
      <xdr:col>10</xdr:col>
      <xdr:colOff>514858</xdr:colOff>
      <xdr:row>1</xdr:row>
      <xdr:rowOff>2873883</xdr:rowOff>
    </xdr:to>
    <xdr:sp macro="" textlink="印字値!$C$28">
      <xdr:nvSpPr>
        <xdr:cNvPr id="29" name="付表24">
          <a:extLst>
            <a:ext uri="{FF2B5EF4-FFF2-40B4-BE49-F238E27FC236}">
              <a16:creationId xmlns:a16="http://schemas.microsoft.com/office/drawing/2014/main" id="{385D5FE2-9470-7EA1-92CB-2F1E6DC1ED5E}"/>
            </a:ext>
          </a:extLst>
        </xdr:cNvPr>
        <xdr:cNvSpPr txBox="1"/>
      </xdr:nvSpPr>
      <xdr:spPr>
        <a:xfrm>
          <a:off x="6039358" y="6102223"/>
          <a:ext cx="8001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838D05F-8D24-42EA-815C-B0B49642169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1</xdr:row>
      <xdr:rowOff>2982595</xdr:rowOff>
    </xdr:from>
    <xdr:to>
      <xdr:col>10</xdr:col>
      <xdr:colOff>514858</xdr:colOff>
      <xdr:row>1</xdr:row>
      <xdr:rowOff>3312795</xdr:rowOff>
    </xdr:to>
    <xdr:sp macro="" textlink="印字値!$C$29">
      <xdr:nvSpPr>
        <xdr:cNvPr id="30" name="付表25">
          <a:extLst>
            <a:ext uri="{FF2B5EF4-FFF2-40B4-BE49-F238E27FC236}">
              <a16:creationId xmlns:a16="http://schemas.microsoft.com/office/drawing/2014/main" id="{87BAC703-6999-C4D4-D70F-BE341A931CAA}"/>
            </a:ext>
          </a:extLst>
        </xdr:cNvPr>
        <xdr:cNvSpPr txBox="1"/>
      </xdr:nvSpPr>
      <xdr:spPr>
        <a:xfrm>
          <a:off x="6039358" y="6541135"/>
          <a:ext cx="8001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1DC44FA-D85C-46C4-B77F-450EBB03221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1</xdr:row>
      <xdr:rowOff>3421507</xdr:rowOff>
    </xdr:from>
    <xdr:to>
      <xdr:col>10</xdr:col>
      <xdr:colOff>514858</xdr:colOff>
      <xdr:row>2</xdr:row>
      <xdr:rowOff>345567</xdr:rowOff>
    </xdr:to>
    <xdr:sp macro="" textlink="印字値!$C$30">
      <xdr:nvSpPr>
        <xdr:cNvPr id="31" name="付表26">
          <a:extLst>
            <a:ext uri="{FF2B5EF4-FFF2-40B4-BE49-F238E27FC236}">
              <a16:creationId xmlns:a16="http://schemas.microsoft.com/office/drawing/2014/main" id="{931D96D9-82FA-EBC0-C570-89541E854E90}"/>
            </a:ext>
          </a:extLst>
        </xdr:cNvPr>
        <xdr:cNvSpPr txBox="1"/>
      </xdr:nvSpPr>
      <xdr:spPr>
        <a:xfrm>
          <a:off x="6039358" y="6980047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219AC9B-899A-4942-879E-D5AE31F67A0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2</xdr:row>
      <xdr:rowOff>448564</xdr:rowOff>
    </xdr:from>
    <xdr:to>
      <xdr:col>10</xdr:col>
      <xdr:colOff>514858</xdr:colOff>
      <xdr:row>2</xdr:row>
      <xdr:rowOff>931164</xdr:rowOff>
    </xdr:to>
    <xdr:sp macro="" textlink="印字値!$C$31">
      <xdr:nvSpPr>
        <xdr:cNvPr id="32" name="付表27">
          <a:extLst>
            <a:ext uri="{FF2B5EF4-FFF2-40B4-BE49-F238E27FC236}">
              <a16:creationId xmlns:a16="http://schemas.microsoft.com/office/drawing/2014/main" id="{5627964D-E096-23D5-BE7C-9AFFA99EB6ED}"/>
            </a:ext>
          </a:extLst>
        </xdr:cNvPr>
        <xdr:cNvSpPr txBox="1"/>
      </xdr:nvSpPr>
      <xdr:spPr>
        <a:xfrm>
          <a:off x="6039358" y="7565644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3F746CA-D5B4-4DE1-87AE-EBC39632B4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2</xdr:row>
      <xdr:rowOff>1033780</xdr:rowOff>
    </xdr:from>
    <xdr:to>
      <xdr:col>10</xdr:col>
      <xdr:colOff>514858</xdr:colOff>
      <xdr:row>2</xdr:row>
      <xdr:rowOff>1516380</xdr:rowOff>
    </xdr:to>
    <xdr:sp macro="" textlink="印字値!$C$32">
      <xdr:nvSpPr>
        <xdr:cNvPr id="33" name="付表28">
          <a:extLst>
            <a:ext uri="{FF2B5EF4-FFF2-40B4-BE49-F238E27FC236}">
              <a16:creationId xmlns:a16="http://schemas.microsoft.com/office/drawing/2014/main" id="{098FB4B8-3AD8-B4EE-F7D1-858704D18543}"/>
            </a:ext>
          </a:extLst>
        </xdr:cNvPr>
        <xdr:cNvSpPr txBox="1"/>
      </xdr:nvSpPr>
      <xdr:spPr>
        <a:xfrm>
          <a:off x="6039358" y="8150860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CBD81FC-8129-4A7C-ADCC-781829FD682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347218</xdr:colOff>
      <xdr:row>2</xdr:row>
      <xdr:rowOff>1618996</xdr:rowOff>
    </xdr:from>
    <xdr:to>
      <xdr:col>10</xdr:col>
      <xdr:colOff>514858</xdr:colOff>
      <xdr:row>2</xdr:row>
      <xdr:rowOff>2101596</xdr:rowOff>
    </xdr:to>
    <xdr:sp macro="" textlink="印字値!$C$33">
      <xdr:nvSpPr>
        <xdr:cNvPr id="34" name="付表29">
          <a:extLst>
            <a:ext uri="{FF2B5EF4-FFF2-40B4-BE49-F238E27FC236}">
              <a16:creationId xmlns:a16="http://schemas.microsoft.com/office/drawing/2014/main" id="{CC1AC65F-13F6-7A1E-B2C9-9A8412773FC3}"/>
            </a:ext>
          </a:extLst>
        </xdr:cNvPr>
        <xdr:cNvSpPr txBox="1"/>
      </xdr:nvSpPr>
      <xdr:spPr>
        <a:xfrm>
          <a:off x="6039358" y="8736076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C07D4D7-A08C-4F99-B7D1-0D70F217BD1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aws.e-gov.go.jp/law/340AC0000000034" TargetMode="External"/><Relationship Id="rId3" Type="http://schemas.openxmlformats.org/officeDocument/2006/relationships/hyperlink" Target="https://www.nta.go.jp/taxes/tetsuzuki/shinsei/annai/hojin/shinkoku/itiran_r01/pdf/03%281%29.pdf" TargetMode="External"/><Relationship Id="rId7" Type="http://schemas.openxmlformats.org/officeDocument/2006/relationships/hyperlink" Target="https://www.nta.go.jp/law/tsutatsu/kihon/hojin/16/16_01_02.htm" TargetMode="External"/><Relationship Id="rId2" Type="http://schemas.openxmlformats.org/officeDocument/2006/relationships/hyperlink" Target="https://www.nta.go.jp/taxes/tetsuzuki/shinsei/annai/hojin/shinkoku/itiran2019/01.htm" TargetMode="External"/><Relationship Id="rId1" Type="http://schemas.openxmlformats.org/officeDocument/2006/relationships/hyperlink" Target="https://www.nta.go.jp/taxes/tetsuzuki/shinsei/annai/hojin/shinkoku/itiran_r01/01.htm" TargetMode="External"/><Relationship Id="rId6" Type="http://schemas.openxmlformats.org/officeDocument/2006/relationships/hyperlink" Target="https://www.nta.go.jp/taxes/tetsuzuki/shinsei/annai/hojin/shinkoku/itiran_r01/pdf/03%281%29-f-ki.pdf" TargetMode="External"/><Relationship Id="rId5" Type="http://schemas.openxmlformats.org/officeDocument/2006/relationships/hyperlink" Target="https://www.nta.go.jp/taxes/tetsuzuki/shinsei/annai/hojin/shinkoku/itiran_r01/pdf/03%281%29-f.pdf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s://www.nta.go.jp/taxes/tetsuzuki/shinsei/annai/hojin/shinkoku/itiran_r01/pdf/03%281%29-ki.pdf" TargetMode="External"/><Relationship Id="rId9" Type="http://schemas.openxmlformats.org/officeDocument/2006/relationships/hyperlink" Target="https://laws.e-gov.go.jp/law/337AC00000000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8407-D8DC-4B0C-99A2-A997868A3064}">
  <sheetPr>
    <tabColor rgb="FF17365D"/>
    <pageSetUpPr fitToPage="1"/>
  </sheetPr>
  <dimension ref="A1:H40"/>
  <sheetViews>
    <sheetView showGridLines="0" tabSelected="1" zoomScale="90" zoomScaleNormal="90" workbookViewId="0">
      <selection sqref="A1:H1"/>
    </sheetView>
  </sheetViews>
  <sheetFormatPr defaultRowHeight="18"/>
  <cols>
    <col min="1" max="8" width="15.69921875" customWidth="1"/>
  </cols>
  <sheetData>
    <row r="1" spans="1:8" ht="28.8">
      <c r="A1" s="31" t="s">
        <v>271</v>
      </c>
      <c r="B1" s="3"/>
      <c r="C1" s="3"/>
      <c r="D1" s="3"/>
      <c r="E1" s="3"/>
      <c r="F1" s="3"/>
      <c r="G1" s="3"/>
      <c r="H1" s="3"/>
    </row>
    <row r="2" spans="1:8">
      <c r="A2" s="32" t="s">
        <v>272</v>
      </c>
      <c r="B2" s="3"/>
      <c r="C2" s="3"/>
      <c r="D2" s="3"/>
      <c r="E2" s="3"/>
      <c r="F2" s="3"/>
      <c r="G2" s="3"/>
      <c r="H2" s="3"/>
    </row>
    <row r="3" spans="1:8">
      <c r="A3" s="5"/>
      <c r="B3" s="5"/>
      <c r="C3" s="5"/>
      <c r="D3" s="5"/>
      <c r="E3" s="5"/>
      <c r="F3" s="5"/>
      <c r="G3" s="5"/>
      <c r="H3" s="5"/>
    </row>
    <row r="4" spans="1:8" ht="22.95" customHeight="1">
      <c r="A4" s="6" t="s">
        <v>273</v>
      </c>
      <c r="B4" s="6"/>
      <c r="C4" s="6"/>
      <c r="D4" s="6"/>
      <c r="E4" s="6"/>
      <c r="F4" s="6"/>
      <c r="G4" s="6"/>
      <c r="H4" s="6"/>
    </row>
    <row r="5" spans="1:8">
      <c r="A5" s="8" t="s">
        <v>274</v>
      </c>
      <c r="B5" s="8"/>
      <c r="C5" s="8"/>
      <c r="D5" s="8"/>
      <c r="E5" s="8"/>
      <c r="F5" s="33">
        <f>out_retained_tax</f>
        <v>0</v>
      </c>
      <c r="G5" s="34"/>
      <c r="H5" s="34"/>
    </row>
    <row r="6" spans="1:8">
      <c r="A6" s="8" t="s">
        <v>275</v>
      </c>
      <c r="B6" s="8"/>
      <c r="C6" s="8"/>
      <c r="D6" s="8"/>
      <c r="E6" s="8"/>
      <c r="F6" s="33">
        <f>out_taxable_retained</f>
        <v>0</v>
      </c>
      <c r="G6" s="34"/>
      <c r="H6" s="34"/>
    </row>
    <row r="7" spans="1:8">
      <c r="A7" s="8" t="s">
        <v>276</v>
      </c>
      <c r="B7" s="8"/>
      <c r="C7" s="8"/>
      <c r="D7" s="8"/>
      <c r="E7" s="8"/>
      <c r="F7" s="33">
        <f>out_retention_allowance</f>
        <v>20000000</v>
      </c>
      <c r="G7" s="34"/>
      <c r="H7" s="34"/>
    </row>
    <row r="8" spans="1:8">
      <c r="A8" s="8" t="s">
        <v>277</v>
      </c>
      <c r="B8" s="8"/>
      <c r="C8" s="8"/>
      <c r="D8" s="8"/>
      <c r="E8" s="8"/>
      <c r="F8" s="33">
        <f>out_municipal_tax</f>
        <v>0</v>
      </c>
      <c r="G8" s="34"/>
      <c r="H8" s="34"/>
    </row>
    <row r="9" spans="1:8">
      <c r="A9" s="5"/>
      <c r="B9" s="5"/>
      <c r="C9" s="5"/>
      <c r="D9" s="5"/>
      <c r="E9" s="5"/>
      <c r="F9" s="5"/>
      <c r="G9" s="5"/>
      <c r="H9" s="5"/>
    </row>
    <row r="10" spans="1:8" ht="22.95" customHeight="1">
      <c r="A10" s="6" t="s">
        <v>278</v>
      </c>
      <c r="B10" s="6"/>
      <c r="C10" s="6"/>
      <c r="D10" s="6"/>
      <c r="E10" s="6"/>
      <c r="F10" s="6"/>
      <c r="G10" s="6"/>
      <c r="H10" s="6"/>
    </row>
    <row r="11" spans="1:8">
      <c r="A11" s="8" t="s">
        <v>279</v>
      </c>
      <c r="B11" s="8"/>
      <c r="C11" s="8"/>
      <c r="D11" s="8"/>
      <c r="E11" s="8"/>
      <c r="F11" s="12" t="str">
        <f>IF(cfg_applicable,"OK","要確認：開始日・終了日がこの年度版の対象外")</f>
        <v>OK</v>
      </c>
      <c r="G11" s="12"/>
      <c r="H11" s="12"/>
    </row>
    <row r="12" spans="1:8">
      <c r="A12" s="8" t="s">
        <v>280</v>
      </c>
      <c r="B12" s="8"/>
      <c r="C12" s="8"/>
      <c r="D12" s="8"/>
      <c r="E12" s="8"/>
      <c r="F12" s="12" t="str">
        <f>IF(inp_special="はい","OK","対象外：別表二の判定を確認")</f>
        <v>OK</v>
      </c>
      <c r="G12" s="12"/>
      <c r="H12" s="12"/>
    </row>
    <row r="13" spans="1:8">
      <c r="A13" s="8" t="s">
        <v>281</v>
      </c>
      <c r="B13" s="8"/>
      <c r="C13" s="8"/>
      <c r="D13" s="8"/>
      <c r="E13" s="8"/>
      <c r="F13" s="12" t="str">
        <f>"この年度版には付表二なし"</f>
        <v>この年度版には付表二なし</v>
      </c>
      <c r="G13" s="12"/>
      <c r="H13" s="12"/>
    </row>
    <row r="14" spans="1:8">
      <c r="A14" s="8" t="s">
        <v>282</v>
      </c>
      <c r="B14" s="8"/>
      <c r="C14" s="8"/>
      <c r="D14" s="8"/>
      <c r="E14" s="8"/>
      <c r="F14" s="12" t="str">
        <f>IF(AND(inp_months&gt;=1,inp_months&lt;=12),"OK："&amp;inp_months&amp;"か月","要確認")</f>
        <v>OK：12か月</v>
      </c>
      <c r="G14" s="12"/>
      <c r="H14" s="12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 ht="22.95" customHeight="1">
      <c r="A16" s="35" t="s">
        <v>283</v>
      </c>
      <c r="B16" s="35"/>
      <c r="C16" s="35"/>
      <c r="D16" s="35"/>
      <c r="E16" s="35"/>
      <c r="F16" s="35"/>
      <c r="G16" s="35"/>
      <c r="H16" s="35"/>
    </row>
    <row r="17" spans="1:8" ht="28.05" customHeight="1">
      <c r="A17" s="36" t="s">
        <v>284</v>
      </c>
      <c r="B17" s="36"/>
      <c r="C17" s="36"/>
      <c r="D17" s="36"/>
      <c r="E17" s="36"/>
      <c r="F17" s="36"/>
      <c r="G17" s="36"/>
      <c r="H17" s="36"/>
    </row>
    <row r="18" spans="1:8" ht="28.05" customHeight="1">
      <c r="A18" s="36" t="s">
        <v>285</v>
      </c>
      <c r="B18" s="36"/>
      <c r="C18" s="36"/>
      <c r="D18" s="36"/>
      <c r="E18" s="36"/>
      <c r="F18" s="36"/>
      <c r="G18" s="36"/>
      <c r="H18" s="36"/>
    </row>
    <row r="19" spans="1:8" ht="28.05" customHeight="1">
      <c r="A19" s="36" t="s">
        <v>286</v>
      </c>
      <c r="B19" s="36"/>
      <c r="C19" s="36"/>
      <c r="D19" s="36"/>
      <c r="E19" s="36"/>
      <c r="F19" s="36"/>
      <c r="G19" s="36"/>
      <c r="H19" s="36"/>
    </row>
    <row r="20" spans="1:8" ht="28.05" customHeight="1">
      <c r="A20" s="36" t="s">
        <v>287</v>
      </c>
      <c r="B20" s="36"/>
      <c r="C20" s="36"/>
      <c r="D20" s="36"/>
      <c r="E20" s="36"/>
      <c r="F20" s="36"/>
      <c r="G20" s="36"/>
      <c r="H20" s="36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 ht="22.95" customHeight="1">
      <c r="A22" s="35" t="s">
        <v>288</v>
      </c>
      <c r="B22" s="35"/>
      <c r="C22" s="35"/>
      <c r="D22" s="35"/>
      <c r="E22" s="35"/>
      <c r="F22" s="35"/>
      <c r="G22" s="35"/>
      <c r="H22" s="35"/>
    </row>
    <row r="23" spans="1:8">
      <c r="A23" s="37" t="s">
        <v>289</v>
      </c>
      <c r="B23" s="37" t="s">
        <v>290</v>
      </c>
      <c r="C23" s="37" t="s">
        <v>291</v>
      </c>
      <c r="D23" s="5"/>
      <c r="E23" s="37" t="s">
        <v>292</v>
      </c>
      <c r="F23" s="37" t="s">
        <v>293</v>
      </c>
      <c r="G23" s="37" t="s">
        <v>294</v>
      </c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</sheetData>
  <sheetProtection sheet="1" objects="1" scenarios="1"/>
  <mergeCells count="26">
    <mergeCell ref="A16:H16"/>
    <mergeCell ref="A17:H17"/>
    <mergeCell ref="A18:H18"/>
    <mergeCell ref="A19:H19"/>
    <mergeCell ref="A20:H20"/>
    <mergeCell ref="A22:H22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2"/>
  <hyperlinks>
    <hyperlink ref="A23" location="'入力'!A1" display="入力" xr:uid="{5F451F67-B4A6-4008-A527-F20F00472CEC}"/>
    <hyperlink ref="B23" location="'別表三一_計算'!A1" display="主表計算" xr:uid="{2AC89475-ED32-4086-A33D-1CA015F258E1}"/>
    <hyperlink ref="C23" location="'付表_計算'!A1" display="付表_計算" xr:uid="{AF0191A3-2FC3-47E9-A5E4-E5BCF03ADC7F}"/>
    <hyperlink ref="E23" location="'別表三(一)'!A1" display="公式様式" xr:uid="{2BB35E6D-64FB-4919-A111-902532F7266D}"/>
    <hyperlink ref="F23" location="'検算'!A1" display="検算" xr:uid="{499BA8AC-5E98-4F30-9D84-45BA275BD24C}"/>
    <hyperlink ref="G23" location="'根拠・出典'!A1" display="根拠・出典" xr:uid="{1DAEE894-50F3-4A02-B92B-435942FA9078}"/>
  </hyperlinks>
  <pageMargins left="0.7" right="0.7" top="0.75" bottom="0.75" header="0.3" footer="0.3"/>
  <pageSetup paperSize="9" fitToHeight="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FE73-4E18-4A66-959F-C4BF66103B84}">
  <sheetPr>
    <tabColor rgb="FFFFF2CC"/>
    <pageSetUpPr fitToPage="1"/>
  </sheetPr>
  <dimension ref="A1:H62"/>
  <sheetViews>
    <sheetView showGridLines="0" zoomScale="90" zoomScaleNormal="90" workbookViewId="0">
      <pane ySplit="13" topLeftCell="A14" activePane="bottomLeft" state="frozenSplit"/>
      <selection pane="bottomLeft" sqref="A1:H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  <col min="6" max="6" width="18.69921875" customWidth="1"/>
    <col min="7" max="7" width="14.69921875" customWidth="1"/>
    <col min="8" max="8" width="16.69921875" customWidth="1"/>
  </cols>
  <sheetData>
    <row r="1" spans="1:8" ht="26.4">
      <c r="A1" s="20" t="s">
        <v>0</v>
      </c>
      <c r="B1" s="21"/>
      <c r="C1" s="21"/>
      <c r="D1" s="21"/>
      <c r="E1" s="21"/>
      <c r="F1" s="21"/>
      <c r="G1" s="21"/>
      <c r="H1" s="21"/>
    </row>
    <row r="2" spans="1:8">
      <c r="A2" s="22" t="s">
        <v>1</v>
      </c>
      <c r="B2" s="21"/>
      <c r="C2" s="21"/>
      <c r="D2" s="21"/>
      <c r="E2" s="21"/>
      <c r="F2" s="21"/>
      <c r="G2" s="21"/>
      <c r="H2" s="21"/>
    </row>
    <row r="3" spans="1:8">
      <c r="A3" s="23"/>
      <c r="B3" s="23"/>
      <c r="C3" s="23"/>
      <c r="D3" s="23"/>
      <c r="E3" s="23"/>
      <c r="F3" s="23"/>
      <c r="G3" s="23"/>
      <c r="H3" s="23"/>
    </row>
    <row r="4" spans="1:8" ht="22.95" customHeight="1">
      <c r="A4" s="6" t="s">
        <v>9</v>
      </c>
      <c r="B4" s="6"/>
      <c r="C4" s="6"/>
      <c r="D4" s="6"/>
      <c r="E4" s="6"/>
      <c r="F4" s="7" t="s">
        <v>10</v>
      </c>
      <c r="G4" s="8"/>
      <c r="H4" s="8"/>
    </row>
    <row r="5" spans="1:8">
      <c r="A5" s="8" t="s">
        <v>2</v>
      </c>
      <c r="B5" s="8"/>
      <c r="C5" s="8"/>
      <c r="D5" s="46"/>
      <c r="E5" s="9"/>
      <c r="F5" s="8" t="s">
        <v>11</v>
      </c>
      <c r="G5" s="8"/>
      <c r="H5" s="10" t="b">
        <f>AND(inp_end&gt;=DATE(2019,4,1),inp_end&lt;DATE(2020,4,1))</f>
        <v>1</v>
      </c>
    </row>
    <row r="6" spans="1:8">
      <c r="A6" s="8" t="s">
        <v>3</v>
      </c>
      <c r="B6" s="8"/>
      <c r="C6" s="8"/>
      <c r="D6" s="47">
        <v>43556</v>
      </c>
      <c r="E6" s="9"/>
      <c r="F6" s="8" t="s">
        <v>12</v>
      </c>
      <c r="G6" s="8"/>
      <c r="H6" s="11">
        <f>IF(inp_start&lt;DATE(2019,10,1),16.3%,10.4%)</f>
        <v>0.16300000000000001</v>
      </c>
    </row>
    <row r="7" spans="1:8">
      <c r="A7" s="8" t="s">
        <v>4</v>
      </c>
      <c r="B7" s="8"/>
      <c r="C7" s="8"/>
      <c r="D7" s="47">
        <v>43921</v>
      </c>
      <c r="E7" s="9"/>
      <c r="F7" s="8" t="s">
        <v>13</v>
      </c>
      <c r="G7" s="8"/>
      <c r="H7" s="11">
        <f>20%</f>
        <v>0.2</v>
      </c>
    </row>
    <row r="8" spans="1:8">
      <c r="A8" s="8" t="s">
        <v>5</v>
      </c>
      <c r="B8" s="8"/>
      <c r="C8" s="8"/>
      <c r="D8" s="15">
        <f>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</f>
        <v>12</v>
      </c>
      <c r="E8" s="9"/>
      <c r="F8" s="12" t="s">
        <v>14</v>
      </c>
      <c r="G8" s="12"/>
      <c r="H8" s="12"/>
    </row>
    <row r="9" spans="1:8">
      <c r="A9" s="8" t="s">
        <v>6</v>
      </c>
      <c r="B9" s="8"/>
      <c r="C9" s="8"/>
      <c r="D9" s="46" t="s">
        <v>334</v>
      </c>
      <c r="E9" s="9"/>
      <c r="F9" s="12"/>
      <c r="G9" s="12"/>
      <c r="H9" s="12"/>
    </row>
    <row r="10" spans="1:8">
      <c r="A10" s="8" t="s">
        <v>7</v>
      </c>
      <c r="B10" s="8"/>
      <c r="C10" s="8"/>
      <c r="D10" s="46" t="s">
        <v>333</v>
      </c>
      <c r="E10" s="9"/>
      <c r="F10" s="12"/>
      <c r="G10" s="12"/>
      <c r="H10" s="12"/>
    </row>
    <row r="11" spans="1:8">
      <c r="A11" s="8" t="s">
        <v>8</v>
      </c>
      <c r="B11" s="8"/>
      <c r="C11" s="8"/>
      <c r="D11" s="46" t="s">
        <v>335</v>
      </c>
      <c r="E11" s="9"/>
      <c r="F11" s="23"/>
      <c r="G11" s="23"/>
      <c r="H11" s="23"/>
    </row>
    <row r="12" spans="1:8">
      <c r="A12" s="23"/>
      <c r="B12" s="23"/>
      <c r="C12" s="23"/>
      <c r="D12" s="16"/>
      <c r="E12" s="23"/>
      <c r="F12" s="23"/>
      <c r="G12" s="23"/>
      <c r="H12" s="23"/>
    </row>
    <row r="13" spans="1:8" ht="22.95" customHeight="1">
      <c r="A13" s="6" t="s">
        <v>15</v>
      </c>
      <c r="B13" s="6"/>
      <c r="C13" s="6"/>
      <c r="D13" s="17"/>
      <c r="E13" s="6"/>
      <c r="F13" s="23"/>
      <c r="G13" s="23"/>
      <c r="H13" s="23"/>
    </row>
    <row r="14" spans="1:8">
      <c r="A14" s="13" t="s">
        <v>16</v>
      </c>
      <c r="B14" s="13" t="s">
        <v>17</v>
      </c>
      <c r="C14" s="13" t="s">
        <v>18</v>
      </c>
      <c r="D14" s="18" t="s">
        <v>19</v>
      </c>
      <c r="E14" s="13" t="s">
        <v>20</v>
      </c>
      <c r="F14" s="23"/>
      <c r="G14" s="23"/>
      <c r="H14" s="23"/>
    </row>
    <row r="15" spans="1:8" ht="31.95" customHeight="1">
      <c r="A15" s="9" t="s">
        <v>21</v>
      </c>
      <c r="B15" s="14" t="s">
        <v>22</v>
      </c>
      <c r="C15" s="14" t="s">
        <v>23</v>
      </c>
      <c r="D15" s="45">
        <v>0</v>
      </c>
      <c r="E15" s="14" t="s">
        <v>24</v>
      </c>
      <c r="F15" s="23"/>
      <c r="G15" s="23"/>
      <c r="H15" s="23"/>
    </row>
    <row r="16" spans="1:8" ht="31.95" customHeight="1">
      <c r="A16" s="9" t="s">
        <v>25</v>
      </c>
      <c r="B16" s="14" t="s">
        <v>26</v>
      </c>
      <c r="C16" s="14" t="s">
        <v>27</v>
      </c>
      <c r="D16" s="45">
        <v>0</v>
      </c>
      <c r="E16" s="14" t="s">
        <v>28</v>
      </c>
      <c r="F16" s="23"/>
      <c r="G16" s="23"/>
      <c r="H16" s="23"/>
    </row>
    <row r="17" spans="1:8" ht="31.95" customHeight="1">
      <c r="A17" s="9" t="s">
        <v>29</v>
      </c>
      <c r="B17" s="14" t="s">
        <v>30</v>
      </c>
      <c r="C17" s="14" t="s">
        <v>31</v>
      </c>
      <c r="D17" s="45">
        <v>0</v>
      </c>
      <c r="E17" s="14" t="s">
        <v>32</v>
      </c>
      <c r="F17" s="23"/>
      <c r="G17" s="23"/>
      <c r="H17" s="23"/>
    </row>
    <row r="18" spans="1:8" ht="31.95" customHeight="1">
      <c r="A18" s="9" t="s">
        <v>33</v>
      </c>
      <c r="B18" s="14" t="s">
        <v>34</v>
      </c>
      <c r="C18" s="14" t="s">
        <v>35</v>
      </c>
      <c r="D18" s="45">
        <v>0</v>
      </c>
      <c r="E18" s="14"/>
      <c r="F18" s="23"/>
      <c r="G18" s="23"/>
      <c r="H18" s="23"/>
    </row>
    <row r="19" spans="1:8" ht="31.95" customHeight="1">
      <c r="A19" s="9" t="s">
        <v>36</v>
      </c>
      <c r="B19" s="14" t="s">
        <v>37</v>
      </c>
      <c r="C19" s="14" t="s">
        <v>38</v>
      </c>
      <c r="D19" s="45">
        <v>0</v>
      </c>
      <c r="E19" s="14"/>
      <c r="F19" s="23"/>
      <c r="G19" s="23"/>
      <c r="H19" s="23"/>
    </row>
    <row r="20" spans="1:8" ht="31.95" customHeight="1">
      <c r="A20" s="9" t="s">
        <v>39</v>
      </c>
      <c r="B20" s="14" t="s">
        <v>40</v>
      </c>
      <c r="C20" s="14" t="s">
        <v>41</v>
      </c>
      <c r="D20" s="45">
        <v>0</v>
      </c>
      <c r="E20" s="14"/>
      <c r="F20" s="23"/>
      <c r="G20" s="23"/>
      <c r="H20" s="23"/>
    </row>
    <row r="21" spans="1:8" ht="31.95" customHeight="1">
      <c r="A21" s="9" t="s">
        <v>42</v>
      </c>
      <c r="B21" s="14" t="s">
        <v>40</v>
      </c>
      <c r="C21" s="14" t="s">
        <v>43</v>
      </c>
      <c r="D21" s="45">
        <v>0</v>
      </c>
      <c r="E21" s="14"/>
      <c r="F21" s="23"/>
      <c r="G21" s="23"/>
      <c r="H21" s="23"/>
    </row>
    <row r="22" spans="1:8" ht="31.95" customHeight="1">
      <c r="A22" s="9" t="s">
        <v>44</v>
      </c>
      <c r="B22" s="14" t="s">
        <v>45</v>
      </c>
      <c r="C22" s="14" t="s">
        <v>46</v>
      </c>
      <c r="D22" s="45">
        <v>0</v>
      </c>
      <c r="E22" s="14"/>
      <c r="F22" s="23"/>
      <c r="G22" s="23"/>
      <c r="H22" s="23"/>
    </row>
    <row r="23" spans="1:8" ht="31.95" customHeight="1">
      <c r="A23" s="9" t="s">
        <v>47</v>
      </c>
      <c r="B23" s="14" t="s">
        <v>48</v>
      </c>
      <c r="C23" s="14" t="s">
        <v>49</v>
      </c>
      <c r="D23" s="45">
        <v>0</v>
      </c>
      <c r="E23" s="14"/>
      <c r="F23" s="23"/>
      <c r="G23" s="23"/>
      <c r="H23" s="23"/>
    </row>
    <row r="24" spans="1:8" ht="31.95" customHeight="1">
      <c r="A24" s="9" t="s">
        <v>50</v>
      </c>
      <c r="B24" s="14" t="s">
        <v>51</v>
      </c>
      <c r="C24" s="14" t="s">
        <v>52</v>
      </c>
      <c r="D24" s="45">
        <v>0</v>
      </c>
      <c r="E24" s="14"/>
      <c r="F24" s="23"/>
      <c r="G24" s="23"/>
      <c r="H24" s="23"/>
    </row>
    <row r="25" spans="1:8" ht="31.95" customHeight="1">
      <c r="A25" s="9" t="s">
        <v>53</v>
      </c>
      <c r="B25" s="14" t="s">
        <v>54</v>
      </c>
      <c r="C25" s="14" t="s">
        <v>55</v>
      </c>
      <c r="D25" s="45">
        <v>0</v>
      </c>
      <c r="E25" s="14"/>
      <c r="F25" s="23"/>
      <c r="G25" s="23"/>
      <c r="H25" s="23"/>
    </row>
    <row r="26" spans="1:8" ht="31.95" customHeight="1">
      <c r="A26" s="9" t="s">
        <v>56</v>
      </c>
      <c r="B26" s="14" t="s">
        <v>57</v>
      </c>
      <c r="C26" s="14" t="s">
        <v>58</v>
      </c>
      <c r="D26" s="45">
        <v>0</v>
      </c>
      <c r="E26" s="14"/>
      <c r="F26" s="23"/>
      <c r="G26" s="23"/>
      <c r="H26" s="23"/>
    </row>
    <row r="27" spans="1:8" ht="31.95" customHeight="1">
      <c r="A27" s="9" t="s">
        <v>59</v>
      </c>
      <c r="B27" s="14" t="s">
        <v>60</v>
      </c>
      <c r="C27" s="14" t="s">
        <v>61</v>
      </c>
      <c r="D27" s="45">
        <v>0</v>
      </c>
      <c r="E27" s="14"/>
      <c r="F27" s="23"/>
      <c r="G27" s="23"/>
      <c r="H27" s="23"/>
    </row>
    <row r="28" spans="1:8" ht="31.95" customHeight="1">
      <c r="A28" s="9" t="s">
        <v>62</v>
      </c>
      <c r="B28" s="14" t="s">
        <v>63</v>
      </c>
      <c r="C28" s="14" t="s">
        <v>64</v>
      </c>
      <c r="D28" s="45">
        <v>0</v>
      </c>
      <c r="E28" s="14"/>
      <c r="F28" s="23"/>
      <c r="G28" s="23"/>
      <c r="H28" s="23"/>
    </row>
    <row r="29" spans="1:8" ht="31.95" customHeight="1">
      <c r="A29" s="9" t="s">
        <v>65</v>
      </c>
      <c r="B29" s="14" t="s">
        <v>66</v>
      </c>
      <c r="C29" s="14" t="s">
        <v>67</v>
      </c>
      <c r="D29" s="45">
        <v>0</v>
      </c>
      <c r="E29" s="14"/>
      <c r="F29" s="23"/>
      <c r="G29" s="23"/>
      <c r="H29" s="23"/>
    </row>
    <row r="30" spans="1:8" ht="31.95" customHeight="1">
      <c r="A30" s="9" t="s">
        <v>68</v>
      </c>
      <c r="B30" s="14" t="s">
        <v>69</v>
      </c>
      <c r="C30" s="14" t="s">
        <v>70</v>
      </c>
      <c r="D30" s="45">
        <v>0</v>
      </c>
      <c r="E30" s="14"/>
      <c r="F30" s="23"/>
      <c r="G30" s="23"/>
      <c r="H30" s="23"/>
    </row>
    <row r="31" spans="1:8" ht="31.95" customHeight="1">
      <c r="A31" s="9" t="s">
        <v>71</v>
      </c>
      <c r="B31" s="14" t="s">
        <v>72</v>
      </c>
      <c r="C31" s="14" t="s">
        <v>73</v>
      </c>
      <c r="D31" s="45">
        <v>0</v>
      </c>
      <c r="E31" s="14"/>
      <c r="F31" s="23"/>
      <c r="G31" s="23"/>
      <c r="H31" s="23"/>
    </row>
    <row r="32" spans="1:8" ht="31.95" customHeight="1">
      <c r="A32" s="9" t="s">
        <v>74</v>
      </c>
      <c r="B32" s="14" t="s">
        <v>75</v>
      </c>
      <c r="C32" s="14" t="s">
        <v>76</v>
      </c>
      <c r="D32" s="45">
        <v>0</v>
      </c>
      <c r="E32" s="14"/>
      <c r="F32" s="23"/>
      <c r="G32" s="23"/>
      <c r="H32" s="23"/>
    </row>
    <row r="33" spans="1:8" ht="31.95" customHeight="1">
      <c r="A33" s="9" t="s">
        <v>77</v>
      </c>
      <c r="B33" s="14" t="s">
        <v>78</v>
      </c>
      <c r="C33" s="14" t="s">
        <v>79</v>
      </c>
      <c r="D33" s="45">
        <v>0</v>
      </c>
      <c r="E33" s="14"/>
      <c r="F33" s="23"/>
      <c r="G33" s="23"/>
      <c r="H33" s="23"/>
    </row>
    <row r="34" spans="1:8" ht="31.95" customHeight="1">
      <c r="A34" s="9" t="s">
        <v>80</v>
      </c>
      <c r="B34" s="14" t="s">
        <v>81</v>
      </c>
      <c r="C34" s="14" t="s">
        <v>82</v>
      </c>
      <c r="D34" s="45">
        <v>0</v>
      </c>
      <c r="E34" s="14"/>
      <c r="F34" s="23"/>
      <c r="G34" s="23"/>
      <c r="H34" s="23"/>
    </row>
    <row r="35" spans="1:8" ht="31.95" customHeight="1">
      <c r="A35" s="9" t="s">
        <v>83</v>
      </c>
      <c r="B35" s="14" t="s">
        <v>84</v>
      </c>
      <c r="C35" s="14" t="s">
        <v>85</v>
      </c>
      <c r="D35" s="45">
        <v>0</v>
      </c>
      <c r="E35" s="14"/>
      <c r="F35" s="23"/>
      <c r="G35" s="23"/>
      <c r="H35" s="23"/>
    </row>
    <row r="36" spans="1:8" ht="31.95" customHeight="1">
      <c r="A36" s="9" t="s">
        <v>86</v>
      </c>
      <c r="B36" s="14" t="s">
        <v>87</v>
      </c>
      <c r="C36" s="14" t="s">
        <v>88</v>
      </c>
      <c r="D36" s="45">
        <v>0</v>
      </c>
      <c r="E36" s="14"/>
      <c r="F36" s="23"/>
      <c r="G36" s="23"/>
      <c r="H36" s="23"/>
    </row>
    <row r="37" spans="1:8" ht="31.95" customHeight="1">
      <c r="A37" s="9" t="s">
        <v>89</v>
      </c>
      <c r="B37" s="14" t="s">
        <v>90</v>
      </c>
      <c r="C37" s="14" t="s">
        <v>91</v>
      </c>
      <c r="D37" s="45">
        <v>0</v>
      </c>
      <c r="E37" s="14" t="s">
        <v>92</v>
      </c>
      <c r="F37" s="23"/>
      <c r="G37" s="23"/>
      <c r="H37" s="23"/>
    </row>
    <row r="38" spans="1:8">
      <c r="A38" s="9"/>
      <c r="B38" s="9"/>
      <c r="C38" s="9"/>
      <c r="D38" s="19"/>
      <c r="E38" s="9"/>
      <c r="F38" s="23"/>
      <c r="G38" s="23"/>
      <c r="H38" s="23"/>
    </row>
    <row r="39" spans="1:8" ht="22.95" customHeight="1">
      <c r="A39" s="6" t="s">
        <v>93</v>
      </c>
      <c r="B39" s="6"/>
      <c r="C39" s="6"/>
      <c r="D39" s="17"/>
      <c r="E39" s="6"/>
      <c r="F39" s="23"/>
      <c r="G39" s="23"/>
      <c r="H39" s="23"/>
    </row>
    <row r="40" spans="1:8">
      <c r="A40" s="13" t="s">
        <v>16</v>
      </c>
      <c r="B40" s="13" t="s">
        <v>17</v>
      </c>
      <c r="C40" s="13" t="s">
        <v>18</v>
      </c>
      <c r="D40" s="18" t="s">
        <v>19</v>
      </c>
      <c r="E40" s="13" t="s">
        <v>20</v>
      </c>
      <c r="F40" s="23"/>
      <c r="G40" s="23"/>
      <c r="H40" s="23"/>
    </row>
    <row r="41" spans="1:8" ht="31.95" customHeight="1">
      <c r="A41" s="9" t="s">
        <v>94</v>
      </c>
      <c r="B41" s="14" t="s">
        <v>95</v>
      </c>
      <c r="C41" s="14" t="s">
        <v>96</v>
      </c>
      <c r="D41" s="45">
        <v>0</v>
      </c>
      <c r="E41" s="14"/>
      <c r="F41" s="23"/>
      <c r="G41" s="23"/>
      <c r="H41" s="23"/>
    </row>
    <row r="42" spans="1:8" ht="31.95" customHeight="1">
      <c r="A42" s="9" t="s">
        <v>97</v>
      </c>
      <c r="B42" s="14" t="s">
        <v>98</v>
      </c>
      <c r="C42" s="14" t="s">
        <v>99</v>
      </c>
      <c r="D42" s="45">
        <v>0</v>
      </c>
      <c r="E42" s="14" t="s">
        <v>100</v>
      </c>
      <c r="F42" s="23"/>
      <c r="G42" s="23"/>
      <c r="H42" s="23"/>
    </row>
    <row r="43" spans="1:8" ht="31.95" customHeight="1">
      <c r="A43" s="9" t="s">
        <v>101</v>
      </c>
      <c r="B43" s="14" t="s">
        <v>102</v>
      </c>
      <c r="C43" s="14" t="s">
        <v>103</v>
      </c>
      <c r="D43" s="45">
        <v>0</v>
      </c>
      <c r="E43" s="14"/>
      <c r="F43" s="23"/>
      <c r="G43" s="23"/>
      <c r="H43" s="23"/>
    </row>
    <row r="44" spans="1:8" ht="31.95" customHeight="1">
      <c r="A44" s="9" t="s">
        <v>104</v>
      </c>
      <c r="B44" s="14" t="s">
        <v>105</v>
      </c>
      <c r="C44" s="14" t="s">
        <v>106</v>
      </c>
      <c r="D44" s="45">
        <v>0</v>
      </c>
      <c r="E44" s="14"/>
      <c r="F44" s="23"/>
      <c r="G44" s="23"/>
      <c r="H44" s="23"/>
    </row>
    <row r="45" spans="1:8" ht="31.95" customHeight="1">
      <c r="A45" s="9" t="s">
        <v>107</v>
      </c>
      <c r="B45" s="14" t="s">
        <v>108</v>
      </c>
      <c r="C45" s="14" t="s">
        <v>109</v>
      </c>
      <c r="D45" s="45">
        <v>0</v>
      </c>
      <c r="E45" s="14" t="s">
        <v>110</v>
      </c>
      <c r="F45" s="23"/>
      <c r="G45" s="23"/>
      <c r="H45" s="23"/>
    </row>
    <row r="46" spans="1:8" ht="31.95" customHeight="1">
      <c r="A46" s="9" t="s">
        <v>111</v>
      </c>
      <c r="B46" s="14" t="s">
        <v>112</v>
      </c>
      <c r="C46" s="14" t="s">
        <v>113</v>
      </c>
      <c r="D46" s="45">
        <v>0</v>
      </c>
      <c r="E46" s="14" t="s">
        <v>114</v>
      </c>
      <c r="F46" s="23"/>
      <c r="G46" s="23"/>
      <c r="H46" s="23"/>
    </row>
    <row r="47" spans="1:8" ht="31.95" customHeight="1">
      <c r="A47" s="9" t="s">
        <v>115</v>
      </c>
      <c r="B47" s="14" t="s">
        <v>116</v>
      </c>
      <c r="C47" s="14" t="s">
        <v>117</v>
      </c>
      <c r="D47" s="45">
        <v>0</v>
      </c>
      <c r="E47" s="14"/>
      <c r="F47" s="23"/>
      <c r="G47" s="23"/>
      <c r="H47" s="23"/>
    </row>
    <row r="48" spans="1:8" ht="31.95" customHeight="1">
      <c r="A48" s="9" t="s">
        <v>118</v>
      </c>
      <c r="B48" s="14" t="s">
        <v>119</v>
      </c>
      <c r="C48" s="14" t="s">
        <v>120</v>
      </c>
      <c r="D48" s="45">
        <v>0</v>
      </c>
      <c r="E48" s="14"/>
      <c r="F48" s="23"/>
      <c r="G48" s="23"/>
      <c r="H48" s="23"/>
    </row>
    <row r="49" spans="1:8" ht="31.95" customHeight="1">
      <c r="A49" s="9" t="s">
        <v>121</v>
      </c>
      <c r="B49" s="14" t="s">
        <v>122</v>
      </c>
      <c r="C49" s="14" t="s">
        <v>123</v>
      </c>
      <c r="D49" s="45">
        <v>0</v>
      </c>
      <c r="E49" s="14"/>
      <c r="F49" s="23"/>
      <c r="G49" s="23"/>
      <c r="H49" s="23"/>
    </row>
    <row r="50" spans="1:8" ht="31.95" customHeight="1">
      <c r="A50" s="9" t="s">
        <v>124</v>
      </c>
      <c r="B50" s="14" t="s">
        <v>125</v>
      </c>
      <c r="C50" s="14" t="s">
        <v>126</v>
      </c>
      <c r="D50" s="45">
        <v>0</v>
      </c>
      <c r="E50" s="14"/>
      <c r="F50" s="23"/>
      <c r="G50" s="23"/>
      <c r="H50" s="23"/>
    </row>
    <row r="51" spans="1:8" ht="31.95" customHeight="1">
      <c r="A51" s="9" t="s">
        <v>127</v>
      </c>
      <c r="B51" s="14" t="s">
        <v>128</v>
      </c>
      <c r="C51" s="14" t="s">
        <v>129</v>
      </c>
      <c r="D51" s="45">
        <v>0</v>
      </c>
      <c r="E51" s="14"/>
      <c r="F51" s="23"/>
      <c r="G51" s="23"/>
      <c r="H51" s="23"/>
    </row>
    <row r="52" spans="1:8" ht="31.95" customHeight="1">
      <c r="A52" s="9" t="s">
        <v>130</v>
      </c>
      <c r="B52" s="14" t="s">
        <v>131</v>
      </c>
      <c r="C52" s="14" t="s">
        <v>132</v>
      </c>
      <c r="D52" s="45">
        <v>0</v>
      </c>
      <c r="E52" s="14"/>
      <c r="F52" s="23"/>
      <c r="G52" s="23"/>
      <c r="H52" s="23"/>
    </row>
    <row r="53" spans="1:8" ht="31.95" customHeight="1">
      <c r="A53" s="9" t="s">
        <v>133</v>
      </c>
      <c r="B53" s="14" t="s">
        <v>134</v>
      </c>
      <c r="C53" s="14" t="s">
        <v>135</v>
      </c>
      <c r="D53" s="45">
        <v>0</v>
      </c>
      <c r="E53" s="14"/>
      <c r="F53" s="23"/>
      <c r="G53" s="23"/>
      <c r="H53" s="23"/>
    </row>
    <row r="54" spans="1:8" ht="31.95" customHeight="1">
      <c r="A54" s="9" t="s">
        <v>136</v>
      </c>
      <c r="B54" s="14" t="s">
        <v>137</v>
      </c>
      <c r="C54" s="14" t="s">
        <v>138</v>
      </c>
      <c r="D54" s="45">
        <v>0</v>
      </c>
      <c r="E54" s="14"/>
      <c r="F54" s="23"/>
      <c r="G54" s="23"/>
      <c r="H54" s="23"/>
    </row>
    <row r="55" spans="1:8" ht="31.95" customHeight="1">
      <c r="A55" s="9" t="s">
        <v>139</v>
      </c>
      <c r="B55" s="14" t="s">
        <v>140</v>
      </c>
      <c r="C55" s="14" t="s">
        <v>141</v>
      </c>
      <c r="D55" s="45">
        <v>0</v>
      </c>
      <c r="E55" s="14"/>
      <c r="F55" s="23"/>
      <c r="G55" s="23"/>
      <c r="H55" s="23"/>
    </row>
    <row r="56" spans="1:8" ht="31.95" customHeight="1">
      <c r="A56" s="9" t="s">
        <v>142</v>
      </c>
      <c r="B56" s="14" t="s">
        <v>143</v>
      </c>
      <c r="C56" s="14" t="s">
        <v>144</v>
      </c>
      <c r="D56" s="45">
        <v>0</v>
      </c>
      <c r="E56" s="14"/>
      <c r="F56" s="23"/>
      <c r="G56" s="23"/>
      <c r="H56" s="23"/>
    </row>
    <row r="57" spans="1:8" ht="31.95" customHeight="1">
      <c r="A57" s="9" t="s">
        <v>145</v>
      </c>
      <c r="B57" s="14" t="s">
        <v>146</v>
      </c>
      <c r="C57" s="14" t="s">
        <v>147</v>
      </c>
      <c r="D57" s="45">
        <v>0</v>
      </c>
      <c r="E57" s="14"/>
      <c r="F57" s="23"/>
      <c r="G57" s="23"/>
      <c r="H57" s="23"/>
    </row>
    <row r="58" spans="1:8" ht="31.95" customHeight="1">
      <c r="A58" s="9" t="s">
        <v>148</v>
      </c>
      <c r="B58" s="14" t="s">
        <v>149</v>
      </c>
      <c r="C58" s="14" t="s">
        <v>150</v>
      </c>
      <c r="D58" s="45">
        <v>0</v>
      </c>
      <c r="E58" s="14"/>
      <c r="F58" s="23"/>
      <c r="G58" s="23"/>
      <c r="H58" s="23"/>
    </row>
    <row r="59" spans="1:8" ht="31.95" customHeight="1">
      <c r="A59" s="9" t="s">
        <v>151</v>
      </c>
      <c r="B59" s="14" t="s">
        <v>152</v>
      </c>
      <c r="C59" s="14" t="s">
        <v>153</v>
      </c>
      <c r="D59" s="45">
        <v>0</v>
      </c>
      <c r="E59" s="14"/>
      <c r="F59" s="23"/>
      <c r="G59" s="23"/>
      <c r="H59" s="23"/>
    </row>
    <row r="60" spans="1:8" ht="31.95" customHeight="1">
      <c r="A60" s="9" t="s">
        <v>154</v>
      </c>
      <c r="B60" s="14" t="s">
        <v>155</v>
      </c>
      <c r="C60" s="14" t="s">
        <v>156</v>
      </c>
      <c r="D60" s="45">
        <v>0</v>
      </c>
      <c r="E60" s="14"/>
      <c r="F60" s="23"/>
      <c r="G60" s="23"/>
      <c r="H60" s="23"/>
    </row>
    <row r="61" spans="1:8" ht="31.95" customHeight="1">
      <c r="A61" s="9" t="s">
        <v>157</v>
      </c>
      <c r="B61" s="14" t="s">
        <v>158</v>
      </c>
      <c r="C61" s="14" t="s">
        <v>159</v>
      </c>
      <c r="D61" s="45">
        <v>0</v>
      </c>
      <c r="E61" s="14"/>
      <c r="F61" s="23"/>
      <c r="G61" s="23"/>
      <c r="H61" s="23"/>
    </row>
    <row r="62" spans="1:8" ht="31.95" customHeight="1">
      <c r="A62" s="9" t="s">
        <v>160</v>
      </c>
      <c r="B62" s="14" t="s">
        <v>161</v>
      </c>
      <c r="C62" s="14" t="s">
        <v>162</v>
      </c>
      <c r="D62" s="45">
        <v>0</v>
      </c>
      <c r="E62" s="14"/>
      <c r="F62" s="23"/>
      <c r="G62" s="23"/>
      <c r="H62" s="23"/>
    </row>
  </sheetData>
  <sheetProtection sheet="1" objects="1" scenarios="1"/>
  <mergeCells count="17">
    <mergeCell ref="A13:E13"/>
    <mergeCell ref="A39:E39"/>
    <mergeCell ref="A8:C8"/>
    <mergeCell ref="A9:C9"/>
    <mergeCell ref="A10:C10"/>
    <mergeCell ref="A11:C11"/>
    <mergeCell ref="F4:H4"/>
    <mergeCell ref="F5:G5"/>
    <mergeCell ref="F6:G6"/>
    <mergeCell ref="F7:G7"/>
    <mergeCell ref="F8:H10"/>
    <mergeCell ref="A1:H1"/>
    <mergeCell ref="A2:H2"/>
    <mergeCell ref="A4:E4"/>
    <mergeCell ref="A5:C5"/>
    <mergeCell ref="A6:C6"/>
    <mergeCell ref="A7:C7"/>
  </mergeCells>
  <phoneticPr fontId="2"/>
  <dataValidations count="50">
    <dataValidation type="custom" showInputMessage="1" showErrorMessage="1" sqref="D6" xr:uid="{224D2D1F-05A5-4759-B7BE-95CCDAC355E1}">
      <formula1>AND(ISNUMBER(D6),D6&gt;=DATE(1900,1,1),D6&lt;=DATE(2100,12,31))</formula1>
    </dataValidation>
    <dataValidation type="custom" showInputMessage="1" showErrorMessage="1" sqref="D7" xr:uid="{08228575-6537-4290-90C8-BFF32083B9A1}">
      <formula1>AND(ISNUMBER(D7),ISNUMBER(D6),D7&gt;=D6,D7&lt;=IF(DAY(EDATE(D6,12))&lt;DAY(D6),EDATE(D6,12),EDATE(D6,12)-1))</formula1>
    </dataValidation>
    <dataValidation type="list" showInputMessage="1" showErrorMessage="1" sqref="D9" xr:uid="{0BE0071E-2C37-45DA-8AEE-D7F8DF5E2A78}">
      <formula1>"該当,非該当"</formula1>
    </dataValidation>
    <dataValidation type="list" showInputMessage="1" showErrorMessage="1" sqref="D10" xr:uid="{F189149C-7895-49F7-8DD6-5B68D543851A}">
      <formula1>"はい,いいえ"</formula1>
    </dataValidation>
    <dataValidation type="list" showInputMessage="1" showErrorMessage="1" sqref="D11" xr:uid="{3A06B3DC-0A76-4884-8301-4E846C25573E}">
      <formula1>"はい,いいえ"</formula1>
    </dataValidation>
    <dataValidation type="custom" showInputMessage="1" showErrorMessage="1" errorTitle="入力エラー" error="絶対値1,000兆円未満の円単位整数を入力してください（負数可）。" sqref="D15" xr:uid="{209CD588-87A5-4619-8C52-F0F303F7AD09}">
      <formula1>AND(ISNUMBER(D15),D15=INT(D15),ABS(D15)&lt;=999999999999999)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6" xr:uid="{85DA24D5-8042-4903-83DE-1DF8E89A1D15}">
      <formula1>AND(ISNUMBER(D16),D16=INT(D16),D16&gt;=0,D16&lt;=999999999999999)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7" xr:uid="{5DE32156-A962-4CE7-946A-64879845BA04}">
      <formula1>AND(ISNUMBER(D17),D17=INT(D17),D17&gt;=0,D17&lt;=999999999999999)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8" xr:uid="{487E2A3D-91C6-46D4-8F85-0C6FF2A51A9A}">
      <formula1>AND(ISNUMBER(D18),D18=INT(D18),D18&gt;=0,D18&lt;=999999999999999)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9" xr:uid="{F9D14169-6E9F-44D8-A076-32B8A5D28DD8}">
      <formula1>AND(ISNUMBER(D19),D19=INT(D19),D19&gt;=0,D19&lt;=999999999999999)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0" xr:uid="{A4860131-1334-46B4-AB27-8D671E888864}">
      <formula1>AND(ISNUMBER(D20),D20=INT(D20),D20&gt;=0,D20&lt;=999999999999999)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1" xr:uid="{6DCA5273-46DB-471E-8AF3-7BBD16D7F65E}">
      <formula1>AND(ISNUMBER(D21),D21=INT(D21),D21&gt;=0,D21&lt;=999999999999999)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2" xr:uid="{2D524860-50BB-409F-9A22-1F128496A357}">
      <formula1>AND(ISNUMBER(D22),D22=INT(D22),D22&gt;=0,D22&lt;=999999999999999)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3" xr:uid="{3EC14A96-0D8B-4EC5-903F-1DAE23A1BBFC}">
      <formula1>AND(ISNUMBER(D23),D23=INT(D23),D23&gt;=0,D23&lt;=999999999999999)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4" xr:uid="{4DCDF861-57F4-4FDD-B2AE-D08FDD62DAB0}">
      <formula1>AND(ISNUMBER(D24),D24=INT(D24),D24&gt;=0,D24&lt;=999999999999999)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5" xr:uid="{F20EBBDC-7793-4DC5-819A-31FB7FA1DF40}">
      <formula1>AND(ISNUMBER(D25),D25=INT(D25),D25&gt;=0,D25&lt;=999999999999999)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6" xr:uid="{5A8E6F82-B950-4C9B-A214-B6D8B216DB8B}">
      <formula1>AND(ISNUMBER(D26),D26=INT(D26),D26&gt;=0,D26&lt;=999999999999999)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7" xr:uid="{E314ED87-A196-4231-8612-49BD6C74BFE5}">
      <formula1>AND(ISNUMBER(D27),D27=INT(D27),D27&gt;=0,D27&lt;=999999999999999)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8" xr:uid="{D3017B32-528C-4C7B-8200-A51797D47AD2}">
      <formula1>AND(ISNUMBER(D28),D28=INT(D28),D28&gt;=0,D28&lt;=999999999999999)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9" xr:uid="{255DE73F-AAAC-478A-900B-7D55C6083EB3}">
      <formula1>AND(ISNUMBER(D29),D29=INT(D29),D29&gt;=0,D29&lt;=999999999999999)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0" xr:uid="{75B2382D-0232-4DE0-A324-C171995CEA59}">
      <formula1>AND(ISNUMBER(D30),D30=INT(D30),D30&gt;=0,D30&lt;=999999999999999)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1" xr:uid="{FAE769C0-8570-4993-ABBD-E86F50EC98D7}">
      <formula1>AND(ISNUMBER(D31),D31=INT(D31),D31&gt;=0,D31&lt;=999999999999999)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2" xr:uid="{9B4B9C00-044E-4C8B-9721-AAEB06BCB131}">
      <formula1>AND(ISNUMBER(D32),D32=INT(D32),D32&gt;=0,D32&lt;=999999999999999)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3" xr:uid="{D34544E3-BF27-4406-9EFC-9613117F77CA}">
      <formula1>AND(ISNUMBER(D33),D33=INT(D33),D33&gt;=0,D33&lt;=999999999999999)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4" xr:uid="{C23A3229-EBDE-49E0-9F68-326D36D57326}">
      <formula1>AND(ISNUMBER(D34),D34=INT(D34),D34&gt;=0,D34&lt;=999999999999999)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5" xr:uid="{437C29CB-26F9-4378-887F-C38560DD73BB}">
      <formula1>AND(ISNUMBER(D35),D35=INT(D35),D35&gt;=0,D35&lt;=999999999999999)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6" xr:uid="{55127A8C-B5E4-496C-98E9-E053F0DEC35A}">
      <formula1>AND(ISNUMBER(D36),D36=INT(D36),D36&gt;=0,D36&lt;=999999999999999)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7" xr:uid="{BC4D3556-1B30-47DB-95B4-B54F449416FF}">
      <formula1>AND(ISNUMBER(D37),D37=INT(D37),D37&gt;=0,D37&lt;=999999999999999)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1" xr:uid="{9A59AA21-2F03-4CA1-A1F0-E9529D686B9F}">
      <formula1>AND(ISNUMBER(D41),D41=INT(D41),D41&gt;=0,D41&lt;=999999999999999)</formula1>
    </dataValidation>
    <dataValidation type="custom" showInputMessage="1" showErrorMessage="1" errorTitle="入力エラー" error="絶対値1,000兆円未満の円単位整数を入力してください（負数可）。" sqref="D42" xr:uid="{36DCB053-8DEC-4DF6-99E5-E26469B9DFF7}">
      <formula1>AND(ISNUMBER(D42),D42=INT(D42),ABS(D42)&lt;=999999999999999)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3" xr:uid="{170658D6-A348-42A4-8DE0-76421CC9FDBC}">
      <formula1>AND(ISNUMBER(D43),D43=INT(D43),D43&gt;=0,D43&lt;=999999999999999)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4" xr:uid="{8ED7E0A5-59BD-45EC-BDCA-5D3A2F81A827}">
      <formula1>AND(ISNUMBER(D44),D44=INT(D44),D44&gt;=0,D44&lt;=999999999999999)</formula1>
    </dataValidation>
    <dataValidation type="custom" showInputMessage="1" showErrorMessage="1" errorTitle="入力エラー" error="絶対値1,000兆円未満の円単位整数を入力してください（負数可）。" sqref="D45" xr:uid="{6EA02B7F-9089-4F8A-BB6E-81805A6254BE}">
      <formula1>AND(ISNUMBER(D45),D45=INT(D45),ABS(D45)&lt;=999999999999999)</formula1>
    </dataValidation>
    <dataValidation type="custom" showInputMessage="1" showErrorMessage="1" errorTitle="入力エラー" error="絶対値1,000兆円未満の円単位整数を入力してください（負数可）。" sqref="D46" xr:uid="{79C34A8C-844D-4A37-A314-61FBD88F8DC3}">
      <formula1>AND(ISNUMBER(D46),D46=INT(D46),ABS(D46)&lt;=999999999999999)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7" xr:uid="{D0FFB418-C497-442F-A724-070016B10D29}">
      <formula1>AND(ISNUMBER(D47),D47=INT(D47),D47&gt;=0,D47&lt;=999999999999999)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8" xr:uid="{24A5FBC0-F4E4-4F7A-A42D-4AC087D9ACD2}">
      <formula1>AND(ISNUMBER(D48),D48=INT(D48),D48&gt;=0,D48&lt;=999999999999999)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9" xr:uid="{0E9E4517-8455-4C2F-9CE3-307BEDB777CC}">
      <formula1>AND(ISNUMBER(D49),D49=INT(D49),D49&gt;=0,D49&lt;=999999999999999)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0" xr:uid="{29E70929-D3FE-47E2-BFA1-0A7F46A42F22}">
      <formula1>AND(ISNUMBER(D50),D50=INT(D50),D50&gt;=0,D50&lt;=999999999999999)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1" xr:uid="{3E23E7B3-1C23-433B-B486-7EDCBF72675F}">
      <formula1>AND(ISNUMBER(D51),D51=INT(D51),D51&gt;=0,D51&lt;=999999999999999)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2" xr:uid="{5FC26484-9959-4853-8C87-E406CF9E7853}">
      <formula1>AND(ISNUMBER(D52),D52=INT(D52),D52&gt;=0,D52&lt;=999999999999999)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3" xr:uid="{F565ABAC-6E80-48A8-BAF5-093CF0C9F8F1}">
      <formula1>AND(ISNUMBER(D53),D53=INT(D53),D53&gt;=0,D53&lt;=999999999999999)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4" xr:uid="{7687C08A-5926-44D5-A3E2-DE3C35F782C6}">
      <formula1>AND(ISNUMBER(D54),D54=INT(D54),D54&gt;=0,D54&lt;=999999999999999)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5" xr:uid="{39F01590-0812-4C1F-B987-65D642B3C4D3}">
      <formula1>AND(ISNUMBER(D55),D55=INT(D55),D55&gt;=0,D55&lt;=999999999999999)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6" xr:uid="{0854320F-49D5-4DEF-B519-E107B2A3BFBC}">
      <formula1>AND(ISNUMBER(D56),D56=INT(D56),D56&gt;=0,D56&lt;=999999999999999)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7" xr:uid="{E2BCF967-3EFD-42C6-9FE2-4D1C38B72082}">
      <formula1>AND(ISNUMBER(D57),D57=INT(D57),D57&gt;=0,D57&lt;=999999999999999)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8" xr:uid="{0DA24BED-CE25-424D-93B6-ADAC0624056E}">
      <formula1>AND(ISNUMBER(D58),D58=INT(D58),D58&gt;=0,D58&lt;=999999999999999)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9" xr:uid="{1D424156-CA5F-409C-BB3A-1B2308FCF4CE}">
      <formula1>AND(ISNUMBER(D59),D59=INT(D59),D59&gt;=0,D59&lt;=999999999999999)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0" xr:uid="{18255FBA-DC40-46CC-9D1E-792367583AFE}">
      <formula1>AND(ISNUMBER(D60),D60=INT(D60),D60&gt;=0,D60&lt;=999999999999999)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1" xr:uid="{9F010201-23F9-4382-92AE-898B5D7494FE}">
      <formula1>AND(ISNUMBER(D61),D61=INT(D61),D61&gt;=0,D61&lt;=999999999999999)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2" xr:uid="{8C46BE1D-8C0C-4177-8E93-3BF885F522C6}">
      <formula1>AND(ISNUMBER(D62),D62=INT(D62),D62&gt;=0,D62&lt;=999999999999999)</formula1>
    </dataValidation>
  </dataValidations>
  <pageMargins left="0.7" right="0.7" top="0.75" bottom="0.75" header="0.3" footer="0.3"/>
  <pageSetup paperSize="9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795B-D6B3-456F-9EA2-6EBE6B06BD57}">
  <sheetPr>
    <tabColor rgb="FF2F75B5"/>
    <pageSetUpPr fitToPage="1"/>
  </sheetPr>
  <dimension ref="A1:G29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</cols>
  <sheetData>
    <row r="1" spans="1:7" ht="30" customHeight="1">
      <c r="A1" s="2" t="s">
        <v>163</v>
      </c>
      <c r="B1" s="3"/>
      <c r="C1" s="3"/>
      <c r="D1" s="3"/>
      <c r="E1" s="3"/>
    </row>
    <row r="2" spans="1:7">
      <c r="A2" s="4" t="s">
        <v>164</v>
      </c>
      <c r="B2" s="3"/>
      <c r="C2" s="3"/>
      <c r="D2" s="3"/>
      <c r="E2" s="3"/>
    </row>
    <row r="3" spans="1:7">
      <c r="A3" s="5"/>
      <c r="B3" s="5"/>
      <c r="C3" s="5"/>
      <c r="D3" s="5"/>
      <c r="E3" s="5"/>
    </row>
    <row r="4" spans="1:7">
      <c r="A4" s="24" t="s">
        <v>165</v>
      </c>
      <c r="B4" s="24" t="s">
        <v>166</v>
      </c>
      <c r="C4" s="24" t="s">
        <v>167</v>
      </c>
      <c r="D4" s="24" t="s">
        <v>168</v>
      </c>
      <c r="E4" s="24" t="s">
        <v>169</v>
      </c>
      <c r="F4" s="28" t="s">
        <v>263</v>
      </c>
      <c r="G4" s="28" t="s">
        <v>264</v>
      </c>
    </row>
    <row r="5" spans="1:7" ht="37.950000000000003" customHeight="1">
      <c r="A5" s="25">
        <v>1</v>
      </c>
      <c r="B5" s="26" t="s">
        <v>170</v>
      </c>
      <c r="C5" s="26" t="s">
        <v>171</v>
      </c>
      <c r="D5" s="27">
        <f>MIN(m_18,IF(inp_months="",0,30000000*inp_months/12))</f>
        <v>0</v>
      </c>
      <c r="E5" s="26" t="s">
        <v>172</v>
      </c>
      <c r="F5" s="1" t="s">
        <v>265</v>
      </c>
      <c r="G5" s="29">
        <f>MAX(m_16-m_17,0)</f>
        <v>0</v>
      </c>
    </row>
    <row r="6" spans="1:7" ht="37.950000000000003" customHeight="1">
      <c r="A6" s="25">
        <v>2</v>
      </c>
      <c r="B6" s="26" t="s">
        <v>173</v>
      </c>
      <c r="C6" s="26" t="s">
        <v>174</v>
      </c>
      <c r="D6" s="27">
        <f>$G$10</f>
        <v>0</v>
      </c>
      <c r="E6" s="26" t="s">
        <v>175</v>
      </c>
      <c r="F6" s="1" t="s">
        <v>266</v>
      </c>
      <c r="G6" s="29">
        <f>G5-m_18</f>
        <v>0</v>
      </c>
    </row>
    <row r="7" spans="1:7" ht="37.950000000000003" customHeight="1">
      <c r="A7" s="25">
        <v>3</v>
      </c>
      <c r="B7" s="26" t="s">
        <v>176</v>
      </c>
      <c r="C7" s="26" t="s">
        <v>177</v>
      </c>
      <c r="D7" s="27">
        <f>m_18-m_01-m_02</f>
        <v>0</v>
      </c>
      <c r="E7" s="26" t="s">
        <v>172</v>
      </c>
      <c r="F7" s="1" t="s">
        <v>267</v>
      </c>
      <c r="G7" s="29">
        <f>IF(inp_months="",0,100000000*inp_months/12)</f>
        <v>100000000</v>
      </c>
    </row>
    <row r="8" spans="1:7" ht="37.950000000000003" customHeight="1">
      <c r="A8" s="25">
        <v>4</v>
      </c>
      <c r="B8" s="26" t="s">
        <v>178</v>
      </c>
      <c r="C8" s="26" t="s">
        <v>179</v>
      </c>
      <c r="D8" s="27">
        <f>SUM(m_01:m_03)</f>
        <v>0</v>
      </c>
      <c r="E8" s="26" t="s">
        <v>180</v>
      </c>
      <c r="F8" s="1" t="s">
        <v>268</v>
      </c>
      <c r="G8" s="29">
        <f>MAX(0,MIN(m_18-m_01,G7-m_01))</f>
        <v>0</v>
      </c>
    </row>
    <row r="9" spans="1:7" ht="37.950000000000003" customHeight="1">
      <c r="A9" s="25">
        <v>5</v>
      </c>
      <c r="B9" s="26" t="s">
        <v>181</v>
      </c>
      <c r="C9" s="26" t="s">
        <v>182</v>
      </c>
      <c r="D9" s="27">
        <f>ROUNDDOWN(m_01*10%,0)</f>
        <v>0</v>
      </c>
      <c r="E9" s="26" t="s">
        <v>183</v>
      </c>
      <c r="F9" s="1" t="s">
        <v>269</v>
      </c>
      <c r="G9" s="29">
        <f>G8-ROUNDDOWN(G8,-3)</f>
        <v>0</v>
      </c>
    </row>
    <row r="10" spans="1:7" ht="37.950000000000003" customHeight="1">
      <c r="A10" s="25">
        <v>6</v>
      </c>
      <c r="B10" s="26" t="s">
        <v>184</v>
      </c>
      <c r="C10" s="26" t="s">
        <v>185</v>
      </c>
      <c r="D10" s="27">
        <f>ROUNDDOWN(m_02*15%,0)</f>
        <v>0</v>
      </c>
      <c r="E10" s="26" t="s">
        <v>183</v>
      </c>
      <c r="F10" s="1" t="s">
        <v>270</v>
      </c>
      <c r="G10" s="29">
        <f>IF(G9&gt;G6,ROUNDUP(G8,-3),ROUNDDOWN(G8,-3))</f>
        <v>0</v>
      </c>
    </row>
    <row r="11" spans="1:7" ht="37.950000000000003" customHeight="1">
      <c r="A11" s="25">
        <v>7</v>
      </c>
      <c r="B11" s="26" t="s">
        <v>186</v>
      </c>
      <c r="C11" s="26" t="s">
        <v>187</v>
      </c>
      <c r="D11" s="27">
        <f>ROUNDDOWN(m_03*20%,0)</f>
        <v>0</v>
      </c>
      <c r="E11" s="26" t="s">
        <v>183</v>
      </c>
    </row>
    <row r="12" spans="1:7" ht="37.950000000000003" customHeight="1">
      <c r="A12" s="25">
        <v>8</v>
      </c>
      <c r="B12" s="26" t="s">
        <v>188</v>
      </c>
      <c r="C12" s="26" t="s">
        <v>189</v>
      </c>
      <c r="D12" s="30">
        <f>SUM(m_05:m_07)</f>
        <v>0</v>
      </c>
      <c r="E12" s="26" t="s">
        <v>190</v>
      </c>
    </row>
    <row r="13" spans="1:7" ht="37.950000000000003" customHeight="1">
      <c r="A13" s="25">
        <v>9</v>
      </c>
      <c r="B13" s="26" t="s">
        <v>191</v>
      </c>
      <c r="C13" s="26" t="s">
        <v>192</v>
      </c>
      <c r="D13" s="27">
        <f>inp_m9_base+inp_m9_extra+inp_r1_group_paid-inp_r1_group_received</f>
        <v>0</v>
      </c>
      <c r="E13" s="26" t="s">
        <v>193</v>
      </c>
    </row>
    <row r="14" spans="1:7" ht="37.950000000000003" customHeight="1">
      <c r="A14" s="25">
        <v>10</v>
      </c>
      <c r="B14" s="26" t="s">
        <v>35</v>
      </c>
      <c r="C14" s="26" t="s">
        <v>194</v>
      </c>
      <c r="D14" s="27">
        <f>inp_prev_div</f>
        <v>0</v>
      </c>
      <c r="E14" s="26" t="s">
        <v>183</v>
      </c>
    </row>
    <row r="15" spans="1:7" ht="37.950000000000003" customHeight="1">
      <c r="A15" s="25">
        <v>11</v>
      </c>
      <c r="B15" s="26" t="s">
        <v>38</v>
      </c>
      <c r="C15" s="26" t="s">
        <v>37</v>
      </c>
      <c r="D15" s="27">
        <f>inp_curr_div</f>
        <v>0</v>
      </c>
      <c r="E15" s="26" t="s">
        <v>183</v>
      </c>
    </row>
    <row r="16" spans="1:7" ht="37.950000000000003" customHeight="1">
      <c r="A16" s="25">
        <v>12</v>
      </c>
      <c r="B16" s="26" t="s">
        <v>195</v>
      </c>
      <c r="C16" s="26" t="s">
        <v>196</v>
      </c>
      <c r="D16" s="27">
        <f>MAX(MAX((inp_b1_4+inp_b1_5+inp_b1_7+inp_b1_10out-inp_b1_12-inp_b1_19)-inp_b6_5_2_5_3,0)+MAX(inp_b1_36-inp_b1_40-inp_b1_41,0)-MAX(inp_b6_5_2_5_3-(inp_b1_4+inp_b1_5+inp_b1_7+inp_b1_10out),0),0)</f>
        <v>0</v>
      </c>
      <c r="E16" s="26" t="s">
        <v>197</v>
      </c>
    </row>
    <row r="17" spans="1:5" ht="37.950000000000003" customHeight="1">
      <c r="A17" s="25">
        <v>13</v>
      </c>
      <c r="B17" s="26" t="s">
        <v>198</v>
      </c>
      <c r="C17" s="26" t="s">
        <v>199</v>
      </c>
      <c r="D17" s="27">
        <f>m_25</f>
        <v>0</v>
      </c>
      <c r="E17" s="26" t="s">
        <v>183</v>
      </c>
    </row>
    <row r="18" spans="1:5" ht="37.950000000000003" customHeight="1">
      <c r="A18" s="25">
        <v>14</v>
      </c>
      <c r="B18" s="26" t="s">
        <v>200</v>
      </c>
      <c r="C18" s="26" t="s">
        <v>87</v>
      </c>
      <c r="D18" s="27">
        <f>inp_m14_foreign</f>
        <v>0</v>
      </c>
      <c r="E18" s="26" t="s">
        <v>183</v>
      </c>
    </row>
    <row r="19" spans="1:5" ht="37.950000000000003" customHeight="1">
      <c r="A19" s="25">
        <v>15</v>
      </c>
      <c r="B19" s="26" t="s">
        <v>201</v>
      </c>
      <c r="C19" s="26" t="s">
        <v>202</v>
      </c>
      <c r="D19" s="27">
        <f>MAX(m_12+m_13-m_14,0)</f>
        <v>0</v>
      </c>
      <c r="E19" s="26" t="s">
        <v>183</v>
      </c>
    </row>
    <row r="20" spans="1:5" ht="37.950000000000003" customHeight="1">
      <c r="A20" s="25">
        <v>16</v>
      </c>
      <c r="B20" s="26" t="s">
        <v>203</v>
      </c>
      <c r="C20" s="26" t="s">
        <v>204</v>
      </c>
      <c r="D20" s="27">
        <f>m_09-inp_m9_inner+m_10-m_11-m_15</f>
        <v>0</v>
      </c>
      <c r="E20" s="26" t="s">
        <v>183</v>
      </c>
    </row>
    <row r="21" spans="1:5" ht="37.950000000000003" customHeight="1">
      <c r="A21" s="25">
        <v>17</v>
      </c>
      <c r="B21" s="26" t="s">
        <v>205</v>
      </c>
      <c r="C21" s="26" t="s">
        <v>206</v>
      </c>
      <c r="D21" s="27">
        <f>f1_29</f>
        <v>20000000</v>
      </c>
      <c r="E21" s="26" t="s">
        <v>183</v>
      </c>
    </row>
    <row r="22" spans="1:5" ht="37.950000000000003" customHeight="1">
      <c r="A22" s="25">
        <v>18</v>
      </c>
      <c r="B22" s="26" t="s">
        <v>207</v>
      </c>
      <c r="C22" s="26" t="s">
        <v>208</v>
      </c>
      <c r="D22" s="30">
        <f>ROUNDDOWN(MAX(m_16-m_17,0),-3)</f>
        <v>0</v>
      </c>
      <c r="E22" s="26" t="s">
        <v>209</v>
      </c>
    </row>
    <row r="23" spans="1:5" ht="37.950000000000003" customHeight="1">
      <c r="A23" s="25">
        <v>19</v>
      </c>
      <c r="B23" s="26" t="s">
        <v>210</v>
      </c>
      <c r="C23" s="26" t="s">
        <v>211</v>
      </c>
      <c r="D23" s="27">
        <f>inp_b1_2+inp_b1_5+inp_b1_7+inp_b1_10out-inp_b1_12-inp_b1_18-inp_m22_credits</f>
        <v>0</v>
      </c>
      <c r="E23" s="26" t="s">
        <v>183</v>
      </c>
    </row>
    <row r="24" spans="1:5" ht="37.950000000000003" customHeight="1">
      <c r="A24" s="25">
        <v>20</v>
      </c>
      <c r="B24" s="26" t="s">
        <v>212</v>
      </c>
      <c r="C24" s="26" t="s">
        <v>211</v>
      </c>
      <c r="D24" s="27">
        <f>inp_b1_2+inp_b1_5+inp_b1_7+inp_b1_10out-inp_b1_12-inp_b1_18-inp_m23_credits</f>
        <v>0</v>
      </c>
      <c r="E24" s="26" t="s">
        <v>183</v>
      </c>
    </row>
    <row r="25" spans="1:5" ht="37.950000000000003" customHeight="1">
      <c r="A25" s="25">
        <v>21</v>
      </c>
      <c r="B25" s="26" t="s">
        <v>198</v>
      </c>
      <c r="C25" s="26" t="s">
        <v>213</v>
      </c>
      <c r="D25" s="27">
        <f>ROUNDDOWN(MAX(0,IF(inp_class="該当",m_20,m_19))*cfg_resident_rate,0)</f>
        <v>0</v>
      </c>
      <c r="E25" s="26" t="s">
        <v>214</v>
      </c>
    </row>
    <row r="26" spans="1:5" ht="37.950000000000003" customHeight="1">
      <c r="A26" s="25">
        <v>22</v>
      </c>
      <c r="B26" s="26" t="s">
        <v>215</v>
      </c>
      <c r="C26" s="26" t="s">
        <v>216</v>
      </c>
      <c r="D26" s="27">
        <f>ROUNDDOWN(inp_specific_donation_total*cfg_donation_rate,0)</f>
        <v>0</v>
      </c>
      <c r="E26" s="26" t="s">
        <v>217</v>
      </c>
    </row>
    <row r="27" spans="1:5" ht="37.950000000000003" customHeight="1">
      <c r="A27" s="25">
        <v>23</v>
      </c>
      <c r="B27" s="26" t="s">
        <v>218</v>
      </c>
      <c r="C27" s="26" t="s">
        <v>219</v>
      </c>
      <c r="D27" s="27">
        <f>ROUNDDOWN(MAX(0,m_21+(inp_b1_12+inp_b1_18)*cfg_resident_rate)*20%,0)</f>
        <v>0</v>
      </c>
      <c r="E27" s="26" t="s">
        <v>183</v>
      </c>
    </row>
    <row r="28" spans="1:5" ht="37.950000000000003" customHeight="1">
      <c r="A28" s="25">
        <v>24</v>
      </c>
      <c r="B28" s="26" t="s">
        <v>220</v>
      </c>
      <c r="C28" s="26" t="s">
        <v>221</v>
      </c>
      <c r="D28" s="27">
        <f>MIN(m_22,m_23)</f>
        <v>0</v>
      </c>
      <c r="E28" s="26" t="s">
        <v>183</v>
      </c>
    </row>
    <row r="29" spans="1:5" ht="37.950000000000003" customHeight="1">
      <c r="A29" s="25">
        <v>25</v>
      </c>
      <c r="B29" s="26" t="s">
        <v>198</v>
      </c>
      <c r="C29" s="26" t="s">
        <v>222</v>
      </c>
      <c r="D29" s="27">
        <f>m_21-m_24</f>
        <v>0</v>
      </c>
      <c r="E29" s="26" t="s">
        <v>223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BB0F-1B10-4ECD-9357-8CB77749CADD}">
  <sheetPr>
    <tabColor rgb="FF2F75B5"/>
    <pageSetUpPr fitToPage="1"/>
  </sheetPr>
  <dimension ref="A1:E33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2" t="s">
        <v>224</v>
      </c>
      <c r="B1" s="3"/>
      <c r="C1" s="3"/>
      <c r="D1" s="3"/>
      <c r="E1" s="3"/>
    </row>
    <row r="2" spans="1:5">
      <c r="A2" s="4" t="s">
        <v>164</v>
      </c>
      <c r="B2" s="3"/>
      <c r="C2" s="3"/>
      <c r="D2" s="3"/>
      <c r="E2" s="3"/>
    </row>
    <row r="3" spans="1:5">
      <c r="A3" s="5"/>
      <c r="B3" s="5"/>
      <c r="C3" s="5"/>
      <c r="D3" s="5"/>
      <c r="E3" s="5"/>
    </row>
    <row r="4" spans="1:5">
      <c r="A4" s="24" t="s">
        <v>165</v>
      </c>
      <c r="B4" s="24" t="s">
        <v>166</v>
      </c>
      <c r="C4" s="24" t="s">
        <v>167</v>
      </c>
      <c r="D4" s="24" t="s">
        <v>168</v>
      </c>
      <c r="E4" s="24" t="s">
        <v>169</v>
      </c>
    </row>
    <row r="5" spans="1:5" ht="37.950000000000003" customHeight="1">
      <c r="A5" s="25">
        <v>1</v>
      </c>
      <c r="B5" s="26" t="s">
        <v>225</v>
      </c>
      <c r="C5" s="26" t="s">
        <v>226</v>
      </c>
      <c r="D5" s="27">
        <f>inp_f1_capital</f>
        <v>0</v>
      </c>
      <c r="E5" s="26" t="s">
        <v>183</v>
      </c>
    </row>
    <row r="6" spans="1:5" ht="37.950000000000003" customHeight="1">
      <c r="A6" s="25">
        <v>2</v>
      </c>
      <c r="B6" s="26" t="s">
        <v>227</v>
      </c>
      <c r="C6" s="26" t="s">
        <v>228</v>
      </c>
      <c r="D6" s="27">
        <f>ROUNDDOWN(f1_01*25%,0)</f>
        <v>0</v>
      </c>
      <c r="E6" s="26" t="s">
        <v>229</v>
      </c>
    </row>
    <row r="7" spans="1:5" ht="37.950000000000003" customHeight="1">
      <c r="A7" s="25">
        <v>3</v>
      </c>
      <c r="B7" s="26" t="s">
        <v>230</v>
      </c>
      <c r="C7" s="26" t="s">
        <v>231</v>
      </c>
      <c r="D7" s="27">
        <f>inp_f1_opening_profit-inp_prev_div</f>
        <v>0</v>
      </c>
      <c r="E7" s="26" t="s">
        <v>183</v>
      </c>
    </row>
    <row r="8" spans="1:5" ht="37.950000000000003" customHeight="1">
      <c r="A8" s="25">
        <v>4</v>
      </c>
      <c r="B8" s="26" t="s">
        <v>103</v>
      </c>
      <c r="C8" s="26" t="s">
        <v>226</v>
      </c>
      <c r="D8" s="27">
        <f>inp_f1_merger_inc</f>
        <v>0</v>
      </c>
      <c r="E8" s="26" t="s">
        <v>183</v>
      </c>
    </row>
    <row r="9" spans="1:5" ht="37.950000000000003" customHeight="1">
      <c r="A9" s="25">
        <v>5</v>
      </c>
      <c r="B9" s="26" t="s">
        <v>106</v>
      </c>
      <c r="C9" s="26" t="s">
        <v>226</v>
      </c>
      <c r="D9" s="27">
        <f>inp_f1_split_dec</f>
        <v>0</v>
      </c>
      <c r="E9" s="26" t="s">
        <v>183</v>
      </c>
    </row>
    <row r="10" spans="1:5" ht="37.950000000000003" customHeight="1">
      <c r="A10" s="25">
        <v>6</v>
      </c>
      <c r="B10" s="26" t="s">
        <v>232</v>
      </c>
      <c r="C10" s="26" t="s">
        <v>233</v>
      </c>
      <c r="D10" s="27">
        <f>f1_03+f1_04-f1_05</f>
        <v>0</v>
      </c>
      <c r="E10" s="26" t="s">
        <v>183</v>
      </c>
    </row>
    <row r="11" spans="1:5" ht="37.950000000000003" customHeight="1">
      <c r="A11" s="25">
        <v>7</v>
      </c>
      <c r="B11" s="26" t="s">
        <v>234</v>
      </c>
      <c r="C11" s="26" t="s">
        <v>235</v>
      </c>
      <c r="D11" s="27">
        <f>MAX(f1_02-f1_06,0)</f>
        <v>0</v>
      </c>
      <c r="E11" s="26" t="s">
        <v>236</v>
      </c>
    </row>
    <row r="12" spans="1:5" ht="37.950000000000003" customHeight="1">
      <c r="A12" s="25">
        <v>8</v>
      </c>
      <c r="B12" s="26" t="s">
        <v>237</v>
      </c>
      <c r="C12" s="26" t="s">
        <v>238</v>
      </c>
      <c r="D12" s="27">
        <f>IF(inp_months="",0,ROUNDDOWN(20000000*inp_months/12,0))</f>
        <v>20000000</v>
      </c>
      <c r="E12" s="26" t="s">
        <v>229</v>
      </c>
    </row>
    <row r="13" spans="1:5" ht="37.950000000000003" customHeight="1">
      <c r="A13" s="25">
        <v>9</v>
      </c>
      <c r="B13" s="26" t="s">
        <v>239</v>
      </c>
      <c r="C13" s="26" t="s">
        <v>108</v>
      </c>
      <c r="D13" s="27">
        <f>inp_f1_09</f>
        <v>0</v>
      </c>
      <c r="E13" s="26" t="s">
        <v>183</v>
      </c>
    </row>
    <row r="14" spans="1:5" ht="37.950000000000003" customHeight="1">
      <c r="A14" s="25">
        <v>10</v>
      </c>
      <c r="B14" s="26" t="s">
        <v>240</v>
      </c>
      <c r="C14" s="26" t="s">
        <v>112</v>
      </c>
      <c r="D14" s="27">
        <f>inp_f1_10</f>
        <v>0</v>
      </c>
      <c r="E14" s="26" t="s">
        <v>183</v>
      </c>
    </row>
    <row r="15" spans="1:5" ht="37.950000000000003" customHeight="1">
      <c r="A15" s="25">
        <v>11</v>
      </c>
      <c r="B15" s="26" t="s">
        <v>241</v>
      </c>
      <c r="C15" s="26" t="s">
        <v>116</v>
      </c>
      <c r="D15" s="27">
        <f>inp_f1_11</f>
        <v>0</v>
      </c>
      <c r="E15" s="26" t="s">
        <v>183</v>
      </c>
    </row>
    <row r="16" spans="1:5" ht="37.950000000000003" customHeight="1">
      <c r="A16" s="25">
        <v>12</v>
      </c>
      <c r="B16" s="26" t="s">
        <v>242</v>
      </c>
      <c r="C16" s="26" t="s">
        <v>119</v>
      </c>
      <c r="D16" s="27">
        <f>inp_f1_12</f>
        <v>0</v>
      </c>
      <c r="E16" s="26" t="s">
        <v>183</v>
      </c>
    </row>
    <row r="17" spans="1:5" ht="37.950000000000003" customHeight="1">
      <c r="A17" s="25">
        <v>13</v>
      </c>
      <c r="B17" s="26" t="s">
        <v>243</v>
      </c>
      <c r="C17" s="26" t="s">
        <v>122</v>
      </c>
      <c r="D17" s="27">
        <f>inp_f1_13</f>
        <v>0</v>
      </c>
      <c r="E17" s="26" t="s">
        <v>183</v>
      </c>
    </row>
    <row r="18" spans="1:5" ht="37.950000000000003" customHeight="1">
      <c r="A18" s="25">
        <v>14</v>
      </c>
      <c r="B18" s="26" t="s">
        <v>244</v>
      </c>
      <c r="C18" s="26" t="s">
        <v>125</v>
      </c>
      <c r="D18" s="27">
        <f>inp_f1_14</f>
        <v>0</v>
      </c>
      <c r="E18" s="26" t="s">
        <v>183</v>
      </c>
    </row>
    <row r="19" spans="1:5" ht="37.950000000000003" customHeight="1">
      <c r="A19" s="25">
        <v>15</v>
      </c>
      <c r="B19" s="26" t="s">
        <v>245</v>
      </c>
      <c r="C19" s="26" t="s">
        <v>128</v>
      </c>
      <c r="D19" s="27">
        <f>inp_f1_15</f>
        <v>0</v>
      </c>
      <c r="E19" s="26" t="s">
        <v>183</v>
      </c>
    </row>
    <row r="20" spans="1:5" ht="37.950000000000003" customHeight="1">
      <c r="A20" s="25">
        <v>16</v>
      </c>
      <c r="B20" s="26" t="s">
        <v>246</v>
      </c>
      <c r="C20" s="26" t="s">
        <v>131</v>
      </c>
      <c r="D20" s="27">
        <f>inp_f1_16</f>
        <v>0</v>
      </c>
      <c r="E20" s="26" t="s">
        <v>183</v>
      </c>
    </row>
    <row r="21" spans="1:5" ht="37.950000000000003" customHeight="1">
      <c r="A21" s="25">
        <v>17</v>
      </c>
      <c r="B21" s="26" t="s">
        <v>247</v>
      </c>
      <c r="C21" s="26" t="s">
        <v>134</v>
      </c>
      <c r="D21" s="27">
        <f>inp_f1_17</f>
        <v>0</v>
      </c>
      <c r="E21" s="26" t="s">
        <v>183</v>
      </c>
    </row>
    <row r="22" spans="1:5" ht="37.950000000000003" customHeight="1">
      <c r="A22" s="25">
        <v>18</v>
      </c>
      <c r="B22" s="26" t="s">
        <v>248</v>
      </c>
      <c r="C22" s="26" t="s">
        <v>137</v>
      </c>
      <c r="D22" s="27">
        <f>inp_f1_18</f>
        <v>0</v>
      </c>
      <c r="E22" s="26" t="s">
        <v>183</v>
      </c>
    </row>
    <row r="23" spans="1:5" ht="37.950000000000003" customHeight="1">
      <c r="A23" s="25">
        <v>19</v>
      </c>
      <c r="B23" s="26" t="s">
        <v>249</v>
      </c>
      <c r="C23" s="26" t="s">
        <v>140</v>
      </c>
      <c r="D23" s="27">
        <f>inp_f1_19</f>
        <v>0</v>
      </c>
      <c r="E23" s="26" t="s">
        <v>183</v>
      </c>
    </row>
    <row r="24" spans="1:5" ht="37.950000000000003" customHeight="1">
      <c r="A24" s="25">
        <v>20</v>
      </c>
      <c r="B24" s="26" t="s">
        <v>250</v>
      </c>
      <c r="C24" s="26" t="s">
        <v>143</v>
      </c>
      <c r="D24" s="27">
        <f>inp_f1_20</f>
        <v>0</v>
      </c>
      <c r="E24" s="26" t="s">
        <v>183</v>
      </c>
    </row>
    <row r="25" spans="1:5" ht="37.950000000000003" customHeight="1">
      <c r="A25" s="25">
        <v>21</v>
      </c>
      <c r="B25" s="26" t="s">
        <v>251</v>
      </c>
      <c r="C25" s="26" t="s">
        <v>146</v>
      </c>
      <c r="D25" s="27">
        <f>inp_f1_21</f>
        <v>0</v>
      </c>
      <c r="E25" s="26" t="s">
        <v>183</v>
      </c>
    </row>
    <row r="26" spans="1:5" ht="37.950000000000003" customHeight="1">
      <c r="A26" s="25">
        <v>22</v>
      </c>
      <c r="B26" s="26" t="s">
        <v>252</v>
      </c>
      <c r="C26" s="26" t="s">
        <v>149</v>
      </c>
      <c r="D26" s="27">
        <f>inp_f1_22</f>
        <v>0</v>
      </c>
      <c r="E26" s="26" t="s">
        <v>183</v>
      </c>
    </row>
    <row r="27" spans="1:5" ht="37.950000000000003" customHeight="1">
      <c r="A27" s="25">
        <v>23</v>
      </c>
      <c r="B27" s="26" t="s">
        <v>253</v>
      </c>
      <c r="C27" s="26" t="s">
        <v>152</v>
      </c>
      <c r="D27" s="27">
        <f>inp_f1_23</f>
        <v>0</v>
      </c>
      <c r="E27" s="26" t="s">
        <v>183</v>
      </c>
    </row>
    <row r="28" spans="1:5" ht="37.950000000000003" customHeight="1">
      <c r="A28" s="25">
        <v>24</v>
      </c>
      <c r="B28" s="26" t="s">
        <v>254</v>
      </c>
      <c r="C28" s="26" t="s">
        <v>155</v>
      </c>
      <c r="D28" s="27">
        <f>inp_f1_24</f>
        <v>0</v>
      </c>
      <c r="E28" s="26" t="s">
        <v>183</v>
      </c>
    </row>
    <row r="29" spans="1:5" ht="37.950000000000003" customHeight="1">
      <c r="A29" s="25">
        <v>25</v>
      </c>
      <c r="B29" s="26" t="s">
        <v>255</v>
      </c>
      <c r="C29" s="26" t="s">
        <v>158</v>
      </c>
      <c r="D29" s="27">
        <f>inp_f1_25</f>
        <v>0</v>
      </c>
      <c r="E29" s="26" t="s">
        <v>183</v>
      </c>
    </row>
    <row r="30" spans="1:5" ht="37.950000000000003" customHeight="1">
      <c r="A30" s="25">
        <v>26</v>
      </c>
      <c r="B30" s="26" t="s">
        <v>256</v>
      </c>
      <c r="C30" s="26" t="s">
        <v>161</v>
      </c>
      <c r="D30" s="27">
        <f>inp_f1_26</f>
        <v>0</v>
      </c>
      <c r="E30" s="26" t="s">
        <v>183</v>
      </c>
    </row>
    <row r="31" spans="1:5" ht="37.950000000000003" customHeight="1">
      <c r="A31" s="25">
        <v>27</v>
      </c>
      <c r="B31" s="26" t="s">
        <v>257</v>
      </c>
      <c r="C31" s="26" t="s">
        <v>258</v>
      </c>
      <c r="D31" s="27">
        <f>f1_09-f1_10+f1_11+f1_12+f1_13+f1_14+f1_15+f1_16-f1_17+f1_18+f1_19-f1_20+f1_21+f1_22+f1_23+f1_24+f1_25-f1_26</f>
        <v>0</v>
      </c>
      <c r="E31" s="26" t="s">
        <v>183</v>
      </c>
    </row>
    <row r="32" spans="1:5" ht="37.950000000000003" customHeight="1">
      <c r="A32" s="25">
        <v>28</v>
      </c>
      <c r="B32" s="26" t="s">
        <v>259</v>
      </c>
      <c r="C32" s="26" t="s">
        <v>260</v>
      </c>
      <c r="D32" s="27">
        <f>ROUNDDOWN(f1_27*40%,0)</f>
        <v>0</v>
      </c>
      <c r="E32" s="26" t="s">
        <v>229</v>
      </c>
    </row>
    <row r="33" spans="1:5" ht="37.950000000000003" customHeight="1">
      <c r="A33" s="25">
        <v>29</v>
      </c>
      <c r="B33" s="26" t="s">
        <v>205</v>
      </c>
      <c r="C33" s="26" t="s">
        <v>261</v>
      </c>
      <c r="D33" s="30">
        <f>MAX(f1_07,f1_08,f1_28)</f>
        <v>20000000</v>
      </c>
      <c r="E33" s="26" t="s">
        <v>262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8A46-EFE7-4FAE-9072-448E28217F47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8984375" customWidth="1"/>
  </cols>
  <sheetData>
    <row r="1" ht="280.5" customHeight="1"/>
    <row r="2" ht="280.5" customHeight="1"/>
    <row r="3" ht="280.64999999999998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FAF8-9CD7-457E-9FD3-314912069D91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8984375" customWidth="1"/>
  </cols>
  <sheetData>
    <row r="1" ht="280.5" customHeight="1"/>
    <row r="2" ht="280.5" customHeight="1"/>
    <row r="3" ht="280.64999999999998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F7FB-8513-4790-9AB0-5AB981207E1E}">
  <sheetPr>
    <tabColor rgb="FFC00000"/>
    <pageSetUpPr fitToPage="1"/>
  </sheetPr>
  <dimension ref="A1:D20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6.69921875" customWidth="1"/>
    <col min="2" max="3" width="32.69921875" customWidth="1"/>
    <col min="4" max="4" width="12.69921875" customWidth="1"/>
  </cols>
  <sheetData>
    <row r="1" spans="1:4">
      <c r="A1" s="39" t="s">
        <v>336</v>
      </c>
      <c r="B1" s="36"/>
      <c r="C1" s="36"/>
      <c r="D1" s="36"/>
    </row>
    <row r="2" spans="1:4">
      <c r="A2" s="40"/>
      <c r="B2" s="40"/>
      <c r="C2" s="40"/>
      <c r="D2" s="40"/>
    </row>
    <row r="3" spans="1:4">
      <c r="A3" s="41" t="s">
        <v>337</v>
      </c>
      <c r="B3" s="41" t="s">
        <v>338</v>
      </c>
      <c r="C3" s="41" t="s">
        <v>339</v>
      </c>
      <c r="D3" s="41" t="s">
        <v>340</v>
      </c>
    </row>
    <row r="4" spans="1:4">
      <c r="A4" s="14" t="s">
        <v>341</v>
      </c>
      <c r="B4" s="14" t="s">
        <v>342</v>
      </c>
      <c r="C4" s="14" t="s">
        <v>343</v>
      </c>
      <c r="D4" s="42" t="s">
        <v>344</v>
      </c>
    </row>
    <row r="5" spans="1:4">
      <c r="A5" s="14" t="s">
        <v>345</v>
      </c>
      <c r="B5" s="14" t="s">
        <v>346</v>
      </c>
      <c r="C5" s="14" t="s">
        <v>346</v>
      </c>
      <c r="D5" s="42" t="s">
        <v>344</v>
      </c>
    </row>
    <row r="6" spans="1:4">
      <c r="A6" s="14" t="s">
        <v>347</v>
      </c>
      <c r="B6" s="14" t="s">
        <v>348</v>
      </c>
      <c r="C6" s="14" t="s">
        <v>348</v>
      </c>
      <c r="D6" s="42" t="s">
        <v>344</v>
      </c>
    </row>
    <row r="7" spans="1:4">
      <c r="A7" s="14" t="s">
        <v>349</v>
      </c>
      <c r="B7" s="14" t="s">
        <v>350</v>
      </c>
      <c r="C7" s="14" t="s">
        <v>350</v>
      </c>
      <c r="D7" s="42" t="s">
        <v>344</v>
      </c>
    </row>
    <row r="8" spans="1:4">
      <c r="A8" s="14" t="s">
        <v>351</v>
      </c>
      <c r="B8" s="14" t="s">
        <v>350</v>
      </c>
      <c r="C8" s="14" t="s">
        <v>350</v>
      </c>
      <c r="D8" s="42" t="s">
        <v>344</v>
      </c>
    </row>
    <row r="9" spans="1:4">
      <c r="A9" s="14" t="s">
        <v>352</v>
      </c>
      <c r="B9" s="14" t="s">
        <v>350</v>
      </c>
      <c r="C9" s="14" t="s">
        <v>350</v>
      </c>
      <c r="D9" s="42" t="s">
        <v>344</v>
      </c>
    </row>
    <row r="10" spans="1:4">
      <c r="A10" s="14" t="s">
        <v>353</v>
      </c>
      <c r="B10" s="14" t="s">
        <v>354</v>
      </c>
      <c r="C10" s="14" t="s">
        <v>354</v>
      </c>
      <c r="D10" s="42" t="s">
        <v>344</v>
      </c>
    </row>
    <row r="11" spans="1:4" ht="36">
      <c r="A11" s="14" t="s">
        <v>355</v>
      </c>
      <c r="B11" s="14" t="s">
        <v>356</v>
      </c>
      <c r="C11" s="14" t="s">
        <v>357</v>
      </c>
      <c r="D11" s="42" t="s">
        <v>344</v>
      </c>
    </row>
    <row r="12" spans="1:4">
      <c r="A12" s="14" t="s">
        <v>358</v>
      </c>
      <c r="B12" s="14" t="s">
        <v>359</v>
      </c>
      <c r="C12" s="14" t="s">
        <v>360</v>
      </c>
      <c r="D12" s="42" t="s">
        <v>344</v>
      </c>
    </row>
    <row r="13" spans="1:4">
      <c r="A13" s="14" t="s">
        <v>361</v>
      </c>
      <c r="B13" s="14" t="s">
        <v>362</v>
      </c>
      <c r="C13" s="14" t="s">
        <v>363</v>
      </c>
      <c r="D13" s="42" t="s">
        <v>344</v>
      </c>
    </row>
    <row r="14" spans="1:4">
      <c r="A14" s="14"/>
      <c r="B14" s="14"/>
      <c r="C14" s="14"/>
      <c r="D14" s="14"/>
    </row>
    <row r="15" spans="1:4" ht="22.95" customHeight="1">
      <c r="A15" s="43" t="s">
        <v>364</v>
      </c>
      <c r="B15" s="43"/>
      <c r="C15" s="43"/>
      <c r="D15" s="43"/>
    </row>
    <row r="16" spans="1:4">
      <c r="A16" s="14" t="s">
        <v>365</v>
      </c>
      <c r="B16" s="14">
        <v>0</v>
      </c>
      <c r="C16" s="14">
        <v>0</v>
      </c>
      <c r="D16" s="44" t="s">
        <v>344</v>
      </c>
    </row>
    <row r="17" spans="1:4">
      <c r="A17" s="14" t="s">
        <v>366</v>
      </c>
      <c r="B17" s="14">
        <v>25</v>
      </c>
      <c r="C17" s="14">
        <v>25</v>
      </c>
      <c r="D17" s="44" t="s">
        <v>344</v>
      </c>
    </row>
    <row r="18" spans="1:4">
      <c r="A18" s="14" t="s">
        <v>367</v>
      </c>
      <c r="B18" s="14">
        <v>29</v>
      </c>
      <c r="C18" s="14">
        <v>29</v>
      </c>
      <c r="D18" s="44" t="s">
        <v>344</v>
      </c>
    </row>
    <row r="19" spans="1:4">
      <c r="A19" s="14" t="s">
        <v>368</v>
      </c>
      <c r="B19" s="14">
        <v>0</v>
      </c>
      <c r="C19" s="14">
        <v>0</v>
      </c>
      <c r="D19" s="44" t="s">
        <v>344</v>
      </c>
    </row>
    <row r="20" spans="1:4">
      <c r="A20" s="14" t="s">
        <v>369</v>
      </c>
      <c r="B20" s="14" t="b">
        <v>1</v>
      </c>
      <c r="C20" s="14" t="b">
        <v>1</v>
      </c>
      <c r="D20" s="44" t="s">
        <v>344</v>
      </c>
    </row>
  </sheetData>
  <sheetProtection sheet="1" objects="1" scenarios="1"/>
  <mergeCells count="2">
    <mergeCell ref="A1:D1"/>
    <mergeCell ref="A15:D15"/>
  </mergeCells>
  <phoneticPr fontId="2"/>
  <pageMargins left="0.7" right="0.7" top="0.75" bottom="0.75" header="0.3" footer="0.3"/>
  <pageSetup paperSize="9" fitToHeight="9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5AFC-0CD7-48D6-B126-37F8AA6C5F36}">
  <sheetPr>
    <tabColor rgb="FFD9E1F2"/>
    <pageSetUpPr fitToPage="1"/>
  </sheetPr>
  <dimension ref="A1:E14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14.69921875" customWidth="1"/>
    <col min="2" max="2" width="38.69921875" customWidth="1"/>
    <col min="3" max="3" width="62.69921875" customWidth="1"/>
    <col min="4" max="4" width="68.69921875" customWidth="1"/>
    <col min="5" max="5" width="38.69921875" customWidth="1"/>
  </cols>
  <sheetData>
    <row r="1" spans="1:5" ht="26.4">
      <c r="A1" s="2" t="s">
        <v>295</v>
      </c>
      <c r="B1" s="3"/>
      <c r="C1" s="3"/>
      <c r="D1" s="3"/>
      <c r="E1" s="3"/>
    </row>
    <row r="2" spans="1:5">
      <c r="A2" s="5"/>
      <c r="B2" s="5"/>
      <c r="C2" s="5"/>
      <c r="D2" s="5"/>
      <c r="E2" s="5"/>
    </row>
    <row r="3" spans="1:5">
      <c r="A3" s="13" t="s">
        <v>296</v>
      </c>
      <c r="B3" s="13" t="s">
        <v>297</v>
      </c>
      <c r="C3" s="13" t="s">
        <v>298</v>
      </c>
      <c r="D3" s="13" t="s">
        <v>299</v>
      </c>
      <c r="E3" s="13" t="s">
        <v>300</v>
      </c>
    </row>
    <row r="4" spans="1:5" ht="42" customHeight="1">
      <c r="A4" s="9" t="s">
        <v>301</v>
      </c>
      <c r="B4" s="14" t="s">
        <v>302</v>
      </c>
      <c r="C4" s="38" t="s">
        <v>303</v>
      </c>
      <c r="D4" s="14"/>
      <c r="E4" s="14" t="s">
        <v>304</v>
      </c>
    </row>
    <row r="5" spans="1:5" ht="42" customHeight="1">
      <c r="A5" s="9" t="s">
        <v>301</v>
      </c>
      <c r="B5" s="14" t="s">
        <v>305</v>
      </c>
      <c r="C5" s="38" t="s">
        <v>306</v>
      </c>
      <c r="D5" s="14"/>
      <c r="E5" s="14" t="s">
        <v>307</v>
      </c>
    </row>
    <row r="6" spans="1:5" ht="42" customHeight="1">
      <c r="A6" s="9" t="s">
        <v>301</v>
      </c>
      <c r="B6" s="14" t="s">
        <v>308</v>
      </c>
      <c r="C6" s="38" t="s">
        <v>309</v>
      </c>
      <c r="D6" s="14" t="s">
        <v>310</v>
      </c>
      <c r="E6" s="14" t="s">
        <v>311</v>
      </c>
    </row>
    <row r="7" spans="1:5" ht="42" customHeight="1">
      <c r="A7" s="9" t="s">
        <v>301</v>
      </c>
      <c r="B7" s="14" t="s">
        <v>312</v>
      </c>
      <c r="C7" s="38" t="s">
        <v>313</v>
      </c>
      <c r="D7" s="14" t="s">
        <v>314</v>
      </c>
      <c r="E7" s="14" t="s">
        <v>311</v>
      </c>
    </row>
    <row r="8" spans="1:5" ht="42" customHeight="1">
      <c r="A8" s="9" t="s">
        <v>301</v>
      </c>
      <c r="B8" s="14" t="s">
        <v>315</v>
      </c>
      <c r="C8" s="38" t="s">
        <v>316</v>
      </c>
      <c r="D8" s="14" t="s">
        <v>317</v>
      </c>
      <c r="E8" s="14" t="s">
        <v>311</v>
      </c>
    </row>
    <row r="9" spans="1:5" ht="42" customHeight="1">
      <c r="A9" s="9" t="s">
        <v>301</v>
      </c>
      <c r="B9" s="14" t="s">
        <v>318</v>
      </c>
      <c r="C9" s="38" t="s">
        <v>319</v>
      </c>
      <c r="D9" s="14" t="s">
        <v>320</v>
      </c>
      <c r="E9" s="14" t="s">
        <v>311</v>
      </c>
    </row>
    <row r="10" spans="1:5" ht="42" customHeight="1">
      <c r="A10" s="9" t="s">
        <v>301</v>
      </c>
      <c r="B10" s="14" t="s">
        <v>321</v>
      </c>
      <c r="C10" s="38" t="s">
        <v>322</v>
      </c>
      <c r="D10" s="14"/>
      <c r="E10" s="14" t="s">
        <v>323</v>
      </c>
    </row>
    <row r="11" spans="1:5" ht="42" customHeight="1">
      <c r="A11" s="9" t="s">
        <v>324</v>
      </c>
      <c r="B11" s="14" t="s">
        <v>325</v>
      </c>
      <c r="C11" s="38" t="s">
        <v>326</v>
      </c>
      <c r="D11" s="14"/>
      <c r="E11" s="14" t="s">
        <v>327</v>
      </c>
    </row>
    <row r="12" spans="1:5" ht="42" customHeight="1">
      <c r="A12" s="9" t="s">
        <v>324</v>
      </c>
      <c r="B12" s="14" t="s">
        <v>328</v>
      </c>
      <c r="C12" s="38" t="s">
        <v>329</v>
      </c>
      <c r="D12" s="14"/>
      <c r="E12" s="14" t="s">
        <v>330</v>
      </c>
    </row>
    <row r="13" spans="1:5">
      <c r="A13" s="9"/>
      <c r="B13" s="9"/>
      <c r="C13" s="9"/>
      <c r="D13" s="9"/>
      <c r="E13" s="9"/>
    </row>
    <row r="14" spans="1:5">
      <c r="A14" s="9" t="s">
        <v>331</v>
      </c>
      <c r="B14" s="8" t="s">
        <v>332</v>
      </c>
      <c r="C14" s="8"/>
      <c r="D14" s="8"/>
      <c r="E14" s="8"/>
    </row>
  </sheetData>
  <sheetProtection sheet="1" objects="1" scenarios="1"/>
  <mergeCells count="2">
    <mergeCell ref="A1:E1"/>
    <mergeCell ref="B14:E14"/>
  </mergeCells>
  <phoneticPr fontId="2"/>
  <hyperlinks>
    <hyperlink ref="C4" r:id="rId1" tooltip="https://www.nta.go.jp/taxes/tetsuzuki/shinsei/annai/hojin/shinkoku/itiran_r01/01.htm" xr:uid="{091EB82D-3A58-4E7B-84AB-4AF63322DE33}"/>
    <hyperlink ref="C5" r:id="rId2" tooltip="https://www.nta.go.jp/taxes/tetsuzuki/shinsei/annai/hojin/shinkoku/itiran2019/01.htm" xr:uid="{E50369F9-1BF0-4330-B4FB-9FE0DD816629}"/>
    <hyperlink ref="C6" r:id="rId3" tooltip="https://www.nta.go.jp/taxes/tetsuzuki/shinsei/annai/hojin/shinkoku/itiran_r01/pdf/03%281%29.pdf" xr:uid="{42E55F6B-8D57-4E5E-A282-94E26334280A}"/>
    <hyperlink ref="C7" r:id="rId4" tooltip="https://www.nta.go.jp/taxes/tetsuzuki/shinsei/annai/hojin/shinkoku/itiran_r01/pdf/03%281%29-ki.pdf" xr:uid="{10A954F4-196D-4B70-B2A7-B9B170725ED0}"/>
    <hyperlink ref="C8" r:id="rId5" tooltip="https://www.nta.go.jp/taxes/tetsuzuki/shinsei/annai/hojin/shinkoku/itiran_r01/pdf/03%281%29-f.pdf" xr:uid="{701242BB-21AB-4A64-991E-000043AE0702}"/>
    <hyperlink ref="C9" r:id="rId6" tooltip="https://www.nta.go.jp/taxes/tetsuzuki/shinsei/annai/hojin/shinkoku/itiran_r01/pdf/03%281%29-f-ki.pdf" xr:uid="{ED23EB94-6B58-42DE-A937-1CC458FE96D0}"/>
    <hyperlink ref="C10" r:id="rId7" tooltip="https://www.nta.go.jp/law/tsutatsu/kihon/hojin/16/16_01_02.htm" xr:uid="{598AD01A-67B5-4AB2-A2F6-A0AA64AAB027}"/>
    <hyperlink ref="C11" r:id="rId8" location="Mp-At_67" tooltip="https://laws.e-gov.go.jp/law/340AC0000000034#Mp-At_67" xr:uid="{969965C8-65D7-418D-BEEF-A72C77196BF6}"/>
    <hyperlink ref="C12" r:id="rId9" location="Mp-At_10" tooltip="https://laws.e-gov.go.jp/law/337AC0000000066#Mp-At_10" xr:uid="{951BF37B-B39B-47D7-9923-55CA62BFD7B9}"/>
  </hyperlinks>
  <pageMargins left="0.7" right="0.7" top="0.75" bottom="0.75" header="0.3" footer="0.3"/>
  <pageSetup paperSize="9" fitToHeight="999" orientation="landscape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ABA4-DB00-4141-B33F-890994ED97CF}">
  <dimension ref="A1:C33"/>
  <sheetViews>
    <sheetView workbookViewId="0"/>
  </sheetViews>
  <sheetFormatPr defaultRowHeight="18"/>
  <sheetData>
    <row r="1" spans="1:3">
      <c r="A1" t="str">
        <f>IF(inp_corp="","",inp_corp)</f>
        <v/>
      </c>
    </row>
    <row r="2" spans="1:3">
      <c r="A2" t="str">
        <f>IF(OR(inp_start="",inp_end=""),"",TEXT(inp_start,"yyyy.m.d")&amp;CHAR(10)&amp;TEXT(inp_end,"yyyy.m.d"))</f>
        <v>2019.4.1
2020.3.31</v>
      </c>
    </row>
    <row r="5" spans="1:3">
      <c r="A5" t="str">
        <f>IF(m_01=0,"",TEXT(m_01/1000,"#,##0;-#,##0"))</f>
        <v/>
      </c>
      <c r="B5" t="str">
        <f>IF(inp_m9_inner=0,"",TEXT(inp_m9_inner,"#,##0;-#,##0"))</f>
        <v/>
      </c>
      <c r="C5" t="str">
        <f>IF(f1_01=0,"",TEXT(f1_01,"#,##0;-#,##0"))</f>
        <v/>
      </c>
    </row>
    <row r="6" spans="1:3">
      <c r="A6" t="str">
        <f>IF(m_02=0,"",TEXT(m_02/1000,"#,##0;-#,##0"))</f>
        <v/>
      </c>
      <c r="C6" t="str">
        <f>IF(f1_02=0,"",TEXT(f1_02,"#,##0;-#,##0"))</f>
        <v/>
      </c>
    </row>
    <row r="7" spans="1:3">
      <c r="A7" t="str">
        <f>IF(m_03=0,"",TEXT(m_03/1000,"#,##0;-#,##0"))</f>
        <v/>
      </c>
      <c r="C7" t="str">
        <f>IF(f1_03=0,"",TEXT(f1_03,"#,##0;-#,##0"))</f>
        <v/>
      </c>
    </row>
    <row r="8" spans="1:3">
      <c r="A8" t="str">
        <f>IF(m_04=0,"",TEXT(m_04/1000,"#,##0;-#,##0"))</f>
        <v/>
      </c>
      <c r="C8" t="str">
        <f>IF(f1_04=0,"",TEXT(f1_04,"#,##0;-#,##0"))</f>
        <v/>
      </c>
    </row>
    <row r="9" spans="1:3">
      <c r="A9" t="str">
        <f>IF(m_05=0,"",TEXT(m_05,"#,##0;-#,##0"))</f>
        <v/>
      </c>
      <c r="C9" t="str">
        <f>IF(f1_05=0,"",TEXT(f1_05,"#,##0;-#,##0"))</f>
        <v/>
      </c>
    </row>
    <row r="10" spans="1:3">
      <c r="A10" t="str">
        <f>IF(m_06=0,"",TEXT(m_06,"#,##0;-#,##0"))</f>
        <v/>
      </c>
      <c r="C10" t="str">
        <f>IF(f1_06=0,"",TEXT(f1_06,"#,##0;-#,##0"))</f>
        <v/>
      </c>
    </row>
    <row r="11" spans="1:3">
      <c r="A11" t="str">
        <f>IF(m_07=0,"",TEXT(m_07,"#,##0;-#,##0"))</f>
        <v/>
      </c>
      <c r="C11" t="str">
        <f>IF(f1_07=0,"",TEXT(f1_07,"#,##0;-#,##0"))</f>
        <v/>
      </c>
    </row>
    <row r="12" spans="1:3">
      <c r="A12" t="str">
        <f>IF(m_08=0,"",TEXT(m_08,"#,##0;-#,##0"))</f>
        <v/>
      </c>
      <c r="C12" t="str">
        <f>IF(f1_08=0,"",TEXT(f1_08,"#,##0;-#,##0"))</f>
        <v>20,000,000</v>
      </c>
    </row>
    <row r="13" spans="1:3">
      <c r="A13" t="str">
        <f>IF(m_09=0,"",TEXT(m_09,"#,##0;-#,##0"))</f>
        <v/>
      </c>
      <c r="C13" t="str">
        <f>IF(f1_09=0,"",TEXT(f1_09,"#,##0;-#,##0"))</f>
        <v/>
      </c>
    </row>
    <row r="14" spans="1:3">
      <c r="A14" t="str">
        <f>IF(m_10=0,"",TEXT(m_10,"#,##0;-#,##0"))</f>
        <v/>
      </c>
      <c r="C14" t="str">
        <f>IF(f1_10=0,"",TEXT(f1_10,"#,##0;-#,##0"))</f>
        <v/>
      </c>
    </row>
    <row r="15" spans="1:3">
      <c r="A15" t="str">
        <f>IF(m_11=0,"",TEXT(m_11,"#,##0;-#,##0"))</f>
        <v/>
      </c>
      <c r="C15" t="str">
        <f>IF(f1_11=0,"",TEXT(f1_11,"#,##0;-#,##0"))</f>
        <v/>
      </c>
    </row>
    <row r="16" spans="1:3">
      <c r="A16" t="str">
        <f>IF(m_12=0,"",TEXT(m_12,"#,##0;-#,##0"))</f>
        <v/>
      </c>
      <c r="C16" t="str">
        <f>IF(f1_12=0,"",TEXT(f1_12,"#,##0;-#,##0"))</f>
        <v/>
      </c>
    </row>
    <row r="17" spans="1:3">
      <c r="A17" t="str">
        <f>IF(m_13=0,"",TEXT(m_13,"#,##0;-#,##0"))</f>
        <v/>
      </c>
      <c r="C17" t="str">
        <f>IF(f1_13=0,"",TEXT(f1_13,"#,##0;-#,##0"))</f>
        <v/>
      </c>
    </row>
    <row r="18" spans="1:3">
      <c r="A18" t="str">
        <f>IF(m_14=0,"",TEXT(m_14,"#,##0;-#,##0"))</f>
        <v/>
      </c>
      <c r="C18" t="str">
        <f>IF(f1_14=0,"",TEXT(f1_14,"#,##0;-#,##0"))</f>
        <v/>
      </c>
    </row>
    <row r="19" spans="1:3">
      <c r="A19" t="str">
        <f>IF(m_15=0,"",TEXT(m_15,"#,##0;-#,##0"))</f>
        <v/>
      </c>
      <c r="C19" t="str">
        <f>IF(f1_15=0,"",TEXT(f1_15,"#,##0;-#,##0"))</f>
        <v/>
      </c>
    </row>
    <row r="20" spans="1:3">
      <c r="A20" t="str">
        <f>IF(m_16=0,"",TEXT(m_16,"#,##0;-#,##0"))</f>
        <v/>
      </c>
      <c r="C20" t="str">
        <f>IF(f1_16=0,"",TEXT(f1_16,"#,##0;-#,##0"))</f>
        <v/>
      </c>
    </row>
    <row r="21" spans="1:3">
      <c r="A21" t="str">
        <f>IF(m_17=0,"",TEXT(m_17,"#,##0;-#,##0"))</f>
        <v>20,000,000</v>
      </c>
      <c r="C21" t="str">
        <f>IF(f1_17=0,"",TEXT(f1_17,"#,##0;-#,##0"))</f>
        <v/>
      </c>
    </row>
    <row r="22" spans="1:3">
      <c r="A22" t="str">
        <f>IF(m_18=0,"",TEXT(m_18/1000,"#,##0;-#,##0"))</f>
        <v/>
      </c>
      <c r="C22" t="str">
        <f>IF(f1_18=0,"",TEXT(f1_18,"#,##0;-#,##0"))</f>
        <v/>
      </c>
    </row>
    <row r="23" spans="1:3">
      <c r="A23" t="str">
        <f>IF(m_19=0,"",TEXT(m_19,"#,##0;-#,##0"))</f>
        <v/>
      </c>
      <c r="C23" t="str">
        <f>IF(f1_19=0,"",TEXT(f1_19,"#,##0;-#,##0"))</f>
        <v/>
      </c>
    </row>
    <row r="24" spans="1:3">
      <c r="A24" t="str">
        <f>IF(m_20=0,"",TEXT(m_20,"#,##0;-#,##0"))</f>
        <v/>
      </c>
      <c r="C24" t="str">
        <f>IF(f1_20=0,"",TEXT(f1_20,"#,##0;-#,##0"))</f>
        <v/>
      </c>
    </row>
    <row r="25" spans="1:3">
      <c r="A25" t="str">
        <f>IF(m_21=0,"",TEXT(m_21,"#,##0;-#,##0"))</f>
        <v/>
      </c>
      <c r="C25" t="str">
        <f>IF(f1_21=0,"",TEXT(f1_21,"#,##0;-#,##0"))</f>
        <v/>
      </c>
    </row>
    <row r="26" spans="1:3">
      <c r="A26" t="str">
        <f>IF(m_22=0,"",TEXT(m_22,"#,##0;-#,##0"))</f>
        <v/>
      </c>
      <c r="C26" t="str">
        <f>IF(f1_22=0,"",TEXT(f1_22,"#,##0;-#,##0"))</f>
        <v/>
      </c>
    </row>
    <row r="27" spans="1:3">
      <c r="A27" t="str">
        <f>IF(m_23=0,"",TEXT(m_23,"#,##0;-#,##0"))</f>
        <v/>
      </c>
      <c r="C27" t="str">
        <f>IF(f1_23=0,"",TEXT(f1_23,"#,##0;-#,##0"))</f>
        <v/>
      </c>
    </row>
    <row r="28" spans="1:3">
      <c r="A28" t="str">
        <f>IF(m_24=0,"",TEXT(m_24,"#,##0;-#,##0"))</f>
        <v/>
      </c>
      <c r="C28" t="str">
        <f>IF(f1_24=0,"",TEXT(f1_24,"#,##0;-#,##0"))</f>
        <v/>
      </c>
    </row>
    <row r="29" spans="1:3">
      <c r="A29" t="str">
        <f>IF(m_25=0,"",TEXT(m_25,"#,##0;-#,##0"))</f>
        <v/>
      </c>
      <c r="C29" t="str">
        <f>IF(f1_25=0,"",TEXT(f1_25,"#,##0;-#,##0"))</f>
        <v/>
      </c>
    </row>
    <row r="30" spans="1:3">
      <c r="C30" t="str">
        <f>IF(f1_26=0,"",TEXT(f1_26,"#,##0;-#,##0"))</f>
        <v/>
      </c>
    </row>
    <row r="31" spans="1:3">
      <c r="C31" t="str">
        <f>IF(f1_27=0,"",TEXT(f1_27,"#,##0;-#,##0"))</f>
        <v/>
      </c>
    </row>
    <row r="32" spans="1:3">
      <c r="C32" t="str">
        <f>IF(f1_28=0,"",TEXT(f1_28,"#,##0;-#,##0"))</f>
        <v/>
      </c>
    </row>
    <row r="33" spans="3:3">
      <c r="C33" t="str">
        <f>IF(f1_29=0,"",TEXT(f1_29,"#,##0;-#,##0"))</f>
        <v>20,000,000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121</vt:i4>
      </vt:variant>
    </vt:vector>
  </HeadingPairs>
  <TitlesOfParts>
    <vt:vector size="129" baseType="lpstr">
      <vt:lpstr>使い方</vt:lpstr>
      <vt:lpstr>入力</vt:lpstr>
      <vt:lpstr>別表三一_計算</vt:lpstr>
      <vt:lpstr>付表_計算</vt:lpstr>
      <vt:lpstr>別表三(一)</vt:lpstr>
      <vt:lpstr>別表三(一)付表</vt:lpstr>
      <vt:lpstr>検算</vt:lpstr>
      <vt:lpstr>根拠・出典</vt:lpstr>
      <vt:lpstr>cfg_applicable</vt:lpstr>
      <vt:lpstr>cfg_donation_rate</vt:lpstr>
      <vt:lpstr>cfg_resident_rate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inp_b1_10out</vt:lpstr>
      <vt:lpstr>inp_b1_12</vt:lpstr>
      <vt:lpstr>inp_b1_18</vt:lpstr>
      <vt:lpstr>inp_b1_19</vt:lpstr>
      <vt:lpstr>inp_b1_2</vt:lpstr>
      <vt:lpstr>inp_b1_36</vt:lpstr>
      <vt:lpstr>inp_b1_4</vt:lpstr>
      <vt:lpstr>inp_b1_40</vt:lpstr>
      <vt:lpstr>inp_b1_41</vt:lpstr>
      <vt:lpstr>inp_b1_5</vt:lpstr>
      <vt:lpstr>inp_b1_7</vt:lpstr>
      <vt:lpstr>inp_b6_5_2_5_3</vt:lpstr>
      <vt:lpstr>inp_class</vt:lpstr>
      <vt:lpstr>inp_corp</vt:lpstr>
      <vt:lpstr>inp_curr_div</vt:lpstr>
      <vt:lpstr>inp_end</vt:lpstr>
      <vt:lpstr>inp_f1_09</vt:lpstr>
      <vt:lpstr>inp_f1_10</vt:lpstr>
      <vt:lpstr>inp_f1_11</vt:lpstr>
      <vt:lpstr>inp_f1_12</vt:lpstr>
      <vt:lpstr>inp_f1_13</vt:lpstr>
      <vt:lpstr>inp_f1_14</vt:lpstr>
      <vt:lpstr>inp_f1_15</vt:lpstr>
      <vt:lpstr>inp_f1_16</vt:lpstr>
      <vt:lpstr>inp_f1_17</vt:lpstr>
      <vt:lpstr>inp_f1_18</vt:lpstr>
      <vt:lpstr>inp_f1_19</vt:lpstr>
      <vt:lpstr>inp_f1_20</vt:lpstr>
      <vt:lpstr>inp_f1_21</vt:lpstr>
      <vt:lpstr>inp_f1_22</vt:lpstr>
      <vt:lpstr>inp_f1_23</vt:lpstr>
      <vt:lpstr>inp_f1_24</vt:lpstr>
      <vt:lpstr>inp_f1_25</vt:lpstr>
      <vt:lpstr>inp_f1_26</vt:lpstr>
      <vt:lpstr>inp_f1_capital</vt:lpstr>
      <vt:lpstr>inp_f1_merger_inc</vt:lpstr>
      <vt:lpstr>inp_f1_opening_profit</vt:lpstr>
      <vt:lpstr>inp_f1_split_dec</vt:lpstr>
      <vt:lpstr>inp_group</vt:lpstr>
      <vt:lpstr>inp_m14_foreign</vt:lpstr>
      <vt:lpstr>inp_m22_credits</vt:lpstr>
      <vt:lpstr>inp_m23_credits</vt:lpstr>
      <vt:lpstr>inp_m9_base</vt:lpstr>
      <vt:lpstr>inp_m9_extra</vt:lpstr>
      <vt:lpstr>inp_m9_inner</vt:lpstr>
      <vt:lpstr>inp_months</vt:lpstr>
      <vt:lpstr>inp_prev_div</vt:lpstr>
      <vt:lpstr>inp_r1_group_paid</vt:lpstr>
      <vt:lpstr>inp_r1_group_received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out_municipal_tax</vt:lpstr>
      <vt:lpstr>out_retained_tax</vt:lpstr>
      <vt:lpstr>out_retention_allowance</vt:lpstr>
      <vt:lpstr>out_taxable_retained</vt:lpstr>
      <vt:lpstr>検算!Print_Area</vt:lpstr>
      <vt:lpstr>根拠・出典!Print_Area</vt:lpstr>
      <vt:lpstr>使い方!Print_Area</vt:lpstr>
      <vt:lpstr>入力!Print_Area</vt:lpstr>
      <vt:lpstr>付表_計算!Print_Area</vt:lpstr>
      <vt:lpstr>'別表三(一)'!Print_Area</vt:lpstr>
      <vt:lpstr>'別表三(一)付表'!Print_Area</vt:lpstr>
      <vt:lpstr>別表三一_計算!Print_Area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jplawdb4</dc:creator>
  <cp:lastModifiedBy>jplawdb4</cp:lastModifiedBy>
</cp:coreProperties>
</file>