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bookViews>
    <workbookView xWindow="-108" yWindow="-108" windowWidth="23256" windowHeight="12456"/>
  </bookViews>
  <sheets>
    <sheet name="使い方" sheetId="1" r:id="rId1"/>
    <sheet name="入力" sheetId="2" r:id="rId2"/>
    <sheet name="別表三一_計算" sheetId="3" r:id="rId3"/>
    <sheet name="付表一_計算" sheetId="4" r:id="rId4"/>
    <sheet name="付表二_計算" sheetId="5" r:id="rId5"/>
    <sheet name="別表三(一)" sheetId="6" r:id="rId6"/>
    <sheet name="別表三(一)付表一" sheetId="7" r:id="rId7"/>
    <sheet name="別表三(一)付表二" sheetId="8" r:id="rId8"/>
    <sheet name="検算" sheetId="9" r:id="rId9"/>
    <sheet name="根拠・出典" sheetId="10" r:id="rId10"/>
    <sheet name="印字値" sheetId="11" state="veryHidden" r:id="rId11"/>
  </sheets>
  <definedNames>
    <definedName name="cfg_applicable">入力!$H$5</definedName>
    <definedName name="cfg_donation_rate">入力!$H$7</definedName>
    <definedName name="cfg_f2_input_valid">入力!$H$11</definedName>
    <definedName name="cfg_resident_rate">入力!$H$6</definedName>
    <definedName name="f1_01">付表一_計算!$D$5</definedName>
    <definedName name="f1_02">付表一_計算!$D$6</definedName>
    <definedName name="f1_03">付表一_計算!$D$7</definedName>
    <definedName name="f1_04">付表一_計算!$D$8</definedName>
    <definedName name="f1_05">付表一_計算!$D$9</definedName>
    <definedName name="f1_06">付表一_計算!$D$10</definedName>
    <definedName name="f1_07">付表一_計算!$D$11</definedName>
    <definedName name="f1_08">付表一_計算!$D$12</definedName>
    <definedName name="f1_09">付表一_計算!$D$13</definedName>
    <definedName name="f1_10">付表一_計算!$D$14</definedName>
    <definedName name="f1_11">付表一_計算!$D$15</definedName>
    <definedName name="f1_12">付表一_計算!$D$16</definedName>
    <definedName name="f1_13">付表一_計算!$D$17</definedName>
    <definedName name="f1_14">付表一_計算!$D$18</definedName>
    <definedName name="f1_15">付表一_計算!$D$19</definedName>
    <definedName name="f1_16">付表一_計算!$D$20</definedName>
    <definedName name="f1_17">付表一_計算!$D$21</definedName>
    <definedName name="f1_18">付表一_計算!$D$22</definedName>
    <definedName name="f1_19">付表一_計算!$D$23</definedName>
    <definedName name="f1_20">付表一_計算!$D$24</definedName>
    <definedName name="f1_21">付表一_計算!$D$25</definedName>
    <definedName name="f1_22">付表一_計算!$D$26</definedName>
    <definedName name="f1_23">付表一_計算!$D$27</definedName>
    <definedName name="f1_24">付表一_計算!$D$28</definedName>
    <definedName name="f1_25">付表一_計算!$D$29</definedName>
    <definedName name="f1_26">付表一_計算!$D$30</definedName>
    <definedName name="f1_27">付表一_計算!$D$31</definedName>
    <definedName name="f1_28">付表一_計算!$D$32</definedName>
    <definedName name="f1_29">付表一_計算!$D$33</definedName>
    <definedName name="f1_30">付表一_計算!$D$34</definedName>
    <definedName name="f1_31">付表一_計算!$D$35</definedName>
    <definedName name="f1_32">付表一_計算!$D$36</definedName>
    <definedName name="f1_33">付表一_計算!$D$37</definedName>
    <definedName name="f1_34">付表一_計算!$D$38</definedName>
    <definedName name="f2_01">付表二_計算!$D$5</definedName>
    <definedName name="f2_02">付表二_計算!$D$6</definedName>
    <definedName name="f2_03">付表二_計算!$D$7</definedName>
    <definedName name="f2_04">付表二_計算!$D$8</definedName>
    <definedName name="f2_05">付表二_計算!$D$9</definedName>
    <definedName name="f2_06">付表二_計算!$D$10</definedName>
    <definedName name="f2_07">付表二_計算!$D$11</definedName>
    <definedName name="f2_08">付表二_計算!$D$12</definedName>
    <definedName name="f2_09">付表二_計算!$D$13</definedName>
    <definedName name="f2_10">付表二_計算!$D$14</definedName>
    <definedName name="f2_11">付表二_計算!$D$15</definedName>
    <definedName name="f2_12">付表二_計算!$D$16</definedName>
    <definedName name="f2_13">付表二_計算!$D$17</definedName>
    <definedName name="f2_14">付表二_計算!$D$18</definedName>
    <definedName name="f2_15">付表二_計算!$D$19</definedName>
    <definedName name="f2_16">付表二_計算!$D$20</definedName>
    <definedName name="f2_17">付表二_計算!$D$21</definedName>
    <definedName name="f2_18">付表二_計算!$D$22</definedName>
    <definedName name="f2_19">付表二_計算!$D$23</definedName>
    <definedName name="f2_20">付表二_計算!$D$24</definedName>
    <definedName name="f2_21">付表二_計算!$D$25</definedName>
    <definedName name="f2_22">付表二_計算!$D$26</definedName>
    <definedName name="f2_23">付表二_計算!$D$27</definedName>
    <definedName name="f2_24">付表二_計算!$D$28</definedName>
    <definedName name="f2_25">付表二_計算!$D$29</definedName>
    <definedName name="f2_26">付表二_計算!$D$30</definedName>
    <definedName name="inp_adjust_local_credit">入力!$D$39</definedName>
    <definedName name="inp_b1_11">入力!$D$25</definedName>
    <definedName name="inp_b1_17">入力!$D$26</definedName>
    <definedName name="inp_b1_18">入力!$D$27</definedName>
    <definedName name="inp_b1_2">入力!$D$20</definedName>
    <definedName name="inp_b1_3">入力!$D$21</definedName>
    <definedName name="inp_b1_31">入力!$D$28</definedName>
    <definedName name="inp_b1_32">入力!$D$29</definedName>
    <definedName name="inp_b1_36">入力!$D$30</definedName>
    <definedName name="inp_b1_4">入力!$D$22</definedName>
    <definedName name="inp_b1_6">入力!$D$23</definedName>
    <definedName name="inp_b1_65">入力!$D$31</definedName>
    <definedName name="inp_b1_9out">入力!$D$24</definedName>
    <definedName name="inp_b6_5_2_5_3">入力!$D$32</definedName>
    <definedName name="inp_class">入力!$D$9</definedName>
    <definedName name="inp_corp">入力!$D$5</definedName>
    <definedName name="inp_curr_div">入力!$D$19</definedName>
    <definedName name="inp_end">入力!$D$7</definedName>
    <definedName name="inp_f1_09">入力!$D$47</definedName>
    <definedName name="inp_f1_10">入力!$D$48</definedName>
    <definedName name="inp_f1_11">入力!$D$49</definedName>
    <definedName name="inp_f1_12">入力!$D$50</definedName>
    <definedName name="inp_f1_13">入力!$D$51</definedName>
    <definedName name="inp_f1_14">入力!$D$52</definedName>
    <definedName name="inp_f1_15">入力!$D$53</definedName>
    <definedName name="inp_f1_16">入力!$D$54</definedName>
    <definedName name="inp_f1_19">入力!$D$55</definedName>
    <definedName name="inp_f1_20">入力!$D$56</definedName>
    <definedName name="inp_f1_21">入力!$D$57</definedName>
    <definedName name="inp_f1_22">入力!$D$58</definedName>
    <definedName name="inp_f1_23">入力!$D$59</definedName>
    <definedName name="inp_f1_24">入力!$D$60</definedName>
    <definedName name="inp_f1_25">入力!$D$61</definedName>
    <definedName name="inp_f1_26">入力!$D$62</definedName>
    <definedName name="inp_f1_27">入力!$D$63</definedName>
    <definedName name="inp_f1_28">入力!$D$64</definedName>
    <definedName name="inp_f1_29">入力!$D$65</definedName>
    <definedName name="inp_f1_30">入力!$D$66</definedName>
    <definedName name="inp_f1_31">入力!$D$67</definedName>
    <definedName name="inp_f1_capital">入力!$D$43</definedName>
    <definedName name="inp_f1_merger_inc">入力!$D$45</definedName>
    <definedName name="inp_f1_opening_profit">入力!$D$44</definedName>
    <definedName name="inp_f1_split_dec">入力!$D$46</definedName>
    <definedName name="inp_f2_01">入力!$D$71</definedName>
    <definedName name="inp_f2_02">入力!$D$72</definedName>
    <definedName name="inp_f2_03">入力!$D$73</definedName>
    <definedName name="inp_f2_04">入力!$D$74</definedName>
    <definedName name="inp_f2_06">入力!$D$75</definedName>
    <definedName name="inp_f2_07">入力!$D$76</definedName>
    <definedName name="inp_f2_08">入力!$D$77</definedName>
    <definedName name="inp_f2_12">入力!$D$78</definedName>
    <definedName name="inp_f2_15">入力!$D$79</definedName>
    <definedName name="inp_f2_16">入力!$D$80</definedName>
    <definedName name="inp_f2_21">入力!$D$81</definedName>
    <definedName name="inp_f2_23">入力!$D$82</definedName>
    <definedName name="inp_group">入力!$D$10</definedName>
    <definedName name="inp_m14_foreign">入力!$D$37</definedName>
    <definedName name="inp_m22_b1_4_adjust">入力!$D$35</definedName>
    <definedName name="inp_m22_credits">入力!$D$33</definedName>
    <definedName name="inp_m23_b1_4_adjust">入力!$D$36</definedName>
    <definedName name="inp_m23_credits">入力!$D$34</definedName>
    <definedName name="inp_m9_base">入力!$D$15</definedName>
    <definedName name="inp_m9_extra">入力!$D$16</definedName>
    <definedName name="inp_m9_inner">入力!$D$17</definedName>
    <definedName name="inp_months">入力!$D$8</definedName>
    <definedName name="inp_prev_div">入力!$D$18</definedName>
    <definedName name="inp_special">入力!$D$11</definedName>
    <definedName name="inp_specific_donation_total">入力!$D$38</definedName>
    <definedName name="inp_start">入力!$D$6</definedName>
    <definedName name="m_01">別表三一_計算!$D$5</definedName>
    <definedName name="m_02">別表三一_計算!$D$6</definedName>
    <definedName name="m_03">別表三一_計算!$D$7</definedName>
    <definedName name="m_04">別表三一_計算!$D$8</definedName>
    <definedName name="m_05">別表三一_計算!$D$9</definedName>
    <definedName name="m_06">別表三一_計算!$D$10</definedName>
    <definedName name="m_07">別表三一_計算!$D$11</definedName>
    <definedName name="m_08">別表三一_計算!$D$12</definedName>
    <definedName name="m_09">別表三一_計算!$D$13</definedName>
    <definedName name="m_10">別表三一_計算!$D$14</definedName>
    <definedName name="m_11">別表三一_計算!$D$15</definedName>
    <definedName name="m_12">別表三一_計算!$D$16</definedName>
    <definedName name="m_13">別表三一_計算!$D$17</definedName>
    <definedName name="m_14">別表三一_計算!$D$18</definedName>
    <definedName name="m_15">別表三一_計算!$D$19</definedName>
    <definedName name="m_16">別表三一_計算!$D$20</definedName>
    <definedName name="m_17">別表三一_計算!$D$21</definedName>
    <definedName name="m_18">別表三一_計算!$D$22</definedName>
    <definedName name="m_19">別表三一_計算!$D$23</definedName>
    <definedName name="m_20">別表三一_計算!$D$24</definedName>
    <definedName name="m_21">別表三一_計算!$D$25</definedName>
    <definedName name="m_22">別表三一_計算!$D$26</definedName>
    <definedName name="m_23">別表三一_計算!$D$27</definedName>
    <definedName name="m_24">別表三一_計算!$D$28</definedName>
    <definedName name="m_25">別表三一_計算!$D$29</definedName>
    <definedName name="m_26">別表三一_計算!$D$30</definedName>
    <definedName name="m_27">別表三一_計算!$D$31</definedName>
    <definedName name="m_28">別表三一_計算!$D$32</definedName>
    <definedName name="out_municipal_tax">別表三一_計算!$D$32</definedName>
    <definedName name="out_retained_tax">別表三一_計算!$D$12</definedName>
    <definedName name="out_retention_allowance">付表一_計算!$D$38</definedName>
    <definedName name="out_taxable_retained">別表三一_計算!$D$25</definedName>
    <definedName name="_xlnm.Print_Area" localSheetId="8">検算!$A$1:$D$26</definedName>
    <definedName name="_xlnm.Print_Area" localSheetId="9">根拠・出典!$A$1:$E$15</definedName>
    <definedName name="_xlnm.Print_Area" localSheetId="0">使い方!$A$1:$H$40</definedName>
    <definedName name="_xlnm.Print_Area" localSheetId="1">入力!$A$1:$H$82</definedName>
    <definedName name="_xlnm.Print_Area" localSheetId="3">付表一_計算!$A$1:$E$38</definedName>
    <definedName name="_xlnm.Print_Area" localSheetId="4">付表二_計算!$A$1:$E$30</definedName>
    <definedName name="_xlnm.Print_Area" localSheetId="5">'別表三(一)'!$A$1:$L$3</definedName>
    <definedName name="_xlnm.Print_Area" localSheetId="6">'別表三(一)付表一'!$A$1:$L$3</definedName>
    <definedName name="_xlnm.Print_Area" localSheetId="7">'別表三(一)付表二'!$A$1:$L$3</definedName>
    <definedName name="_xlnm.Print_Area" localSheetId="2">別表三一_計算!$A$1:$G$32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6" i="9" l="1"/>
  <c r="C26" i="9"/>
  <c r="B5" i="11"/>
  <c r="A2" i="11"/>
  <c r="A1" i="11"/>
  <c r="F12" i="1"/>
  <c r="D27" i="3"/>
  <c r="A27" i="11" s="1"/>
  <c r="D26" i="3"/>
  <c r="A26" i="11" s="1"/>
  <c r="D18" i="3"/>
  <c r="A18" i="11" s="1"/>
  <c r="D16" i="3"/>
  <c r="A16" i="11" s="1"/>
  <c r="D15" i="3"/>
  <c r="A15" i="11" s="1"/>
  <c r="D14" i="3"/>
  <c r="A14" i="11" s="1"/>
  <c r="D13" i="3"/>
  <c r="A13" i="11" s="1"/>
  <c r="D35" i="4"/>
  <c r="C35" i="11" s="1"/>
  <c r="D34" i="4"/>
  <c r="C34" i="11" s="1"/>
  <c r="D33" i="4"/>
  <c r="C33" i="11" s="1"/>
  <c r="D32" i="4"/>
  <c r="C32" i="11" s="1"/>
  <c r="D31" i="4"/>
  <c r="C31" i="11" s="1"/>
  <c r="D30" i="4"/>
  <c r="C30" i="11" s="1"/>
  <c r="D29" i="4"/>
  <c r="C29" i="11" s="1"/>
  <c r="D28" i="4"/>
  <c r="C28" i="11" s="1"/>
  <c r="D27" i="4"/>
  <c r="C27" i="11" s="1"/>
  <c r="D26" i="4"/>
  <c r="C26" i="11" s="1"/>
  <c r="D25" i="4"/>
  <c r="C25" i="11" s="1"/>
  <c r="D24" i="4"/>
  <c r="C24" i="11" s="1"/>
  <c r="D23" i="4"/>
  <c r="D22" i="3" s="1"/>
  <c r="A22" i="11" s="1"/>
  <c r="D20" i="4"/>
  <c r="C20" i="11" s="1"/>
  <c r="D19" i="4"/>
  <c r="C19" i="11" s="1"/>
  <c r="D18" i="4"/>
  <c r="C18" i="11" s="1"/>
  <c r="D17" i="4"/>
  <c r="C17" i="11" s="1"/>
  <c r="D16" i="4"/>
  <c r="C16" i="11" s="1"/>
  <c r="D15" i="4"/>
  <c r="C15" i="11" s="1"/>
  <c r="D14" i="4"/>
  <c r="C14" i="11" s="1"/>
  <c r="D13" i="4"/>
  <c r="C13" i="11" s="1"/>
  <c r="D9" i="4"/>
  <c r="C9" i="11" s="1"/>
  <c r="D8" i="4"/>
  <c r="C8" i="11" s="1"/>
  <c r="D7" i="4"/>
  <c r="D5" i="4"/>
  <c r="D6" i="4" s="1"/>
  <c r="D20" i="5"/>
  <c r="E20" i="11" s="1"/>
  <c r="D19" i="5"/>
  <c r="E19" i="11" s="1"/>
  <c r="D18" i="5"/>
  <c r="E18" i="11" s="1"/>
  <c r="D16" i="5"/>
  <c r="E16" i="11" s="1"/>
  <c r="D15" i="5"/>
  <c r="D12" i="5"/>
  <c r="E12" i="11" s="1"/>
  <c r="D11" i="5"/>
  <c r="E11" i="11" s="1"/>
  <c r="D10" i="5"/>
  <c r="D8" i="5"/>
  <c r="D7" i="5"/>
  <c r="E7" i="11" s="1"/>
  <c r="D6" i="5"/>
  <c r="E6" i="11" s="1"/>
  <c r="D5" i="5"/>
  <c r="E5" i="11" s="1"/>
  <c r="H7" i="2"/>
  <c r="D29" i="3" s="1"/>
  <c r="A29" i="11" s="1"/>
  <c r="H6" i="2"/>
  <c r="H5" i="2"/>
  <c r="F11" i="1" s="1"/>
  <c r="D8" i="2"/>
  <c r="D12" i="4" s="1"/>
  <c r="D17" i="5" l="1"/>
  <c r="E17" i="11" s="1"/>
  <c r="D21" i="4"/>
  <c r="C21" i="11" s="1"/>
  <c r="D22" i="5"/>
  <c r="D23" i="5" s="1"/>
  <c r="E23" i="11" s="1"/>
  <c r="D10" i="4"/>
  <c r="C10" i="11" s="1"/>
  <c r="C23" i="11"/>
  <c r="C5" i="11"/>
  <c r="C7" i="11"/>
  <c r="D28" i="3"/>
  <c r="D30" i="3" s="1"/>
  <c r="C6" i="11"/>
  <c r="D26" i="5"/>
  <c r="D27" i="5" s="1"/>
  <c r="E27" i="11" s="1"/>
  <c r="E8" i="11"/>
  <c r="E10" i="11"/>
  <c r="E15" i="11"/>
  <c r="D9" i="5"/>
  <c r="D21" i="5"/>
  <c r="C12" i="11"/>
  <c r="G7" i="3"/>
  <c r="F14" i="1"/>
  <c r="E22" i="11" l="1"/>
  <c r="D11" i="4"/>
  <c r="C11" i="11" s="1"/>
  <c r="A28" i="11"/>
  <c r="D24" i="5"/>
  <c r="E24" i="11" s="1"/>
  <c r="E9" i="11"/>
  <c r="D20" i="3"/>
  <c r="A20" i="11" s="1"/>
  <c r="E21" i="11"/>
  <c r="D22" i="4"/>
  <c r="D29" i="5"/>
  <c r="E29" i="11" s="1"/>
  <c r="E26" i="11"/>
  <c r="D28" i="5"/>
  <c r="E28" i="11" s="1"/>
  <c r="A30" i="11"/>
  <c r="D31" i="3"/>
  <c r="D25" i="5" l="1"/>
  <c r="E25" i="11" s="1"/>
  <c r="C22" i="11"/>
  <c r="D36" i="4"/>
  <c r="H11" i="2"/>
  <c r="A31" i="11"/>
  <c r="D32" i="3"/>
  <c r="D30" i="5" l="1"/>
  <c r="E30" i="11" s="1"/>
  <c r="D13" i="5"/>
  <c r="E13" i="11" s="1"/>
  <c r="C36" i="11"/>
  <c r="D37" i="4"/>
  <c r="F12" i="2"/>
  <c r="F13" i="1"/>
  <c r="A32" i="11"/>
  <c r="D17" i="3"/>
  <c r="F8" i="1"/>
  <c r="D14" i="5" l="1"/>
  <c r="E14" i="11" s="1"/>
  <c r="D21" i="3"/>
  <c r="A21" i="11" s="1"/>
  <c r="C37" i="11"/>
  <c r="D38" i="4"/>
  <c r="D19" i="3"/>
  <c r="A17" i="11"/>
  <c r="C38" i="11" l="1"/>
  <c r="D24" i="3"/>
  <c r="A24" i="11" s="1"/>
  <c r="F7" i="1"/>
  <c r="A19" i="11"/>
  <c r="D23" i="3"/>
  <c r="A23" i="11" l="1"/>
  <c r="G5" i="3"/>
  <c r="D25" i="3"/>
  <c r="G6" i="3" l="1"/>
  <c r="F6" i="1"/>
  <c r="A25" i="11"/>
  <c r="D5" i="3"/>
  <c r="A5" i="11" l="1"/>
  <c r="G8" i="3"/>
  <c r="G9" i="3" s="1"/>
  <c r="G10" i="3" s="1"/>
  <c r="D6" i="3" s="1"/>
  <c r="D9" i="3"/>
  <c r="A9" i="11" s="1"/>
  <c r="A6" i="11" l="1"/>
  <c r="D10" i="3"/>
  <c r="A10" i="11" s="1"/>
  <c r="D7" i="3"/>
  <c r="A7" i="11" l="1"/>
  <c r="D11" i="3"/>
  <c r="D8" i="3"/>
  <c r="A8" i="11" s="1"/>
  <c r="A11" i="11" l="1"/>
  <c r="D12" i="3"/>
  <c r="F5" i="1" l="1"/>
  <c r="A12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jplawdb4</author>
  </authors>
  <commentList>
    <comment ref="D8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法人税法67条7項・国税通則法10条に従い、応当日がない月は月末を満了日とし、1月未満の端数を1月に切り上げます。</t>
        </r>
      </text>
    </comment>
    <comment ref="D15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別表四「52の②」
別表四の留保所得金額又は欠損金額を符号付きで転記（欠損は負数可）</t>
        </r>
      </text>
    </comment>
    <comment ref="D16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別表十(七)「15」
該当がなければ0</t>
        </r>
      </text>
    </comment>
    <comment ref="D17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別表四「17」
当期留保金額で主表9から減算</t>
        </r>
      </text>
    </comment>
    <comment ref="D18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前期の別表三(一)「11」</t>
        </r>
      </text>
    </comment>
    <comment ref="D19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法人税法67条4項</t>
        </r>
      </text>
    </comment>
    <comment ref="D20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別表一「2」</t>
        </r>
      </text>
    </comment>
    <comment ref="D21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別表一「3」</t>
        </r>
      </text>
    </comment>
    <comment ref="D22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別表一「4」</t>
        </r>
      </text>
    </comment>
    <comment ref="D23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別表一「6」</t>
        </r>
      </text>
    </comment>
    <comment ref="D24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別表一「9の外書」</t>
        </r>
      </text>
    </comment>
    <comment ref="D25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別表一「11」</t>
        </r>
      </text>
    </comment>
    <comment ref="D26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別表一「17」</t>
        </r>
      </text>
    </comment>
    <comment ref="D27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別表一「18」</t>
        </r>
      </text>
    </comment>
    <comment ref="D28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別表一「31」</t>
        </r>
      </text>
    </comment>
    <comment ref="D29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別表一「32」</t>
        </r>
      </text>
    </comment>
    <comment ref="D30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別表一「36」</t>
        </r>
      </text>
    </comment>
    <comment ref="D31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別表一「65」</t>
        </r>
      </text>
    </comment>
    <comment ref="D32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別表六(五の二)「5の③」</t>
        </r>
      </text>
    </comment>
    <comment ref="D33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別表六(六)9②＋9④～⑦＋9⑮～⑰＋9㉗～㉙</t>
        </r>
      </text>
    </comment>
    <comment ref="D34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別表六(六)3＋9②～⑦＋9⑩～⑬＋9⑮～㉒＋9㉗～㉙</t>
        </r>
      </text>
    </comment>
    <comment ref="D35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別表六(九)付表32・37＋別表六(十二)付表二19・24</t>
        </r>
      </text>
    </comment>
    <comment ref="D36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別表六(九)付表32・37</t>
        </r>
      </text>
    </comment>
    <comment ref="D37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別表十七(三の六)「1」</t>
        </r>
      </text>
    </comment>
    <comment ref="D38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法人税法施行令139条の10第1項
損金算入される額のみ</t>
        </r>
      </text>
    </comment>
    <comment ref="D39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別表六(二)付表六「7の計」</t>
        </r>
      </text>
    </comment>
    <comment ref="D43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期末資本金又は出資金</t>
        </r>
      </text>
    </comment>
    <comment ref="D44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別表五(一)の該当欄
利益積立金額がマイナスの場合は負数可</t>
        </r>
      </text>
    </comment>
    <comment ref="D45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適格合併等</t>
        </r>
      </text>
    </comment>
    <comment ref="D46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適格分割型分割等</t>
        </r>
      </text>
    </comment>
    <comment ref="D47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別表四「52の①」
別表四の所得金額又は欠損金額を符号付きで転記（欠損は負数可）</t>
        </r>
      </text>
    </comment>
    <comment ref="D48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別表四「38」
譲渡損失額はマイナス入力可</t>
        </r>
      </text>
    </comment>
    <comment ref="D49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別表八(一)「5」から通算法人間配当等を除いた額</t>
        </r>
      </text>
    </comment>
    <comment ref="D50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別表八(二)「26」＋別表十七(三の七)「27の計」</t>
        </r>
      </text>
    </comment>
    <comment ref="D51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別表四「16」</t>
        </r>
      </text>
    </comment>
    <comment ref="D52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別表四「19」＋別表四付表「7」</t>
        </r>
      </text>
    </comment>
    <comment ref="D53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別表七の当該年版様式列挙額</t>
        </r>
      </text>
    </comment>
    <comment ref="D54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別表四「37」</t>
        </r>
      </text>
    </comment>
    <comment ref="D55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別表八(三)「13」の合計額</t>
        </r>
      </text>
    </comment>
    <comment ref="D56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別表十(三)「43」</t>
        </r>
      </text>
    </comment>
    <comment ref="D57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別表十(四)「20」</t>
        </r>
      </text>
    </comment>
    <comment ref="D58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別表十(四)「21」又は「23」</t>
        </r>
      </text>
    </comment>
    <comment ref="D59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別表十(五)「12」</t>
        </r>
      </text>
    </comment>
    <comment ref="D60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別表十(一)「15」又は別表十(二)「10」</t>
        </r>
      </text>
    </comment>
    <comment ref="D61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別表十(一)「16」又は別表十(二)「11」</t>
        </r>
      </text>
    </comment>
    <comment ref="D62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別表十(六)「22+37+42+47+52」</t>
        </r>
      </text>
    </comment>
    <comment ref="D63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別表十(七)「12」</t>
        </r>
      </text>
    </comment>
    <comment ref="D64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別表十(七)「18」＋「20」</t>
        </r>
      </text>
    </comment>
    <comment ref="D65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別表十(八)「22」</t>
        </r>
      </text>
    </comment>
    <comment ref="D66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別表十七(二の三)「10」</t>
        </r>
      </text>
    </comment>
    <comment ref="D67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別表十七の当該年版様式列挙額</t>
        </r>
      </text>
    </comment>
    <comment ref="D71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別表四付表「3」</t>
        </r>
      </text>
    </comment>
    <comment ref="D72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別表七の二「11」</t>
        </r>
      </text>
    </comment>
    <comment ref="D73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施行令139条の8関係・入力値</t>
        </r>
      </text>
    </comment>
    <comment ref="D74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施行令139条の8関係・入力値</t>
        </r>
      </text>
    </comment>
    <comment ref="D75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別表四付表「8」</t>
        </r>
      </text>
    </comment>
    <comment ref="D76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別表七の二「5」</t>
        </r>
      </text>
    </comment>
    <comment ref="D77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法人税法施行令139条の8第1項</t>
        </r>
      </text>
    </comment>
    <comment ref="D78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別表四付表「9」</t>
        </r>
      </text>
    </comment>
    <comment ref="D79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別表七(二)付表一「23の計」</t>
        </r>
      </text>
    </comment>
    <comment ref="D80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別表八(一)付表「24」</t>
        </r>
      </text>
    </comment>
    <comment ref="D81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別表十八(一)「5の計」
計算欄では(20)を控除</t>
        </r>
      </text>
    </comment>
    <comment ref="D82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別表十八(一)「6の計」
計算欄では(22)を控除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jplawdb4</author>
  </authors>
  <commentList>
    <comment ref="G10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法人税基本通達16-1-8(2)の短期事業年度における1億円相当額の端数判定。</t>
        </r>
      </text>
    </comment>
  </commentList>
</comments>
</file>

<file path=xl/sharedStrings.xml><?xml version="1.0" encoding="utf-8"?>
<sst xmlns="http://schemas.openxmlformats.org/spreadsheetml/2006/main" count="673" uniqueCount="486">
  <si>
    <t>特定同族会社の留保金課税 - 入力（令和7年版）</t>
  </si>
  <si>
    <t>黄色セルだけを入力してください。青色セルと国税庁様式帳票は自動計算・自動転記です。</t>
  </si>
  <si>
    <t>法人名</t>
  </si>
  <si>
    <t>事業年度開始日</t>
  </si>
  <si>
    <t>事業年度終了日</t>
  </si>
  <si>
    <t>事業年度月数（自動）</t>
  </si>
  <si>
    <t>中小企業者等該当性（住民税計算用）</t>
  </si>
  <si>
    <t>通算法人</t>
  </si>
  <si>
    <t>別表二の判定結果：特定同族会社</t>
  </si>
  <si>
    <t>基本情報</t>
    <phoneticPr fontId="2"/>
  </si>
  <si>
    <t>年度版チェック</t>
  </si>
  <si>
    <t>事業年度が対象範囲内</t>
  </si>
  <si>
    <t>住民税率</t>
  </si>
  <si>
    <t>特定寄附金控除率</t>
  </si>
  <si>
    <t>令和7年4月1日から令和8年3月31日までに終了する事業年度の年次版</t>
  </si>
  <si>
    <t>別表三(一)・住民税額計算の入力</t>
  </si>
  <si>
    <t>入力ID</t>
  </si>
  <si>
    <t>転記元</t>
  </si>
  <si>
    <t>内容</t>
  </si>
  <si>
    <t>入力額</t>
  </si>
  <si>
    <t>備考</t>
  </si>
  <si>
    <t>m9_base</t>
  </si>
  <si>
    <t>別表四「52の②」</t>
  </si>
  <si>
    <t>留保所得金額（主表9）の基礎額</t>
  </si>
  <si>
    <t>別表四の留保所得金額又は欠損金額を符号付きで転記（欠損は負数可）</t>
  </si>
  <si>
    <t>m9_extra</t>
  </si>
  <si>
    <t>別表十(七)「15」</t>
  </si>
  <si>
    <t>留保所得金額（主表9）に含める記載要領上の追加額</t>
  </si>
  <si>
    <t>該当がなければ0</t>
  </si>
  <si>
    <t>m9_inner</t>
  </si>
  <si>
    <t>別表四「17」</t>
  </si>
  <si>
    <t>留保所得金額（主表9）の内書額</t>
  </si>
  <si>
    <t>当期留保金額で主表9から減算</t>
  </si>
  <si>
    <t>prev_div</t>
  </si>
  <si>
    <t>前期の別表三(一)「11」</t>
  </si>
  <si>
    <t>前期末配当等の額</t>
  </si>
  <si>
    <t>curr_div</t>
  </si>
  <si>
    <t>法人税法67条4項</t>
  </si>
  <si>
    <t>当期末配当等の額</t>
  </si>
  <si>
    <t>b1_2</t>
  </si>
  <si>
    <t>別表一「2」</t>
  </si>
  <si>
    <t>主表12・住民税計算用：別表一「2」</t>
  </si>
  <si>
    <t>b1_3</t>
  </si>
  <si>
    <t>別表一「3」</t>
  </si>
  <si>
    <t>主表12・住民税計算用：別表一「3」</t>
  </si>
  <si>
    <t>b1_4</t>
  </si>
  <si>
    <t>別表一「4」</t>
  </si>
  <si>
    <t>主表12・住民税計算用：別表一「4」</t>
  </si>
  <si>
    <t>b1_6</t>
  </si>
  <si>
    <t>別表一「6」</t>
  </si>
  <si>
    <t>主表12・住民税計算用：別表一「6」</t>
  </si>
  <si>
    <t>b1_9out</t>
  </si>
  <si>
    <t>別表一「9の外書」</t>
  </si>
  <si>
    <t>主表12・住民税計算用：別表一「9の外書」</t>
  </si>
  <si>
    <t>b1_11</t>
  </si>
  <si>
    <t>別表一「11」</t>
  </si>
  <si>
    <t>主表12・住民税計算用：別表一「11」</t>
  </si>
  <si>
    <t>b1_17</t>
  </si>
  <si>
    <t>別表一「17」</t>
  </si>
  <si>
    <t>主表12・住民税計算用：別表一「17」</t>
  </si>
  <si>
    <t>b1_18</t>
  </si>
  <si>
    <t>別表一「18」</t>
  </si>
  <si>
    <t>主表12・住民税計算用：別表一「18」</t>
  </si>
  <si>
    <t>b1_31</t>
  </si>
  <si>
    <t>別表一「31」</t>
  </si>
  <si>
    <t>主表12の地方法人税計算用：別表一「31」</t>
  </si>
  <si>
    <t>b1_32</t>
  </si>
  <si>
    <t>別表一「32」</t>
  </si>
  <si>
    <t>主表12の地方法人税計算用：別表一「32」</t>
  </si>
  <si>
    <t>b1_36</t>
  </si>
  <si>
    <t>別表一「36」</t>
  </si>
  <si>
    <t>主表12の地方法人税計算用：別表一「36」</t>
  </si>
  <si>
    <t>b1_65</t>
  </si>
  <si>
    <t>別表一「65」</t>
  </si>
  <si>
    <t>主表12の地方法人税計算用：別表一「65」</t>
  </si>
  <si>
    <t>b6_5_2_5_3</t>
  </si>
  <si>
    <t>別表六(五の二)「5の③」</t>
  </si>
  <si>
    <t>主表12の分配時調整外国税相当額</t>
  </si>
  <si>
    <t>m22_credits</t>
  </si>
  <si>
    <t>別表六(六)9②＋9④～⑦＋9⑮～⑰＋9㉗～㉙</t>
  </si>
  <si>
    <t>主表22で差し引く税額控除等の合計</t>
  </si>
  <si>
    <t>m23_credits</t>
  </si>
  <si>
    <t>別表六(六)3＋9②～⑦＋9⑩～⑬＋9⑮～㉒＋9㉗～㉙</t>
  </si>
  <si>
    <t>主表23で差し引く税額控除等の合計</t>
  </si>
  <si>
    <t>m22_b1_4_adjust</t>
  </si>
  <si>
    <t>別表六(九)付表32・37＋別表六(十二)付表二19・24</t>
  </si>
  <si>
    <t>主表22で別表一4から控除する記載要領上の調整額</t>
  </si>
  <si>
    <t>m23_b1_4_adjust</t>
  </si>
  <si>
    <t>別表六(九)付表32・37</t>
  </si>
  <si>
    <t>主表23で別表一4から控除する記載要領上の調整額</t>
  </si>
  <si>
    <t>m14_foreign</t>
  </si>
  <si>
    <t>別表十七(三の六)「1」</t>
  </si>
  <si>
    <t>主表14：外国関係会社等に係る控除対象所得税額等相当額</t>
  </si>
  <si>
    <t>specific_donation_total</t>
  </si>
  <si>
    <t>法人税法施行令139条の10第1項</t>
  </si>
  <si>
    <t>主表の特定寄附金控除額の基礎となる合計額</t>
  </si>
  <si>
    <t>損金算入される額のみ</t>
  </si>
  <si>
    <t>adjust_local_credit</t>
  </si>
  <si>
    <t>別表六(二)付表六「7の計」</t>
  </si>
  <si>
    <t>調整地方税額に係る控除額で差し引く額</t>
  </si>
  <si>
    <t>留保控除額（付表・付表一）の入力</t>
  </si>
  <si>
    <t>f1_capital</t>
  </si>
  <si>
    <t>期末資本金又は出資金</t>
  </si>
  <si>
    <t>付表1欄：期末資本金の額又は出資金の額</t>
  </si>
  <si>
    <t>f1_opening_profit</t>
  </si>
  <si>
    <t>別表五(一)の該当欄</t>
  </si>
  <si>
    <t>期首利益積立金額の基礎額（主表10控除前）</t>
  </si>
  <si>
    <t>利益積立金額がマイナスの場合は負数可</t>
  </si>
  <si>
    <t>f1_merger_inc</t>
  </si>
  <si>
    <t>適格合併等</t>
  </si>
  <si>
    <t>適格合併等により増加した利益積立金額</t>
  </si>
  <si>
    <t>f1_split_dec</t>
  </si>
  <si>
    <t>適格分割型分割等</t>
  </si>
  <si>
    <t>適格分割型分割等により減少した利益積立金額</t>
  </si>
  <si>
    <t>f1_09</t>
  </si>
  <si>
    <t>別表四「52の①」</t>
  </si>
  <si>
    <t>付表の9欄：所得金額</t>
  </si>
  <si>
    <t>別表四の所得金額又は欠損金額を符号付きで転記（欠損は負数可）</t>
  </si>
  <si>
    <t>f1_10</t>
  </si>
  <si>
    <t>別表四「38」</t>
  </si>
  <si>
    <t>付表の10欄：非適格合併による移転資産等の譲渡利益額又は譲渡損失額</t>
  </si>
  <si>
    <t>譲渡損失額はマイナス入力可</t>
  </si>
  <si>
    <t>f1_11</t>
  </si>
  <si>
    <t>別表八(一)「5」から通算法人間配当等を除いた額</t>
  </si>
  <si>
    <t>付表の11欄：受取配当等の益金不算入額</t>
  </si>
  <si>
    <t>f1_12</t>
  </si>
  <si>
    <t>別表八(二)「26」＋別表十七(三の七)「27の計」</t>
  </si>
  <si>
    <t>付表の12欄：外国子会社等から受ける剰余金の配当等の益金不算入額</t>
  </si>
  <si>
    <t>f1_13</t>
  </si>
  <si>
    <t>別表四「16」</t>
  </si>
  <si>
    <t>付表の13欄：受贈益の益金不算入額</t>
  </si>
  <si>
    <t>f1_14</t>
  </si>
  <si>
    <t>別表四「19」＋別表四付表「7」</t>
  </si>
  <si>
    <t>付表の14欄：法人税額の還付金等</t>
  </si>
  <si>
    <t>f1_15</t>
  </si>
  <si>
    <t>別表七の当該年版様式列挙額</t>
  </si>
  <si>
    <t>付表の15欄：欠損金等の当期控除額</t>
  </si>
  <si>
    <t>f1_16</t>
  </si>
  <si>
    <t>別表四「37」</t>
  </si>
  <si>
    <t>付表の16欄：災害損失欠損金額の益金算入額</t>
  </si>
  <si>
    <t>f1_19</t>
  </si>
  <si>
    <t>別表八(三)「13」の合計額</t>
  </si>
  <si>
    <t>付表の19欄：他法人株式等の帳簿価額から減算される金額</t>
  </si>
  <si>
    <t>f1_20</t>
  </si>
  <si>
    <t>別表十(三)「43」</t>
  </si>
  <si>
    <t>付表の20欄：新鉱床探鉱費又は海外新鉱床探鉱費の特別控除額</t>
  </si>
  <si>
    <t>f1_21</t>
  </si>
  <si>
    <t>別表十(四)「20」</t>
  </si>
  <si>
    <t>付表の21欄：日本船舶による収入金額に係る所得の損金算入額</t>
  </si>
  <si>
    <t>f1_22</t>
  </si>
  <si>
    <t>別表十(四)「21」又は「23」</t>
  </si>
  <si>
    <t>付表の22欄：日本船舶による収入金額に係る所得の益金算入額</t>
  </si>
  <si>
    <t>f1_23</t>
  </si>
  <si>
    <t>別表十(五)「12」</t>
  </si>
  <si>
    <t>付表の23欄：特許権等の譲渡等による所得の特別控除額</t>
  </si>
  <si>
    <t>f1_24</t>
  </si>
  <si>
    <t>別表十(一)「15」又は別表十(二)「10」</t>
  </si>
  <si>
    <t>付表の24欄：沖縄認定法人・国家戦略特区指定法人の所得特別控除額</t>
  </si>
  <si>
    <t>f1_25</t>
  </si>
  <si>
    <t>別表十(一)「16」又は別表十(二)「11」</t>
  </si>
  <si>
    <t>付表の25欄：沖縄認定法人・国家戦略特区指定法人の要加算調整額</t>
  </si>
  <si>
    <t>f1_26</t>
  </si>
  <si>
    <t>別表十(六)「22+37+42+47+52」</t>
  </si>
  <si>
    <t>付表の26欄：収用等の場合等の所得の特別控除額</t>
  </si>
  <si>
    <t>f1_27</t>
  </si>
  <si>
    <t>別表十(七)「12」</t>
  </si>
  <si>
    <t>付表の27欄：特別新事業開拓事業者株式の特別勘定繰入額</t>
  </si>
  <si>
    <t>f1_28</t>
  </si>
  <si>
    <t>別表十(七)「18」＋「20」</t>
  </si>
  <si>
    <t>付表の28欄：特別新事業開拓事業者株式の特別勘定取崩額</t>
  </si>
  <si>
    <t>f1_29</t>
  </si>
  <si>
    <t>別表十(八)「22」</t>
  </si>
  <si>
    <t>付表の29欄：肉用牛の売却に係る所得の特別控除額</t>
  </si>
  <si>
    <t>f1_30</t>
  </si>
  <si>
    <t>別表十七(二の三)「10」</t>
  </si>
  <si>
    <t>付表の30欄：超過利子額の損金算入額</t>
  </si>
  <si>
    <t>f1_31</t>
  </si>
  <si>
    <t>別表十七の当該年版様式列挙額</t>
  </si>
  <si>
    <t>付表の31欄：課税対象金額等の益金算入額</t>
  </si>
  <si>
    <t>通算法人調整（付表二）の入力</t>
  </si>
  <si>
    <t>f2_01</t>
  </si>
  <si>
    <t>別表四付表「3」</t>
  </si>
  <si>
    <t>付表二の1欄：他の通算法人に対する通算法人株式の譲渡損失額</t>
  </si>
  <si>
    <t>f2_02</t>
  </si>
  <si>
    <t>別表七の二「11」</t>
  </si>
  <si>
    <t>付表二の2欄：通算対象所得金額の益金算入額</t>
  </si>
  <si>
    <t>f2_03</t>
  </si>
  <si>
    <t>施行令139条の8関係・入力値</t>
  </si>
  <si>
    <t>付表二の3欄：通算外配当等流出額</t>
  </si>
  <si>
    <t>f2_04</t>
  </si>
  <si>
    <t>付表二の4欄：通算内配当等の額</t>
  </si>
  <si>
    <t>f2_06</t>
  </si>
  <si>
    <t>別表四付表「8」</t>
  </si>
  <si>
    <t>付表二の6欄：他の通算法人に対する通算法人株式の譲渡利益額</t>
  </si>
  <si>
    <t>f2_07</t>
  </si>
  <si>
    <t>別表七の二「5」</t>
  </si>
  <si>
    <t>付表二の7欄：通算対象欠損金額の損金算入額</t>
  </si>
  <si>
    <t>f2_08</t>
  </si>
  <si>
    <t>法人税法施行令139条の8第1項</t>
  </si>
  <si>
    <t>付表二の8欄：通算法人間配当等の当期受取額</t>
  </si>
  <si>
    <t>f2_12</t>
  </si>
  <si>
    <t>別表四付表「9」</t>
  </si>
  <si>
    <t>付表二の12欄：通算法人の合併等があった場合の欠損金の損金算入額</t>
  </si>
  <si>
    <t>f2_15</t>
  </si>
  <si>
    <t>別表七(二)付表一「23の計」</t>
  </si>
  <si>
    <t>付表二の15欄：当初配賦欠損金控除額の益金算入額</t>
  </si>
  <si>
    <t>f2_16</t>
  </si>
  <si>
    <t>別表八(一)付表「24」</t>
  </si>
  <si>
    <t>付表二の16欄：当初支払利子配賦額の控除不足額の益金算入額</t>
  </si>
  <si>
    <t>f2_21</t>
  </si>
  <si>
    <t>別表十八(一)「5の計」</t>
  </si>
  <si>
    <t>付表二の21欄：他の通算法人の調整通算外配当等流出額の合計額（控除前）</t>
  </si>
  <si>
    <t>計算欄では(20)を控除</t>
  </si>
  <si>
    <t>f2_23</t>
  </si>
  <si>
    <t>別表十八(一)「6の計」</t>
  </si>
  <si>
    <t>付表二の23欄：他の通算法人の純通算内配当等の額の合計額（控除前）</t>
  </si>
  <si>
    <t>計算欄では(22)を控除</t>
  </si>
  <si>
    <t>別表三(一) - 留保金額に対する税額の計算</t>
  </si>
  <si>
    <t>令和7年版 国税庁様式。青色セルは自動計算、黄色セルは入力シートで入力します。</t>
  </si>
  <si>
    <t>番号</t>
  </si>
  <si>
    <t>項目</t>
  </si>
  <si>
    <t>計算式・転記元</t>
  </si>
  <si>
    <t>金額</t>
  </si>
  <si>
    <t>注記</t>
  </si>
  <si>
    <t>年3,000万円相当額以下の金額</t>
  </si>
  <si>
    <t>MIN((21),3,000万円×月数/12)</t>
  </si>
  <si>
    <t>1,000円単位</t>
  </si>
  <si>
    <t>年3,000万円相当額超・年1億円相当額以下</t>
  </si>
  <si>
    <t>基本通達16-1-8(2)の端数判定</t>
  </si>
  <si>
    <t>特殊な切上げ・切捨て</t>
  </si>
  <si>
    <t>年1億円相当額を超える金額</t>
  </si>
  <si>
    <t>(21)-(1)-(2)</t>
  </si>
  <si>
    <t>課税留保金額 計</t>
  </si>
  <si>
    <t>(1)+(2)+(3)</t>
  </si>
  <si>
    <t>主表(21)と一致</t>
  </si>
  <si>
    <t>(1)の10％相当額</t>
  </si>
  <si>
    <t>(1)×10％</t>
  </si>
  <si>
    <t/>
  </si>
  <si>
    <t>(2)の15％相当額</t>
  </si>
  <si>
    <t>(2)×15％</t>
  </si>
  <si>
    <t>(3)の20％相当額</t>
  </si>
  <si>
    <t>(3)×20％</t>
  </si>
  <si>
    <t>留保金額に対する税額 計</t>
  </si>
  <si>
    <t>(5)+(6)+(7)</t>
  </si>
  <si>
    <t>別表一へ転記</t>
  </si>
  <si>
    <t>留保所得金額</t>
  </si>
  <si>
    <t>別表四52②＋記載要領上の追加額</t>
  </si>
  <si>
    <t>内書額は別入力</t>
  </si>
  <si>
    <t>前期の主表11</t>
  </si>
  <si>
    <t>法人税額及び地方法人税額の合計額</t>
  </si>
  <si>
    <t>R7公式様式算式</t>
  </si>
  <si>
    <t>マイナスは0</t>
  </si>
  <si>
    <t>住民税額</t>
  </si>
  <si>
    <t>主表28</t>
  </si>
  <si>
    <t>外国関係会社等に係る控除対象所得税額等相当額</t>
  </si>
  <si>
    <t>法人税額等の合計額</t>
  </si>
  <si>
    <t>MAX((12)+(13)-(14),0)</t>
  </si>
  <si>
    <t>通算法人の留保金加算額</t>
  </si>
  <si>
    <t>付表二5</t>
  </si>
  <si>
    <t>通算法人の留保金控除額</t>
  </si>
  <si>
    <t>付表二10</t>
  </si>
  <si>
    <t>他法人株式等の帳簿価額から減算される金額</t>
  </si>
  <si>
    <t>付表一19</t>
  </si>
  <si>
    <t>当期留保金額</t>
  </si>
  <si>
    <t>(9)-9内書+(10)-(11)-(15)+(16)-(17)-(18)</t>
  </si>
  <si>
    <t>留保控除額</t>
  </si>
  <si>
    <t>付表34</t>
  </si>
  <si>
    <t>課税留保金額</t>
  </si>
  <si>
    <t>MAX((19)-(20),0)、1,000円未満切捨て</t>
  </si>
  <si>
    <t>基本通達16-1-8(1)</t>
  </si>
  <si>
    <t>住民税計算の基礎となる法人税額（中小企業者等以外）</t>
  </si>
  <si>
    <t>R7様式列挙額</t>
  </si>
  <si>
    <t>住民税計算の基礎となる法人税額（中小企業者等）</t>
  </si>
  <si>
    <t>選択した(22)又は(23)×適用率</t>
  </si>
  <si>
    <t>特定寄附金の額の合計額に係る控除額</t>
  </si>
  <si>
    <t>特定寄附金合計×適用率</t>
  </si>
  <si>
    <t>調整地方税額に係る控除額</t>
  </si>
  <si>
    <t>((24)+(別表一11+17)×10.4％－付表六7計×10.4％)×20％</t>
  </si>
  <si>
    <t>住民税額から控除される金額</t>
  </si>
  <si>
    <t>(25)又は(26)の少ない金額</t>
  </si>
  <si>
    <t>(24)-(27)</t>
  </si>
  <si>
    <t>主表13へ</t>
  </si>
  <si>
    <t>別表三(一)付表一 - 留保控除額の計算</t>
  </si>
  <si>
    <t>期末資本金の額又は出資金の額</t>
  </si>
  <si>
    <t>入力値</t>
  </si>
  <si>
    <t>同上の25％相当額</t>
  </si>
  <si>
    <t>(1)×25％</t>
  </si>
  <si>
    <t>1円未満切捨て</t>
  </si>
  <si>
    <t>期首利益積立金額</t>
  </si>
  <si>
    <t>別表五(一)該当欄－主表(10)</t>
  </si>
  <si>
    <t>期末利益積立金額</t>
  </si>
  <si>
    <t>(3)+(4)-(5)</t>
  </si>
  <si>
    <t>積立金基準額</t>
  </si>
  <si>
    <t>MAX((2)-(6),0)</t>
  </si>
  <si>
    <t>負数は0。期末利益積立金額が負ならその正数分だけ増加</t>
  </si>
  <si>
    <t>定額基準額</t>
  </si>
  <si>
    <t>2,000万円×当期月数/12</t>
  </si>
  <si>
    <t>所得金額</t>
  </si>
  <si>
    <t>非適格合併による移転資産等の譲渡利益額又は譲渡損失額</t>
  </si>
  <si>
    <t>受取配当等の益金不算入額</t>
  </si>
  <si>
    <t>外国子会社等から受ける剰余金の配当等の益金不算入額</t>
  </si>
  <si>
    <t>受贈益の益金不算入額</t>
  </si>
  <si>
    <t>法人税額の還付金等</t>
  </si>
  <si>
    <t>欠損金等の当期控除額</t>
  </si>
  <si>
    <t>災害損失欠損金額の益金算入額</t>
  </si>
  <si>
    <t>通算法人の所得基準額加算額</t>
  </si>
  <si>
    <t>付表二(13)</t>
  </si>
  <si>
    <t>通算法人の所得基準額控除額</t>
  </si>
  <si>
    <t>付表二(17)</t>
  </si>
  <si>
    <t>新鉱床探鉱費又は海外新鉱床探鉱費の特別控除額</t>
  </si>
  <si>
    <t>日本船舶による収入金額に係る所得の損金算入額</t>
  </si>
  <si>
    <t>日本船舶による収入金額に係る所得の益金算入額</t>
  </si>
  <si>
    <t>特許権等の譲渡等による所得の特別控除額</t>
  </si>
  <si>
    <t>沖縄認定法人・国家戦略特区指定法人の所得特別控除額</t>
  </si>
  <si>
    <t>沖縄認定法人・国家戦略特区指定法人の要加算調整額</t>
  </si>
  <si>
    <t>収用等の場合等の所得の特別控除額</t>
  </si>
  <si>
    <t>特別新事業開拓事業者株式の特別勘定繰入額</t>
  </si>
  <si>
    <t>特別新事業開拓事業者株式の特別勘定取崩額</t>
  </si>
  <si>
    <t>肉用牛の売却に係る所得の特別控除額</t>
  </si>
  <si>
    <t>超過利子額の損金算入額</t>
  </si>
  <si>
    <t>課税対象金額等の益金算入額</t>
  </si>
  <si>
    <t>所得等の金額</t>
  </si>
  <si>
    <t>(9)-(10)+(11)+(12)+(13)+(14)+(15)-(16)+(17)-(18)-(19)+(20)+(21)-(22)+(23)+(24)-(25)+(26)+(27)-(28)+(29)+(30)-(31)</t>
  </si>
  <si>
    <t>所得基準額</t>
  </si>
  <si>
    <t>(32)×40％</t>
  </si>
  <si>
    <t>(7)、(8)、(33)のいずれか多い金額</t>
  </si>
  <si>
    <t>主表20へ</t>
  </si>
  <si>
    <t>別表三(一)付表二 - 通算法人調整</t>
  </si>
  <si>
    <t>他の通算法人に対する通算法人株式の譲渡損失額</t>
  </si>
  <si>
    <t>通算対象所得金額の益金算入額</t>
  </si>
  <si>
    <t>通算外配当等流出額</t>
  </si>
  <si>
    <t>通算内配当等の額</t>
  </si>
  <si>
    <t>(1)+(2)+(3)+(4)</t>
  </si>
  <si>
    <t>主表16へ</t>
  </si>
  <si>
    <t>他の通算法人に対する通算法人株式の譲渡利益額</t>
  </si>
  <si>
    <t>通算対象欠損金額の損金算入額</t>
  </si>
  <si>
    <t>通算法人間配当等の当期受取額</t>
  </si>
  <si>
    <t>通算外配当等流出配賦額</t>
  </si>
  <si>
    <t>付表二(26)</t>
  </si>
  <si>
    <t>(6)+(7)+(8)+(9)</t>
  </si>
  <si>
    <t>主表17へ</t>
  </si>
  <si>
    <t>所得基準額加算</t>
  </si>
  <si>
    <t>通算法人の合併等があった場合の欠損金の損金算入額</t>
  </si>
  <si>
    <t>(11)+(12)</t>
  </si>
  <si>
    <t>付表一へ</t>
  </si>
  <si>
    <t>所得基準額控除</t>
  </si>
  <si>
    <t>当初配賦欠損金控除額の益金算入額</t>
  </si>
  <si>
    <t>当初支払利子配賦額の控除不足額の益金算入額</t>
  </si>
  <si>
    <t>(14)+(15)+(16)</t>
  </si>
  <si>
    <t>通算内配当等の額の当期受取額</t>
  </si>
  <si>
    <t>付表二(8)と同額</t>
  </si>
  <si>
    <t>通算内配当等受取超過額</t>
  </si>
  <si>
    <t>MAX((18)-(4),0)</t>
  </si>
  <si>
    <t>調整通算外配当等流出額</t>
  </si>
  <si>
    <t>(3)と(19)の少ない金額</t>
  </si>
  <si>
    <t>他の通算法人の調整通算外配当等流出額の合計額（控除前）</t>
  </si>
  <si>
    <t>純通算内配当等の額</t>
  </si>
  <si>
    <t>MAX((4)-(18),0)</t>
  </si>
  <si>
    <t>他の通算法人の純通算内配当等の額の合計額（控除前）</t>
  </si>
  <si>
    <t>純通算内配当等の割合</t>
  </si>
  <si>
    <t>(22)/((22)+(23))</t>
  </si>
  <si>
    <t>分母0は0</t>
  </si>
  <si>
    <t>通算外配当等流出超過額</t>
  </si>
  <si>
    <t>MAX((3)-(19),0)</t>
  </si>
  <si>
    <t>((20)+(21))×(24)+(25)</t>
  </si>
  <si>
    <t>割合を分数のまま計算し1円未満切捨て</t>
  </si>
  <si>
    <t>端数処理ヘルパー</t>
  </si>
  <si>
    <t>値</t>
  </si>
  <si>
    <t>課税留保金額（切捨前）</t>
  </si>
  <si>
    <t>主表(21)で切り捨てた端数</t>
  </si>
  <si>
    <t>年1億円相当額（生額）</t>
  </si>
  <si>
    <t>主表(2)の丸め前金額</t>
  </si>
  <si>
    <t>主表(2)の1,000円未満端数</t>
  </si>
  <si>
    <t>主表(2)の丸め後金額</t>
  </si>
  <si>
    <t>付表二21・23欄／割合の整合性</t>
  </si>
  <si>
    <t>特定同族会社の留保金課税 計算シート（令和7年版）</t>
  </si>
  <si>
    <t>令和7年4月1日から令和8年3月31日までに終了する事業年度の年次版／国税庁の当該年公式別表を背景として再現</t>
  </si>
  <si>
    <t>最終結果</t>
  </si>
  <si>
    <t>留保金額に対する税額（別表三(一)「8」）</t>
  </si>
  <si>
    <t>課税留保金額（同「21」）</t>
  </si>
  <si>
    <t>留保控除額（別表三(一)付表一「34」）</t>
  </si>
  <si>
    <t>住民税額（別表三(一)「28」）</t>
  </si>
  <si>
    <t>適用・入力チェック</t>
  </si>
  <si>
    <t>年度版の適用期間</t>
  </si>
  <si>
    <t>特定同族会社の判定</t>
  </si>
  <si>
    <t>通算法人付表二</t>
  </si>
  <si>
    <t>事業年度月数</t>
  </si>
  <si>
    <t>操作手順</t>
  </si>
  <si>
    <t>1. 「入力」シートの黄色セルへ、各別表から円単位で入力します。負数を許容する4項目は備考・コメントに明記しています。</t>
  </si>
  <si>
    <t>2. 青色の計算シートで主表・付表の算式と転記元を確認します。</t>
  </si>
  <si>
    <t>3. 緑色タブの国税庁様式に自動転記された金額を確認し、申告用データと突合します。</t>
  </si>
  <si>
    <t>4. このブックは計算補助です。提出前に最新の法令・記載要領・電子申告仕様を必ず確認してください。</t>
  </si>
  <si>
    <t>シート移動</t>
  </si>
  <si>
    <t>入力</t>
  </si>
  <si>
    <t>主表計算</t>
  </si>
  <si>
    <t>付表一_計算</t>
  </si>
  <si>
    <t>付表二計算</t>
  </si>
  <si>
    <t>公式様式</t>
  </si>
  <si>
    <t>検算</t>
  </si>
  <si>
    <t>根拠・出典</t>
  </si>
  <si>
    <t>令和7年版 根拠・出典・ファイル同一性</t>
  </si>
  <si>
    <t>種別</t>
  </si>
  <si>
    <t>資料名</t>
  </si>
  <si>
    <t>URL</t>
  </si>
  <si>
    <t>SHA-256</t>
  </si>
  <si>
    <t>用途</t>
  </si>
  <si>
    <t>国税庁</t>
  </si>
  <si>
    <t>令和7年 法人税各種別表一覧</t>
  </si>
  <si>
    <t>https://www.nta.go.jp/taxes/tetsuzuki/shinsei/annai/hojin/shinkoku/itiran2025/01.htm</t>
  </si>
  <si>
    <t>年度版・適用様式の確認</t>
  </si>
  <si>
    <t>別表三(一) 公式様式</t>
  </si>
  <si>
    <t>https://www.nta.go.jp/taxes/tetsuzuki/shinsei/annai/hojin/shinkoku/itiran2025/pdf/03%2801%29.pdf</t>
  </si>
  <si>
    <t>F86C4C9AA8F6279DED500E4989349E8FF8242C0153681278FB8E59185DB5AE3E</t>
  </si>
  <si>
    <t>公式様式・算式・記載要領</t>
  </si>
  <si>
    <t>別表三(一) 記載要領</t>
  </si>
  <si>
    <t>https://www.nta.go.jp/taxes/tetsuzuki/shinsei/annai/hojin/shinkoku/itiran2025/pdf/03%2801%29-ki.pdf</t>
  </si>
  <si>
    <t>BDCA8332B1E35F7D169230306D052673823DAB9AF2A649341FC2A0148B321F50</t>
  </si>
  <si>
    <t>別表三(一)付表（付表一）公式様式</t>
  </si>
  <si>
    <t>https://www.nta.go.jp/taxes/tetsuzuki/shinsei/annai/hojin/shinkoku/itiran2025/pdf/03%2801%29-f1.pdf</t>
  </si>
  <si>
    <t>7FC84AA40EE37AE2CC48FB5C2AEF1076540E80569CFD495E18DDC481791CEDA7</t>
  </si>
  <si>
    <t>別表三(一)付表（付表一）記載要領</t>
  </si>
  <si>
    <t>https://www.nta.go.jp/taxes/tetsuzuki/shinsei/annai/hojin/shinkoku/itiran2025/pdf/03%2801%29-f1-ki.pdf</t>
  </si>
  <si>
    <t>17E541CAEB226460453EB52689BD48F5CFC282DAAD4772DD99248C2BB26B6BA2</t>
  </si>
  <si>
    <t>別表三(一)付表二 公式様式</t>
  </si>
  <si>
    <t>https://www.nta.go.jp/taxes/tetsuzuki/shinsei/annai/hojin/shinkoku/itiran2025/pdf/03%2801%29-f2.pdf</t>
  </si>
  <si>
    <t>365787B23AD7D197BED505382AC7702B15E233E7E2C805B9E05125ECF17D32A6</t>
  </si>
  <si>
    <t>別表三(一)付表二 記載要領</t>
  </si>
  <si>
    <t>https://www.nta.go.jp/taxes/tetsuzuki/shinsei/annai/hojin/shinkoku/itiran2025/pdf/03%2801%29-f2-ki.pdf</t>
  </si>
  <si>
    <t>967E1BB0F5D90793E0748E81ECCC1F0B8B36B3DA0E24E0495BA750EC0ECAE4BA</t>
  </si>
  <si>
    <t>法人税基本通達16-1-8</t>
  </si>
  <si>
    <t>https://www.nta.go.jp/law/tsutatsu/kihon/hojin/16/16_01_02.htm</t>
  </si>
  <si>
    <t>課税留保金額の1,000円端数処理</t>
  </si>
  <si>
    <t>e-Gov</t>
  </si>
  <si>
    <t>法人税法67条</t>
  </si>
  <si>
    <t>https://laws.e-gov.go.jp/law/340AC0000000034#Mp-At_67</t>
  </si>
  <si>
    <t>特定同族会社の特別税率・留保控除</t>
  </si>
  <si>
    <t>国税通則法10条</t>
  </si>
  <si>
    <t>https://laws.e-gov.go.jp/law/337AC0000000066#Mp-At_10</t>
  </si>
  <si>
    <t>暦による月数計算</t>
  </si>
  <si>
    <t>計算</t>
  </si>
  <si>
    <t>端数処理：法人税基本通達16-1-8。月数：法人税法67条7項・国税通則法10条。留保控除：積立金・定額・所得の三基準の最大額。</t>
  </si>
  <si>
    <t>いいえ</t>
    <phoneticPr fontId="2"/>
  </si>
  <si>
    <t>該当</t>
    <phoneticPr fontId="2"/>
  </si>
  <si>
    <t>はい</t>
    <phoneticPr fontId="2"/>
  </si>
  <si>
    <t>令和7年版 組込検算・構造QA</t>
  </si>
  <si>
    <t>テスト</t>
  </si>
  <si>
    <t>期待値</t>
  </si>
  <si>
    <t>実測値</t>
  </si>
  <si>
    <t>結果</t>
  </si>
  <si>
    <t>12か月・3段階税率</t>
  </si>
  <si>
    <t>課税留保180,000,000 / 税額29,500,000</t>
  </si>
  <si>
    <t>180,000,000 / 29,500,000</t>
  </si>
  <si>
    <t>PASS</t>
  </si>
  <si>
    <t>5か月・通達端数切上げ</t>
  </si>
  <si>
    <t>(2)=29,167,000</t>
  </si>
  <si>
    <t>5か月・通達端数切捨て</t>
  </si>
  <si>
    <t>(2)=29,166,000</t>
  </si>
  <si>
    <t>月数・平年月末</t>
  </si>
  <si>
    <t>月数=1</t>
  </si>
  <si>
    <t>月数・閏年月末</t>
  </si>
  <si>
    <t>月数・応当日前日</t>
  </si>
  <si>
    <t>月数・1か月と1日</t>
  </si>
  <si>
    <t>月数=2</t>
  </si>
  <si>
    <t>入力規則・符号分類</t>
  </si>
  <si>
    <t>資本金の負数を拒否／利益積立金の負数を受理</t>
  </si>
  <si>
    <t>資本金拒否=True／利益積立金受理=True</t>
  </si>
  <si>
    <t>R7固定率</t>
  </si>
  <si>
    <t>住民税10.4% / 寄附40%</t>
  </si>
  <si>
    <t>10.4% / 40%</t>
  </si>
  <si>
    <t>付表二21・控除前入力規則</t>
  </si>
  <si>
    <t>49拒否／50受理</t>
  </si>
  <si>
    <t>49拒否=True／50受理=True</t>
  </si>
  <si>
    <t>付表二23・控除前入力規則</t>
  </si>
  <si>
    <t>99拒否／100受理</t>
  </si>
  <si>
    <t>99拒否=True／100受理=True</t>
  </si>
  <si>
    <t>付表二26・分数のまま計算</t>
  </si>
  <si>
    <t>(26)=29,701,000</t>
  </si>
  <si>
    <t>構造検査</t>
  </si>
  <si>
    <t>数式エラー</t>
  </si>
  <si>
    <t>主表行数</t>
  </si>
  <si>
    <t>付表行数</t>
  </si>
  <si>
    <t>付表二行数</t>
  </si>
  <si>
    <t>年度版適用期間</t>
  </si>
  <si>
    <t>動的入力整合性（入力変更時も自動更新）</t>
  </si>
  <si>
    <t>付表二21・23欄の控除前合計額／24欄割合</t>
  </si>
  <si>
    <t>TRUE（割合0～100%）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</si>
</sst>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9" formatCode="yyyy/mm/dd"/>
    <numFmt numFmtId="180" formatCode="[=0]&quot;OK&quot;;[=0]&quot;要確認&quot;"/>
    <numFmt numFmtId="181" formatCode="0.0%"/>
    <numFmt numFmtId="182" formatCode="#,##0;\-#,##0;0"/>
    <numFmt numFmtId="183" formatCode="0.00000000"/>
    <numFmt numFmtId="184" formatCode="#,##0&quot; 円&quot;"/>
  </numFmts>
  <fonts count="15">
    <font>
      <sz val="11"/>
      <color theme="1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9"/>
      <color indexed="81"/>
      <name val="MS P ゴシック"/>
      <family val="3"/>
      <charset val="128"/>
    </font>
    <font>
      <b/>
      <sz val="16"/>
      <color rgb="FFFFFFFF"/>
      <name val="Yu Gothic"/>
      <family val="3"/>
      <charset val="128"/>
    </font>
    <font>
      <sz val="11"/>
      <color theme="1"/>
      <name val="Yu Gothic"/>
      <family val="3"/>
      <charset val="128"/>
    </font>
    <font>
      <sz val="11"/>
      <color rgb="FF595959"/>
      <name val="Yu Gothic"/>
      <family val="3"/>
      <charset val="128"/>
    </font>
    <font>
      <b/>
      <sz val="10"/>
      <color rgb="FFFFFFFF"/>
      <name val="Yu Gothic"/>
      <family val="3"/>
      <charset val="128"/>
    </font>
    <font>
      <b/>
      <sz val="11"/>
      <color rgb="FFFFFFFF"/>
      <name val="Yu Gothic"/>
      <family val="3"/>
      <charset val="128"/>
    </font>
    <font>
      <b/>
      <sz val="11"/>
      <color theme="1"/>
      <name val="Yu Gothic"/>
      <family val="3"/>
      <charset val="128"/>
    </font>
    <font>
      <sz val="11"/>
      <color rgb="FFC00000"/>
      <name val="Yu Gothic"/>
      <family val="3"/>
      <charset val="128"/>
    </font>
    <font>
      <u/>
      <sz val="11"/>
      <color theme="10"/>
      <name val="游ゴシック"/>
      <family val="2"/>
      <charset val="128"/>
      <scheme val="minor"/>
    </font>
    <font>
      <b/>
      <sz val="18"/>
      <color rgb="FFFFFFFF"/>
      <name val="Yu Gothic"/>
      <family val="3"/>
      <charset val="128"/>
    </font>
    <font>
      <u/>
      <sz val="11"/>
      <color rgb="FF2F75B5"/>
      <name val="Yu Gothic"/>
      <family val="3"/>
      <charset val="128"/>
    </font>
    <font>
      <b/>
      <sz val="11"/>
      <color rgb="FF548235"/>
      <name val="Yu Gothic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F4FB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 style="thin">
        <color rgb="FF7F8C8D"/>
      </left>
      <right style="thin">
        <color rgb="FF7F8C8D"/>
      </right>
      <top style="thin">
        <color rgb="FF7F8C8D"/>
      </top>
      <bottom style="thin">
        <color rgb="FF7F8C8D"/>
      </bottom>
      <diagonal/>
    </border>
  </borders>
  <cellStyleXfs count="2">
    <xf numFmtId="0" fontId="0" fillId="0" borderId="0">
      <alignment vertical="center"/>
    </xf>
    <xf numFmtId="0" fontId="11" fillId="0" borderId="0" applyNumberFormat="0" applyFill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0" fontId="0" fillId="0" borderId="1" xfId="0" applyBorder="1" applyAlignment="1">
      <alignment vertical="center"/>
    </xf>
    <xf numFmtId="0" fontId="4" fillId="2" borderId="0" xfId="0" applyFont="1" applyFill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7" fillId="2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180" fontId="5" fillId="0" borderId="1" xfId="0" applyNumberFormat="1" applyFont="1" applyBorder="1" applyAlignment="1">
      <alignment vertical="center"/>
    </xf>
    <xf numFmtId="181" fontId="5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8" fillId="6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1" fontId="5" fillId="4" borderId="1" xfId="0" applyNumberFormat="1" applyFont="1" applyFill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7" fillId="2" borderId="1" xfId="0" applyFont="1" applyFill="1" applyBorder="1" applyAlignment="1">
      <alignment horizontal="right" vertical="center"/>
    </xf>
    <xf numFmtId="0" fontId="8" fillId="6" borderId="1" xfId="0" applyFont="1" applyFill="1" applyBorder="1" applyAlignment="1">
      <alignment horizontal="right" vertical="center"/>
    </xf>
    <xf numFmtId="0" fontId="5" fillId="0" borderId="1" xfId="0" applyFont="1" applyBorder="1" applyAlignment="1">
      <alignment horizontal="right" vertical="center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8" fillId="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vertical="center" wrapText="1"/>
    </xf>
    <xf numFmtId="182" fontId="5" fillId="4" borderId="1" xfId="0" applyNumberFormat="1" applyFont="1" applyFill="1" applyBorder="1" applyAlignment="1">
      <alignment horizontal="right" vertical="center"/>
    </xf>
    <xf numFmtId="0" fontId="1" fillId="5" borderId="1" xfId="0" applyFont="1" applyFill="1" applyBorder="1" applyAlignment="1">
      <alignment vertical="center"/>
    </xf>
    <xf numFmtId="4" fontId="0" fillId="0" borderId="1" xfId="0" applyNumberFormat="1" applyBorder="1" applyAlignment="1">
      <alignment vertical="center"/>
    </xf>
    <xf numFmtId="183" fontId="5" fillId="4" borderId="1" xfId="0" applyNumberFormat="1" applyFont="1" applyFill="1" applyBorder="1" applyAlignment="1">
      <alignment horizontal="right" vertical="center"/>
    </xf>
    <xf numFmtId="182" fontId="9" fillId="7" borderId="1" xfId="0" applyNumberFormat="1" applyFont="1" applyFill="1" applyBorder="1" applyAlignment="1">
      <alignment horizontal="right" vertical="center"/>
    </xf>
    <xf numFmtId="0" fontId="5" fillId="0" borderId="0" xfId="0" applyFont="1" applyAlignment="1">
      <alignment vertical="center" wrapText="1"/>
    </xf>
    <xf numFmtId="0" fontId="9" fillId="4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180" fontId="9" fillId="7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12" fillId="2" borderId="0" xfId="0" applyFont="1" applyFill="1">
      <alignment vertical="center"/>
    </xf>
    <xf numFmtId="0" fontId="9" fillId="8" borderId="0" xfId="0" applyFont="1" applyFill="1">
      <alignment vertical="center"/>
    </xf>
    <xf numFmtId="184" fontId="9" fillId="7" borderId="1" xfId="0" applyNumberFormat="1" applyFont="1" applyFill="1" applyBorder="1" applyAlignment="1">
      <alignment horizontal="right" vertical="center"/>
    </xf>
    <xf numFmtId="0" fontId="5" fillId="0" borderId="1" xfId="0" applyFont="1" applyBorder="1" applyAlignment="1">
      <alignment horizontal="right" vertical="center"/>
    </xf>
    <xf numFmtId="0" fontId="7" fillId="2" borderId="0" xfId="0" applyFont="1" applyFill="1" applyAlignment="1">
      <alignment horizontal="left" vertical="center"/>
    </xf>
    <xf numFmtId="0" fontId="13" fillId="0" borderId="0" xfId="1" applyFont="1">
      <alignment vertical="center"/>
    </xf>
    <xf numFmtId="0" fontId="13" fillId="0" borderId="1" xfId="1" applyFont="1" applyBorder="1" applyAlignment="1">
      <alignment vertical="center" wrapText="1"/>
    </xf>
    <xf numFmtId="0" fontId="4" fillId="2" borderId="0" xfId="0" applyFont="1" applyFill="1" applyAlignment="1">
      <alignment vertical="center" wrapText="1"/>
    </xf>
    <xf numFmtId="0" fontId="5" fillId="0" borderId="0" xfId="0" applyFont="1" applyAlignment="1">
      <alignment vertical="center" wrapText="1"/>
    </xf>
    <xf numFmtId="0" fontId="8" fillId="6" borderId="1" xfId="0" applyFont="1" applyFill="1" applyBorder="1" applyAlignment="1">
      <alignment vertical="center" wrapText="1"/>
    </xf>
    <xf numFmtId="0" fontId="14" fillId="7" borderId="1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82" fontId="5" fillId="3" borderId="1" xfId="0" applyNumberFormat="1" applyFont="1" applyFill="1" applyBorder="1" applyAlignment="1" applyProtection="1">
      <alignment horizontal="right" vertical="center"/>
      <protection locked="0"/>
    </xf>
    <xf numFmtId="49" fontId="5" fillId="3" borderId="1" xfId="0" applyNumberFormat="1" applyFont="1" applyFill="1" applyBorder="1" applyAlignment="1" applyProtection="1">
      <alignment horizontal="right" vertical="center"/>
      <protection locked="0"/>
    </xf>
    <xf numFmtId="179" fontId="5" fillId="3" borderId="1" xfId="0" applyNumberFormat="1" applyFont="1" applyFill="1" applyBorder="1" applyAlignment="1" applyProtection="1">
      <alignment horizontal="right" vertical="center"/>
      <protection locked="0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12</xdr:col>
      <xdr:colOff>3175</xdr:colOff>
      <xdr:row>3</xdr:row>
      <xdr:rowOff>8001</xdr:rowOff>
    </xdr:to>
    <xdr:pic>
      <xdr:nvPicPr>
        <xdr:cNvPr id="3" name="国税庁公式様式_背景">
          <a:extLst>
            <a:ext uri="{FF2B5EF4-FFF2-40B4-BE49-F238E27FC236}">
              <a16:creationId xmlns:a16="http://schemas.microsoft.com/office/drawing/2014/main" id="{A2F7DA64-030E-4958-659F-3CC56230822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958455" cy="11255121"/>
        </a:xfrm>
        <a:prstGeom prst="rect">
          <a:avLst/>
        </a:prstGeom>
      </xdr:spPr>
    </xdr:pic>
    <xdr:clientData/>
  </xdr:twoCellAnchor>
  <xdr:twoCellAnchor editAs="absolute">
    <xdr:from>
      <xdr:col>6</xdr:col>
      <xdr:colOff>405536</xdr:colOff>
      <xdr:row>0</xdr:row>
      <xdr:rowOff>477253</xdr:rowOff>
    </xdr:from>
    <xdr:to>
      <xdr:col>7</xdr:col>
      <xdr:colOff>593496</xdr:colOff>
      <xdr:row>0</xdr:row>
      <xdr:rowOff>870953</xdr:rowOff>
    </xdr:to>
    <xdr:sp macro="" textlink="印字値!$A$2">
      <xdr:nvSpPr>
        <xdr:cNvPr id="4" name="事業年度">
          <a:extLst>
            <a:ext uri="{FF2B5EF4-FFF2-40B4-BE49-F238E27FC236}">
              <a16:creationId xmlns:a16="http://schemas.microsoft.com/office/drawing/2014/main" id="{19B256FD-7C65-C8C1-B144-383D628909B7}"/>
            </a:ext>
          </a:extLst>
        </xdr:cNvPr>
        <xdr:cNvSpPr txBox="1"/>
      </xdr:nvSpPr>
      <xdr:spPr>
        <a:xfrm>
          <a:off x="4383176" y="477253"/>
          <a:ext cx="850900" cy="393700"/>
        </a:xfrm>
        <a:prstGeom prst="rect">
          <a:avLst/>
        </a:prstGeom>
        <a:solidFill>
          <a:srgbClr val="FFFFFF"/>
        </a:solidFill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ctr"/>
          <a:fld id="{D3E666A2-6477-44F8-9DC4-BBC0A9FCF7D4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ctr"/>
            <a:t>2025.4.1
2026.3.31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8</xdr:col>
      <xdr:colOff>403377</xdr:colOff>
      <xdr:row>0</xdr:row>
      <xdr:rowOff>477253</xdr:rowOff>
    </xdr:from>
    <xdr:to>
      <xdr:col>10</xdr:col>
      <xdr:colOff>360197</xdr:colOff>
      <xdr:row>0</xdr:row>
      <xdr:rowOff>870953</xdr:rowOff>
    </xdr:to>
    <xdr:sp macro="" textlink="印字値!$A$1">
      <xdr:nvSpPr>
        <xdr:cNvPr id="5" name="法人名">
          <a:extLst>
            <a:ext uri="{FF2B5EF4-FFF2-40B4-BE49-F238E27FC236}">
              <a16:creationId xmlns:a16="http://schemas.microsoft.com/office/drawing/2014/main" id="{E9E09AE6-B278-81F9-BEBA-01BBD22D502C}"/>
            </a:ext>
          </a:extLst>
        </xdr:cNvPr>
        <xdr:cNvSpPr txBox="1"/>
      </xdr:nvSpPr>
      <xdr:spPr>
        <a:xfrm>
          <a:off x="5706897" y="477253"/>
          <a:ext cx="12827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l"/>
          <a:fld id="{A22B172C-025C-4C92-AA05-DE08E8B43F85}" type="TxLink">
            <a:rPr kumimoji="1" lang="en-US" altLang="en-US" sz="51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l"/>
            <a:t> </a:t>
          </a:fld>
          <a:endParaRPr kumimoji="1" lang="ja-JP" altLang="en-US" sz="51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609498</xdr:colOff>
      <xdr:row>0</xdr:row>
      <xdr:rowOff>1282929</xdr:rowOff>
    </xdr:from>
    <xdr:to>
      <xdr:col>5</xdr:col>
      <xdr:colOff>365658</xdr:colOff>
      <xdr:row>0</xdr:row>
      <xdr:rowOff>1689329</xdr:rowOff>
    </xdr:to>
    <xdr:sp macro="" textlink="印字値!$A$5">
      <xdr:nvSpPr>
        <xdr:cNvPr id="6" name="主表01">
          <a:extLst>
            <a:ext uri="{FF2B5EF4-FFF2-40B4-BE49-F238E27FC236}">
              <a16:creationId xmlns:a16="http://schemas.microsoft.com/office/drawing/2014/main" id="{A5672264-2E7B-998B-1FD9-D49EB1B6C9AE}"/>
            </a:ext>
          </a:extLst>
        </xdr:cNvPr>
        <xdr:cNvSpPr txBox="1"/>
      </xdr:nvSpPr>
      <xdr:spPr>
        <a:xfrm>
          <a:off x="3261258" y="1282929"/>
          <a:ext cx="4191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5527F24-45FB-47FF-9DEF-EAA31E98CD4C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609498</xdr:colOff>
      <xdr:row>0</xdr:row>
      <xdr:rowOff>1796517</xdr:rowOff>
    </xdr:from>
    <xdr:to>
      <xdr:col>5</xdr:col>
      <xdr:colOff>365658</xdr:colOff>
      <xdr:row>0</xdr:row>
      <xdr:rowOff>2202917</xdr:rowOff>
    </xdr:to>
    <xdr:sp macro="" textlink="印字値!$A$6">
      <xdr:nvSpPr>
        <xdr:cNvPr id="7" name="主表02">
          <a:extLst>
            <a:ext uri="{FF2B5EF4-FFF2-40B4-BE49-F238E27FC236}">
              <a16:creationId xmlns:a16="http://schemas.microsoft.com/office/drawing/2014/main" id="{FE378D04-37EF-DA81-5D06-D42BC41F4886}"/>
            </a:ext>
          </a:extLst>
        </xdr:cNvPr>
        <xdr:cNvSpPr txBox="1"/>
      </xdr:nvSpPr>
      <xdr:spPr>
        <a:xfrm>
          <a:off x="3261258" y="1796517"/>
          <a:ext cx="4191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C7E9557-EA99-4EAC-8445-56F9FD5A50A9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609498</xdr:colOff>
      <xdr:row>0</xdr:row>
      <xdr:rowOff>2309914</xdr:rowOff>
    </xdr:from>
    <xdr:to>
      <xdr:col>5</xdr:col>
      <xdr:colOff>365658</xdr:colOff>
      <xdr:row>0</xdr:row>
      <xdr:rowOff>2716314</xdr:rowOff>
    </xdr:to>
    <xdr:sp macro="" textlink="印字値!$A$7">
      <xdr:nvSpPr>
        <xdr:cNvPr id="8" name="主表03">
          <a:extLst>
            <a:ext uri="{FF2B5EF4-FFF2-40B4-BE49-F238E27FC236}">
              <a16:creationId xmlns:a16="http://schemas.microsoft.com/office/drawing/2014/main" id="{4850E7F9-98B2-CF86-3418-AA14271A8860}"/>
            </a:ext>
          </a:extLst>
        </xdr:cNvPr>
        <xdr:cNvSpPr txBox="1"/>
      </xdr:nvSpPr>
      <xdr:spPr>
        <a:xfrm>
          <a:off x="3261258" y="2309914"/>
          <a:ext cx="4191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4D867AD5-824B-4686-A593-99E69CAD9741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609498</xdr:colOff>
      <xdr:row>0</xdr:row>
      <xdr:rowOff>2823248</xdr:rowOff>
    </xdr:from>
    <xdr:to>
      <xdr:col>5</xdr:col>
      <xdr:colOff>365658</xdr:colOff>
      <xdr:row>0</xdr:row>
      <xdr:rowOff>3229648</xdr:rowOff>
    </xdr:to>
    <xdr:sp macro="" textlink="印字値!$A$8">
      <xdr:nvSpPr>
        <xdr:cNvPr id="9" name="主表04">
          <a:extLst>
            <a:ext uri="{FF2B5EF4-FFF2-40B4-BE49-F238E27FC236}">
              <a16:creationId xmlns:a16="http://schemas.microsoft.com/office/drawing/2014/main" id="{5A684C21-9A97-9559-68DE-33C6711B77F8}"/>
            </a:ext>
          </a:extLst>
        </xdr:cNvPr>
        <xdr:cNvSpPr txBox="1"/>
      </xdr:nvSpPr>
      <xdr:spPr>
        <a:xfrm>
          <a:off x="3261258" y="2823248"/>
          <a:ext cx="4191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2D996CA-11F1-4E83-B656-5656AED12F0E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0</xdr:row>
      <xdr:rowOff>1282929</xdr:rowOff>
    </xdr:from>
    <xdr:to>
      <xdr:col>10</xdr:col>
      <xdr:colOff>343116</xdr:colOff>
      <xdr:row>0</xdr:row>
      <xdr:rowOff>1689329</xdr:rowOff>
    </xdr:to>
    <xdr:sp macro="" textlink="印字値!$A$9">
      <xdr:nvSpPr>
        <xdr:cNvPr id="10" name="主表05">
          <a:extLst>
            <a:ext uri="{FF2B5EF4-FFF2-40B4-BE49-F238E27FC236}">
              <a16:creationId xmlns:a16="http://schemas.microsoft.com/office/drawing/2014/main" id="{20AA9642-CF6A-B676-291E-37D66E979AA2}"/>
            </a:ext>
          </a:extLst>
        </xdr:cNvPr>
        <xdr:cNvSpPr txBox="1"/>
      </xdr:nvSpPr>
      <xdr:spPr>
        <a:xfrm>
          <a:off x="6350216" y="1282929"/>
          <a:ext cx="6223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17F5021-B3A8-4246-AE78-63621BED27D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0</xdr:row>
      <xdr:rowOff>1796517</xdr:rowOff>
    </xdr:from>
    <xdr:to>
      <xdr:col>10</xdr:col>
      <xdr:colOff>343116</xdr:colOff>
      <xdr:row>0</xdr:row>
      <xdr:rowOff>2202917</xdr:rowOff>
    </xdr:to>
    <xdr:sp macro="" textlink="印字値!$A$10">
      <xdr:nvSpPr>
        <xdr:cNvPr id="11" name="主表06">
          <a:extLst>
            <a:ext uri="{FF2B5EF4-FFF2-40B4-BE49-F238E27FC236}">
              <a16:creationId xmlns:a16="http://schemas.microsoft.com/office/drawing/2014/main" id="{E3C80EF3-FB98-F7A3-3992-D87F0A74995B}"/>
            </a:ext>
          </a:extLst>
        </xdr:cNvPr>
        <xdr:cNvSpPr txBox="1"/>
      </xdr:nvSpPr>
      <xdr:spPr>
        <a:xfrm>
          <a:off x="6350216" y="1796517"/>
          <a:ext cx="6223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C953709-31E4-4846-8A5C-B08600E6ACAA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0</xdr:row>
      <xdr:rowOff>2309914</xdr:rowOff>
    </xdr:from>
    <xdr:to>
      <xdr:col>10</xdr:col>
      <xdr:colOff>343116</xdr:colOff>
      <xdr:row>0</xdr:row>
      <xdr:rowOff>2716314</xdr:rowOff>
    </xdr:to>
    <xdr:sp macro="" textlink="印字値!$A$11">
      <xdr:nvSpPr>
        <xdr:cNvPr id="12" name="主表07">
          <a:extLst>
            <a:ext uri="{FF2B5EF4-FFF2-40B4-BE49-F238E27FC236}">
              <a16:creationId xmlns:a16="http://schemas.microsoft.com/office/drawing/2014/main" id="{25649FD7-7690-4755-A18F-76FAE218B650}"/>
            </a:ext>
          </a:extLst>
        </xdr:cNvPr>
        <xdr:cNvSpPr txBox="1"/>
      </xdr:nvSpPr>
      <xdr:spPr>
        <a:xfrm>
          <a:off x="6350216" y="2309914"/>
          <a:ext cx="6223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0EDC955-907D-496B-8A6D-0C6A65211C2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0</xdr:row>
      <xdr:rowOff>2823248</xdr:rowOff>
    </xdr:from>
    <xdr:to>
      <xdr:col>10</xdr:col>
      <xdr:colOff>343116</xdr:colOff>
      <xdr:row>0</xdr:row>
      <xdr:rowOff>3229648</xdr:rowOff>
    </xdr:to>
    <xdr:sp macro="" textlink="印字値!$A$12">
      <xdr:nvSpPr>
        <xdr:cNvPr id="13" name="主表08">
          <a:extLst>
            <a:ext uri="{FF2B5EF4-FFF2-40B4-BE49-F238E27FC236}">
              <a16:creationId xmlns:a16="http://schemas.microsoft.com/office/drawing/2014/main" id="{DAB2B44C-43A1-C101-E0F3-33D653F0728E}"/>
            </a:ext>
          </a:extLst>
        </xdr:cNvPr>
        <xdr:cNvSpPr txBox="1"/>
      </xdr:nvSpPr>
      <xdr:spPr>
        <a:xfrm>
          <a:off x="6350216" y="2823248"/>
          <a:ext cx="6223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242DC86-F627-4323-A60B-58913BFD39F5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609498</xdr:colOff>
      <xdr:row>0</xdr:row>
      <xdr:rowOff>3506953</xdr:rowOff>
    </xdr:from>
    <xdr:to>
      <xdr:col>5</xdr:col>
      <xdr:colOff>568858</xdr:colOff>
      <xdr:row>1</xdr:row>
      <xdr:rowOff>62713</xdr:rowOff>
    </xdr:to>
    <xdr:sp macro="" textlink="印字値!$A$13">
      <xdr:nvSpPr>
        <xdr:cNvPr id="14" name="主表09">
          <a:extLst>
            <a:ext uri="{FF2B5EF4-FFF2-40B4-BE49-F238E27FC236}">
              <a16:creationId xmlns:a16="http://schemas.microsoft.com/office/drawing/2014/main" id="{FF1A14D2-349C-560F-5640-7AA8E4E9D802}"/>
            </a:ext>
          </a:extLst>
        </xdr:cNvPr>
        <xdr:cNvSpPr txBox="1"/>
      </xdr:nvSpPr>
      <xdr:spPr>
        <a:xfrm>
          <a:off x="3261258" y="3506953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FE980E0-28B7-4AC4-8090-FF66DBDC529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609498</xdr:colOff>
      <xdr:row>1</xdr:row>
      <xdr:rowOff>168567</xdr:rowOff>
    </xdr:from>
    <xdr:to>
      <xdr:col>5</xdr:col>
      <xdr:colOff>568858</xdr:colOff>
      <xdr:row>1</xdr:row>
      <xdr:rowOff>473367</xdr:rowOff>
    </xdr:to>
    <xdr:sp macro="" textlink="印字値!$A$14">
      <xdr:nvSpPr>
        <xdr:cNvPr id="15" name="主表10">
          <a:extLst>
            <a:ext uri="{FF2B5EF4-FFF2-40B4-BE49-F238E27FC236}">
              <a16:creationId xmlns:a16="http://schemas.microsoft.com/office/drawing/2014/main" id="{4197D3C2-E3F3-6387-3D63-E891CB40824D}"/>
            </a:ext>
          </a:extLst>
        </xdr:cNvPr>
        <xdr:cNvSpPr txBox="1"/>
      </xdr:nvSpPr>
      <xdr:spPr>
        <a:xfrm>
          <a:off x="3261258" y="3917607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9C9A2E0-81C0-4F57-B032-DABCE09BC054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609498</xdr:colOff>
      <xdr:row>1</xdr:row>
      <xdr:rowOff>579222</xdr:rowOff>
    </xdr:from>
    <xdr:to>
      <xdr:col>5</xdr:col>
      <xdr:colOff>568858</xdr:colOff>
      <xdr:row>1</xdr:row>
      <xdr:rowOff>884022</xdr:rowOff>
    </xdr:to>
    <xdr:sp macro="" textlink="印字値!$A$15">
      <xdr:nvSpPr>
        <xdr:cNvPr id="16" name="主表11">
          <a:extLst>
            <a:ext uri="{FF2B5EF4-FFF2-40B4-BE49-F238E27FC236}">
              <a16:creationId xmlns:a16="http://schemas.microsoft.com/office/drawing/2014/main" id="{EE869611-55EE-6BC8-F55C-713BBDE16337}"/>
            </a:ext>
          </a:extLst>
        </xdr:cNvPr>
        <xdr:cNvSpPr txBox="1"/>
      </xdr:nvSpPr>
      <xdr:spPr>
        <a:xfrm>
          <a:off x="3261258" y="4328262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E86FDBC-C869-404C-B2DA-71012CB408C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609498</xdr:colOff>
      <xdr:row>1</xdr:row>
      <xdr:rowOff>989940</xdr:rowOff>
    </xdr:from>
    <xdr:to>
      <xdr:col>5</xdr:col>
      <xdr:colOff>568858</xdr:colOff>
      <xdr:row>1</xdr:row>
      <xdr:rowOff>1599540</xdr:rowOff>
    </xdr:to>
    <xdr:sp macro="" textlink="印字値!$A$16">
      <xdr:nvSpPr>
        <xdr:cNvPr id="17" name="主表12">
          <a:extLst>
            <a:ext uri="{FF2B5EF4-FFF2-40B4-BE49-F238E27FC236}">
              <a16:creationId xmlns:a16="http://schemas.microsoft.com/office/drawing/2014/main" id="{86E5C834-4E92-918B-724D-53B01285864D}"/>
            </a:ext>
          </a:extLst>
        </xdr:cNvPr>
        <xdr:cNvSpPr txBox="1"/>
      </xdr:nvSpPr>
      <xdr:spPr>
        <a:xfrm>
          <a:off x="3261258" y="4738980"/>
          <a:ext cx="622300" cy="609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658D282-E7AC-4E45-A004-228D5782B334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609498</xdr:colOff>
      <xdr:row>1</xdr:row>
      <xdr:rowOff>1708887</xdr:rowOff>
    </xdr:from>
    <xdr:to>
      <xdr:col>5</xdr:col>
      <xdr:colOff>568858</xdr:colOff>
      <xdr:row>1</xdr:row>
      <xdr:rowOff>1912087</xdr:rowOff>
    </xdr:to>
    <xdr:sp macro="" textlink="印字値!$A$17">
      <xdr:nvSpPr>
        <xdr:cNvPr id="18" name="主表13">
          <a:extLst>
            <a:ext uri="{FF2B5EF4-FFF2-40B4-BE49-F238E27FC236}">
              <a16:creationId xmlns:a16="http://schemas.microsoft.com/office/drawing/2014/main" id="{CB3FE28B-D04C-BB47-AA10-A1EB8D3E06FD}"/>
            </a:ext>
          </a:extLst>
        </xdr:cNvPr>
        <xdr:cNvSpPr txBox="1"/>
      </xdr:nvSpPr>
      <xdr:spPr>
        <a:xfrm>
          <a:off x="3261258" y="5457927"/>
          <a:ext cx="6223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5F4B204-B0FA-401B-A754-F66BB58F4FBB}" type="TxLink">
            <a:rPr kumimoji="1" lang="en-US" altLang="en-US" sz="56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6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609498</xdr:colOff>
      <xdr:row>1</xdr:row>
      <xdr:rowOff>2016862</xdr:rowOff>
    </xdr:from>
    <xdr:to>
      <xdr:col>5</xdr:col>
      <xdr:colOff>568858</xdr:colOff>
      <xdr:row>1</xdr:row>
      <xdr:rowOff>2321662</xdr:rowOff>
    </xdr:to>
    <xdr:sp macro="" textlink="印字値!$A$18">
      <xdr:nvSpPr>
        <xdr:cNvPr id="19" name="主表14">
          <a:extLst>
            <a:ext uri="{FF2B5EF4-FFF2-40B4-BE49-F238E27FC236}">
              <a16:creationId xmlns:a16="http://schemas.microsoft.com/office/drawing/2014/main" id="{521AF53A-67D6-B744-0C4B-C31ABAD3A2E5}"/>
            </a:ext>
          </a:extLst>
        </xdr:cNvPr>
        <xdr:cNvSpPr txBox="1"/>
      </xdr:nvSpPr>
      <xdr:spPr>
        <a:xfrm>
          <a:off x="3261258" y="5765902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1D17845-467C-401D-AFD2-58A5228C240A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609498</xdr:colOff>
      <xdr:row>1</xdr:row>
      <xdr:rowOff>2427579</xdr:rowOff>
    </xdr:from>
    <xdr:to>
      <xdr:col>5</xdr:col>
      <xdr:colOff>568858</xdr:colOff>
      <xdr:row>1</xdr:row>
      <xdr:rowOff>2732379</xdr:rowOff>
    </xdr:to>
    <xdr:sp macro="" textlink="印字値!$A$19">
      <xdr:nvSpPr>
        <xdr:cNvPr id="20" name="主表15">
          <a:extLst>
            <a:ext uri="{FF2B5EF4-FFF2-40B4-BE49-F238E27FC236}">
              <a16:creationId xmlns:a16="http://schemas.microsoft.com/office/drawing/2014/main" id="{345DF80E-C054-D877-20A1-993EE58828C4}"/>
            </a:ext>
          </a:extLst>
        </xdr:cNvPr>
        <xdr:cNvSpPr txBox="1"/>
      </xdr:nvSpPr>
      <xdr:spPr>
        <a:xfrm>
          <a:off x="3261258" y="6176619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FA61C2B-8035-45A9-99CC-BE1423C0908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609498</xdr:colOff>
      <xdr:row>1</xdr:row>
      <xdr:rowOff>2838234</xdr:rowOff>
    </xdr:from>
    <xdr:to>
      <xdr:col>5</xdr:col>
      <xdr:colOff>568858</xdr:colOff>
      <xdr:row>1</xdr:row>
      <xdr:rowOff>3143034</xdr:rowOff>
    </xdr:to>
    <xdr:sp macro="" textlink="印字値!$A$20">
      <xdr:nvSpPr>
        <xdr:cNvPr id="21" name="主表16">
          <a:extLst>
            <a:ext uri="{FF2B5EF4-FFF2-40B4-BE49-F238E27FC236}">
              <a16:creationId xmlns:a16="http://schemas.microsoft.com/office/drawing/2014/main" id="{8D3726FA-9DDC-DD34-891F-3A24EA283368}"/>
            </a:ext>
          </a:extLst>
        </xdr:cNvPr>
        <xdr:cNvSpPr txBox="1"/>
      </xdr:nvSpPr>
      <xdr:spPr>
        <a:xfrm>
          <a:off x="3261258" y="6587274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CCA45D7-A44B-4BB2-961B-2CB8832A04D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609498</xdr:colOff>
      <xdr:row>1</xdr:row>
      <xdr:rowOff>3248889</xdr:rowOff>
    </xdr:from>
    <xdr:to>
      <xdr:col>5</xdr:col>
      <xdr:colOff>568858</xdr:colOff>
      <xdr:row>1</xdr:row>
      <xdr:rowOff>3553689</xdr:rowOff>
    </xdr:to>
    <xdr:sp macro="" textlink="印字値!$A$21">
      <xdr:nvSpPr>
        <xdr:cNvPr id="22" name="主表17">
          <a:extLst>
            <a:ext uri="{FF2B5EF4-FFF2-40B4-BE49-F238E27FC236}">
              <a16:creationId xmlns:a16="http://schemas.microsoft.com/office/drawing/2014/main" id="{395DD77C-9E55-97C4-B2C0-34222D260DE6}"/>
            </a:ext>
          </a:extLst>
        </xdr:cNvPr>
        <xdr:cNvSpPr txBox="1"/>
      </xdr:nvSpPr>
      <xdr:spPr>
        <a:xfrm>
          <a:off x="3261258" y="6997929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87D06E8-579F-474B-B09B-A1A2702BC8F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609498</xdr:colOff>
      <xdr:row>1</xdr:row>
      <xdr:rowOff>3659860</xdr:rowOff>
    </xdr:from>
    <xdr:to>
      <xdr:col>5</xdr:col>
      <xdr:colOff>568858</xdr:colOff>
      <xdr:row>2</xdr:row>
      <xdr:rowOff>215620</xdr:rowOff>
    </xdr:to>
    <xdr:sp macro="" textlink="印字値!$A$22">
      <xdr:nvSpPr>
        <xdr:cNvPr id="23" name="主表18">
          <a:extLst>
            <a:ext uri="{FF2B5EF4-FFF2-40B4-BE49-F238E27FC236}">
              <a16:creationId xmlns:a16="http://schemas.microsoft.com/office/drawing/2014/main" id="{031985B9-C92A-F1A7-A582-70F0BB439C3C}"/>
            </a:ext>
          </a:extLst>
        </xdr:cNvPr>
        <xdr:cNvSpPr txBox="1"/>
      </xdr:nvSpPr>
      <xdr:spPr>
        <a:xfrm>
          <a:off x="3261258" y="7408900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2E5BC75-4E55-4B99-ADFD-5D3A48F21C6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609498</xdr:colOff>
      <xdr:row>2</xdr:row>
      <xdr:rowOff>321475</xdr:rowOff>
    </xdr:from>
    <xdr:to>
      <xdr:col>5</xdr:col>
      <xdr:colOff>568858</xdr:colOff>
      <xdr:row>2</xdr:row>
      <xdr:rowOff>626275</xdr:rowOff>
    </xdr:to>
    <xdr:sp macro="" textlink="印字値!$A$23">
      <xdr:nvSpPr>
        <xdr:cNvPr id="24" name="主表19">
          <a:extLst>
            <a:ext uri="{FF2B5EF4-FFF2-40B4-BE49-F238E27FC236}">
              <a16:creationId xmlns:a16="http://schemas.microsoft.com/office/drawing/2014/main" id="{1237E96F-A9A8-90A2-3350-DCBE4A85F9E2}"/>
            </a:ext>
          </a:extLst>
        </xdr:cNvPr>
        <xdr:cNvSpPr txBox="1"/>
      </xdr:nvSpPr>
      <xdr:spPr>
        <a:xfrm>
          <a:off x="3261258" y="7819555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8F7080C-28B9-4F59-BC56-C260A9BD5F61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609498</xdr:colOff>
      <xdr:row>2</xdr:row>
      <xdr:rowOff>732129</xdr:rowOff>
    </xdr:from>
    <xdr:to>
      <xdr:col>5</xdr:col>
      <xdr:colOff>568858</xdr:colOff>
      <xdr:row>2</xdr:row>
      <xdr:rowOff>1036929</xdr:rowOff>
    </xdr:to>
    <xdr:sp macro="" textlink="印字値!$A$24">
      <xdr:nvSpPr>
        <xdr:cNvPr id="25" name="主表20">
          <a:extLst>
            <a:ext uri="{FF2B5EF4-FFF2-40B4-BE49-F238E27FC236}">
              <a16:creationId xmlns:a16="http://schemas.microsoft.com/office/drawing/2014/main" id="{9EA2177D-0E5B-ACBA-CB5D-144CDA80C6F8}"/>
            </a:ext>
          </a:extLst>
        </xdr:cNvPr>
        <xdr:cNvSpPr txBox="1"/>
      </xdr:nvSpPr>
      <xdr:spPr>
        <a:xfrm>
          <a:off x="3261258" y="8230209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BB85D8F-4A96-4246-BF7B-11F026610BB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20,000,000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609498</xdr:colOff>
      <xdr:row>2</xdr:row>
      <xdr:rowOff>1142848</xdr:rowOff>
    </xdr:from>
    <xdr:to>
      <xdr:col>5</xdr:col>
      <xdr:colOff>365658</xdr:colOff>
      <xdr:row>2</xdr:row>
      <xdr:rowOff>1447648</xdr:rowOff>
    </xdr:to>
    <xdr:sp macro="" textlink="印字値!$A$25">
      <xdr:nvSpPr>
        <xdr:cNvPr id="26" name="主表21">
          <a:extLst>
            <a:ext uri="{FF2B5EF4-FFF2-40B4-BE49-F238E27FC236}">
              <a16:creationId xmlns:a16="http://schemas.microsoft.com/office/drawing/2014/main" id="{195189AA-7F3D-595C-671B-3ED6CBB11DA1}"/>
            </a:ext>
          </a:extLst>
        </xdr:cNvPr>
        <xdr:cNvSpPr txBox="1"/>
      </xdr:nvSpPr>
      <xdr:spPr>
        <a:xfrm>
          <a:off x="3261258" y="8640928"/>
          <a:ext cx="4191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2350F2E-F9A2-4ED7-9C17-10E468DE8E43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0</xdr:row>
      <xdr:rowOff>3506953</xdr:rowOff>
    </xdr:from>
    <xdr:to>
      <xdr:col>10</xdr:col>
      <xdr:colOff>343116</xdr:colOff>
      <xdr:row>1</xdr:row>
      <xdr:rowOff>570713</xdr:rowOff>
    </xdr:to>
    <xdr:sp macro="" textlink="印字値!$A$26">
      <xdr:nvSpPr>
        <xdr:cNvPr id="27" name="主表22">
          <a:extLst>
            <a:ext uri="{FF2B5EF4-FFF2-40B4-BE49-F238E27FC236}">
              <a16:creationId xmlns:a16="http://schemas.microsoft.com/office/drawing/2014/main" id="{B38DA083-C28C-05B6-3F63-755776D810F4}"/>
            </a:ext>
          </a:extLst>
        </xdr:cNvPr>
        <xdr:cNvSpPr txBox="1"/>
      </xdr:nvSpPr>
      <xdr:spPr>
        <a:xfrm>
          <a:off x="6350216" y="3506953"/>
          <a:ext cx="622300" cy="812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F0D4406-19A0-4E34-B2D6-26D8C5A4BF67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1</xdr:row>
      <xdr:rowOff>681901</xdr:rowOff>
    </xdr:from>
    <xdr:to>
      <xdr:col>10</xdr:col>
      <xdr:colOff>343116</xdr:colOff>
      <xdr:row>1</xdr:row>
      <xdr:rowOff>1812201</xdr:rowOff>
    </xdr:to>
    <xdr:sp macro="" textlink="印字値!$A$27">
      <xdr:nvSpPr>
        <xdr:cNvPr id="28" name="主表23">
          <a:extLst>
            <a:ext uri="{FF2B5EF4-FFF2-40B4-BE49-F238E27FC236}">
              <a16:creationId xmlns:a16="http://schemas.microsoft.com/office/drawing/2014/main" id="{B7BF8127-4215-D269-5DE6-A07BE52271EE}"/>
            </a:ext>
          </a:extLst>
        </xdr:cNvPr>
        <xdr:cNvSpPr txBox="1"/>
      </xdr:nvSpPr>
      <xdr:spPr>
        <a:xfrm>
          <a:off x="6350216" y="4430941"/>
          <a:ext cx="622300" cy="1130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C87CF99-EC38-40D7-940B-FFBC4715C1B7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1</xdr:row>
      <xdr:rowOff>1914182</xdr:rowOff>
    </xdr:from>
    <xdr:to>
      <xdr:col>10</xdr:col>
      <xdr:colOff>343116</xdr:colOff>
      <xdr:row>1</xdr:row>
      <xdr:rowOff>2523782</xdr:rowOff>
    </xdr:to>
    <xdr:sp macro="" textlink="印字値!$A$28">
      <xdr:nvSpPr>
        <xdr:cNvPr id="29" name="主表24">
          <a:extLst>
            <a:ext uri="{FF2B5EF4-FFF2-40B4-BE49-F238E27FC236}">
              <a16:creationId xmlns:a16="http://schemas.microsoft.com/office/drawing/2014/main" id="{4AB057C4-4D8F-8903-7286-86F7FE92B093}"/>
            </a:ext>
          </a:extLst>
        </xdr:cNvPr>
        <xdr:cNvSpPr txBox="1"/>
      </xdr:nvSpPr>
      <xdr:spPr>
        <a:xfrm>
          <a:off x="6350216" y="5663222"/>
          <a:ext cx="622300" cy="609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44D0768-4339-4456-B208-1AC406EFE8A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1</xdr:row>
      <xdr:rowOff>2632875</xdr:rowOff>
    </xdr:from>
    <xdr:to>
      <xdr:col>10</xdr:col>
      <xdr:colOff>343116</xdr:colOff>
      <xdr:row>1</xdr:row>
      <xdr:rowOff>3140875</xdr:rowOff>
    </xdr:to>
    <xdr:sp macro="" textlink="印字値!$A$29">
      <xdr:nvSpPr>
        <xdr:cNvPr id="30" name="主表25">
          <a:extLst>
            <a:ext uri="{FF2B5EF4-FFF2-40B4-BE49-F238E27FC236}">
              <a16:creationId xmlns:a16="http://schemas.microsoft.com/office/drawing/2014/main" id="{8CF998FD-B4A0-CA06-192B-AF6B4255CF03}"/>
            </a:ext>
          </a:extLst>
        </xdr:cNvPr>
        <xdr:cNvSpPr txBox="1"/>
      </xdr:nvSpPr>
      <xdr:spPr>
        <a:xfrm>
          <a:off x="6350216" y="6381915"/>
          <a:ext cx="622300" cy="508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B128645-E1A0-4075-80F2-51F9A4473D1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1</xdr:row>
      <xdr:rowOff>3248889</xdr:rowOff>
    </xdr:from>
    <xdr:to>
      <xdr:col>10</xdr:col>
      <xdr:colOff>343116</xdr:colOff>
      <xdr:row>2</xdr:row>
      <xdr:rowOff>109449</xdr:rowOff>
    </xdr:to>
    <xdr:sp macro="" textlink="印字値!$A$30">
      <xdr:nvSpPr>
        <xdr:cNvPr id="31" name="主表26">
          <a:extLst>
            <a:ext uri="{FF2B5EF4-FFF2-40B4-BE49-F238E27FC236}">
              <a16:creationId xmlns:a16="http://schemas.microsoft.com/office/drawing/2014/main" id="{DB14A029-BDCD-8B6F-DC9F-EB2221C0D007}"/>
            </a:ext>
          </a:extLst>
        </xdr:cNvPr>
        <xdr:cNvSpPr txBox="1"/>
      </xdr:nvSpPr>
      <xdr:spPr>
        <a:xfrm>
          <a:off x="6350216" y="6997929"/>
          <a:ext cx="622300" cy="609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6DFB60D-D58B-4A7E-9A9D-A07891480297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2</xdr:row>
      <xdr:rowOff>218795</xdr:rowOff>
    </xdr:from>
    <xdr:to>
      <xdr:col>10</xdr:col>
      <xdr:colOff>343116</xdr:colOff>
      <xdr:row>2</xdr:row>
      <xdr:rowOff>828395</xdr:rowOff>
    </xdr:to>
    <xdr:sp macro="" textlink="印字値!$A$31">
      <xdr:nvSpPr>
        <xdr:cNvPr id="32" name="主表27">
          <a:extLst>
            <a:ext uri="{FF2B5EF4-FFF2-40B4-BE49-F238E27FC236}">
              <a16:creationId xmlns:a16="http://schemas.microsoft.com/office/drawing/2014/main" id="{3097E130-43D2-030D-41AA-994E1718DAD3}"/>
            </a:ext>
          </a:extLst>
        </xdr:cNvPr>
        <xdr:cNvSpPr txBox="1"/>
      </xdr:nvSpPr>
      <xdr:spPr>
        <a:xfrm>
          <a:off x="6350216" y="7716875"/>
          <a:ext cx="622300" cy="609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D818D7F-49E7-45EE-82C3-E99A40391B6A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2</xdr:row>
      <xdr:rowOff>937489</xdr:rowOff>
    </xdr:from>
    <xdr:to>
      <xdr:col>10</xdr:col>
      <xdr:colOff>343116</xdr:colOff>
      <xdr:row>2</xdr:row>
      <xdr:rowOff>1445489</xdr:rowOff>
    </xdr:to>
    <xdr:sp macro="" textlink="印字値!$A$32">
      <xdr:nvSpPr>
        <xdr:cNvPr id="33" name="主表28">
          <a:extLst>
            <a:ext uri="{FF2B5EF4-FFF2-40B4-BE49-F238E27FC236}">
              <a16:creationId xmlns:a16="http://schemas.microsoft.com/office/drawing/2014/main" id="{7E6C9B10-3BA9-4486-24AF-E47755A896B9}"/>
            </a:ext>
          </a:extLst>
        </xdr:cNvPr>
        <xdr:cNvSpPr txBox="1"/>
      </xdr:nvSpPr>
      <xdr:spPr>
        <a:xfrm>
          <a:off x="6350216" y="8435569"/>
          <a:ext cx="622300" cy="508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20A62EE-ABF9-42FC-B6DE-6CEF2C415BD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609498</xdr:colOff>
      <xdr:row>0</xdr:row>
      <xdr:rowOff>3494253</xdr:rowOff>
    </xdr:from>
    <xdr:to>
      <xdr:col>5</xdr:col>
      <xdr:colOff>543458</xdr:colOff>
      <xdr:row>0</xdr:row>
      <xdr:rowOff>3595853</xdr:rowOff>
    </xdr:to>
    <xdr:sp macro="" textlink="印字値!$B$5">
      <xdr:nvSpPr>
        <xdr:cNvPr id="34" name="主表09内書">
          <a:extLst>
            <a:ext uri="{FF2B5EF4-FFF2-40B4-BE49-F238E27FC236}">
              <a16:creationId xmlns:a16="http://schemas.microsoft.com/office/drawing/2014/main" id="{38363BDC-6F1C-0B04-5812-E010C9A30F32}"/>
            </a:ext>
          </a:extLst>
        </xdr:cNvPr>
        <xdr:cNvSpPr txBox="1"/>
      </xdr:nvSpPr>
      <xdr:spPr>
        <a:xfrm>
          <a:off x="3261258" y="3494253"/>
          <a:ext cx="596900" cy="101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normAutofit/>
        </a:bodyPr>
        <a:lstStyle/>
        <a:p>
          <a:pPr algn="r"/>
          <a:fld id="{E2E87207-9E69-4B6C-BC40-5FF0886E86D7}" type="TxLink">
            <a:rPr kumimoji="1" lang="en-US" altLang="en-US" sz="52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2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12</xdr:col>
      <xdr:colOff>3175</xdr:colOff>
      <xdr:row>3</xdr:row>
      <xdr:rowOff>8001</xdr:rowOff>
    </xdr:to>
    <xdr:pic>
      <xdr:nvPicPr>
        <xdr:cNvPr id="3" name="国税庁公式様式_背景">
          <a:extLst>
            <a:ext uri="{FF2B5EF4-FFF2-40B4-BE49-F238E27FC236}">
              <a16:creationId xmlns:a16="http://schemas.microsoft.com/office/drawing/2014/main" id="{6E7B90B3-4007-21AB-8D64-853E3135FCB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958455" cy="11255121"/>
        </a:xfrm>
        <a:prstGeom prst="rect">
          <a:avLst/>
        </a:prstGeom>
      </xdr:spPr>
    </xdr:pic>
    <xdr:clientData/>
  </xdr:twoCellAnchor>
  <xdr:twoCellAnchor editAs="absolute">
    <xdr:from>
      <xdr:col>6</xdr:col>
      <xdr:colOff>405536</xdr:colOff>
      <xdr:row>0</xdr:row>
      <xdr:rowOff>477253</xdr:rowOff>
    </xdr:from>
    <xdr:to>
      <xdr:col>8</xdr:col>
      <xdr:colOff>108356</xdr:colOff>
      <xdr:row>0</xdr:row>
      <xdr:rowOff>870953</xdr:rowOff>
    </xdr:to>
    <xdr:sp macro="" textlink="印字値!$A$2">
      <xdr:nvSpPr>
        <xdr:cNvPr id="4" name="事業年度">
          <a:extLst>
            <a:ext uri="{FF2B5EF4-FFF2-40B4-BE49-F238E27FC236}">
              <a16:creationId xmlns:a16="http://schemas.microsoft.com/office/drawing/2014/main" id="{398745D2-909C-ACD8-D3E5-65E627019F2B}"/>
            </a:ext>
          </a:extLst>
        </xdr:cNvPr>
        <xdr:cNvSpPr txBox="1"/>
      </xdr:nvSpPr>
      <xdr:spPr>
        <a:xfrm>
          <a:off x="4383176" y="477253"/>
          <a:ext cx="1028700" cy="393700"/>
        </a:xfrm>
        <a:prstGeom prst="rect">
          <a:avLst/>
        </a:prstGeom>
        <a:solidFill>
          <a:srgbClr val="FFFFFF"/>
        </a:solidFill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ctr"/>
          <a:fld id="{CD7182A8-FC73-4189-9C21-DD6E237AF083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ctr"/>
            <a:t>2025.4.1
2026.3.31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8</xdr:col>
      <xdr:colOff>491643</xdr:colOff>
      <xdr:row>0</xdr:row>
      <xdr:rowOff>477253</xdr:rowOff>
    </xdr:from>
    <xdr:to>
      <xdr:col>10</xdr:col>
      <xdr:colOff>537363</xdr:colOff>
      <xdr:row>0</xdr:row>
      <xdr:rowOff>870953</xdr:rowOff>
    </xdr:to>
    <xdr:sp macro="" textlink="印字値!$A$1">
      <xdr:nvSpPr>
        <xdr:cNvPr id="5" name="法人名">
          <a:extLst>
            <a:ext uri="{FF2B5EF4-FFF2-40B4-BE49-F238E27FC236}">
              <a16:creationId xmlns:a16="http://schemas.microsoft.com/office/drawing/2014/main" id="{1EC36534-2FDA-F626-971F-C1610DE0C7B3}"/>
            </a:ext>
          </a:extLst>
        </xdr:cNvPr>
        <xdr:cNvSpPr txBox="1"/>
      </xdr:nvSpPr>
      <xdr:spPr>
        <a:xfrm>
          <a:off x="5795163" y="477253"/>
          <a:ext cx="13716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l"/>
          <a:fld id="{04149C23-3B1A-4B0D-8364-72F8372E38CE}" type="TxLink">
            <a:rPr kumimoji="1" lang="en-US" altLang="en-US" sz="51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l"/>
            <a:t> </a:t>
          </a:fld>
          <a:endParaRPr kumimoji="1" lang="ja-JP" altLang="en-US" sz="51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433095</xdr:colOff>
      <xdr:row>0</xdr:row>
      <xdr:rowOff>940422</xdr:rowOff>
    </xdr:from>
    <xdr:to>
      <xdr:col>5</xdr:col>
      <xdr:colOff>570255</xdr:colOff>
      <xdr:row>0</xdr:row>
      <xdr:rowOff>1308722</xdr:rowOff>
    </xdr:to>
    <xdr:sp macro="" textlink="印字値!$C$5">
      <xdr:nvSpPr>
        <xdr:cNvPr id="6" name="付表01">
          <a:extLst>
            <a:ext uri="{FF2B5EF4-FFF2-40B4-BE49-F238E27FC236}">
              <a16:creationId xmlns:a16="http://schemas.microsoft.com/office/drawing/2014/main" id="{1C1FD1D5-2C79-E489-BB97-5DC1921FAE32}"/>
            </a:ext>
          </a:extLst>
        </xdr:cNvPr>
        <xdr:cNvSpPr txBox="1"/>
      </xdr:nvSpPr>
      <xdr:spPr>
        <a:xfrm>
          <a:off x="3084855" y="940422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A21E5F6-AEB8-4A8E-B920-69EF4C6B194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433095</xdr:colOff>
      <xdr:row>0</xdr:row>
      <xdr:rowOff>1417676</xdr:rowOff>
    </xdr:from>
    <xdr:to>
      <xdr:col>5</xdr:col>
      <xdr:colOff>570255</xdr:colOff>
      <xdr:row>0</xdr:row>
      <xdr:rowOff>1785976</xdr:rowOff>
    </xdr:to>
    <xdr:sp macro="" textlink="印字値!$C$6">
      <xdr:nvSpPr>
        <xdr:cNvPr id="7" name="付表02">
          <a:extLst>
            <a:ext uri="{FF2B5EF4-FFF2-40B4-BE49-F238E27FC236}">
              <a16:creationId xmlns:a16="http://schemas.microsoft.com/office/drawing/2014/main" id="{1C2D820C-E064-6695-60E2-27F2083394B8}"/>
            </a:ext>
          </a:extLst>
        </xdr:cNvPr>
        <xdr:cNvSpPr txBox="1"/>
      </xdr:nvSpPr>
      <xdr:spPr>
        <a:xfrm>
          <a:off x="3084855" y="1417676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A41C963-E79C-4CC4-9215-D3744DE9571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433095</xdr:colOff>
      <xdr:row>0</xdr:row>
      <xdr:rowOff>1892783</xdr:rowOff>
    </xdr:from>
    <xdr:to>
      <xdr:col>5</xdr:col>
      <xdr:colOff>570255</xdr:colOff>
      <xdr:row>0</xdr:row>
      <xdr:rowOff>2261083</xdr:rowOff>
    </xdr:to>
    <xdr:sp macro="" textlink="印字値!$C$7">
      <xdr:nvSpPr>
        <xdr:cNvPr id="8" name="付表03">
          <a:extLst>
            <a:ext uri="{FF2B5EF4-FFF2-40B4-BE49-F238E27FC236}">
              <a16:creationId xmlns:a16="http://schemas.microsoft.com/office/drawing/2014/main" id="{33045576-2336-4D8A-7842-BC7CA174E14E}"/>
            </a:ext>
          </a:extLst>
        </xdr:cNvPr>
        <xdr:cNvSpPr txBox="1"/>
      </xdr:nvSpPr>
      <xdr:spPr>
        <a:xfrm>
          <a:off x="3084855" y="1892783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097E1E1-6D57-4016-9821-60CDBFC09130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433095</xdr:colOff>
      <xdr:row>0</xdr:row>
      <xdr:rowOff>2367636</xdr:rowOff>
    </xdr:from>
    <xdr:to>
      <xdr:col>5</xdr:col>
      <xdr:colOff>570255</xdr:colOff>
      <xdr:row>0</xdr:row>
      <xdr:rowOff>2735936</xdr:rowOff>
    </xdr:to>
    <xdr:sp macro="" textlink="印字値!$C$8">
      <xdr:nvSpPr>
        <xdr:cNvPr id="9" name="付表04">
          <a:extLst>
            <a:ext uri="{FF2B5EF4-FFF2-40B4-BE49-F238E27FC236}">
              <a16:creationId xmlns:a16="http://schemas.microsoft.com/office/drawing/2014/main" id="{11BD0C04-6EF9-0B39-A8BE-855C676B7720}"/>
            </a:ext>
          </a:extLst>
        </xdr:cNvPr>
        <xdr:cNvSpPr txBox="1"/>
      </xdr:nvSpPr>
      <xdr:spPr>
        <a:xfrm>
          <a:off x="3084855" y="2367636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F6CE233-5E78-4D49-B078-438B2653F4D4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433095</xdr:colOff>
      <xdr:row>0</xdr:row>
      <xdr:rowOff>2842489</xdr:rowOff>
    </xdr:from>
    <xdr:to>
      <xdr:col>5</xdr:col>
      <xdr:colOff>570255</xdr:colOff>
      <xdr:row>0</xdr:row>
      <xdr:rowOff>3210789</xdr:rowOff>
    </xdr:to>
    <xdr:sp macro="" textlink="印字値!$C$9">
      <xdr:nvSpPr>
        <xdr:cNvPr id="10" name="付表05">
          <a:extLst>
            <a:ext uri="{FF2B5EF4-FFF2-40B4-BE49-F238E27FC236}">
              <a16:creationId xmlns:a16="http://schemas.microsoft.com/office/drawing/2014/main" id="{0E52C830-21C6-2346-D05C-F5E69BC809CB}"/>
            </a:ext>
          </a:extLst>
        </xdr:cNvPr>
        <xdr:cNvSpPr txBox="1"/>
      </xdr:nvSpPr>
      <xdr:spPr>
        <a:xfrm>
          <a:off x="3084855" y="2842489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8C6247A-8290-4B6D-A249-B7C3D263B811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433095</xdr:colOff>
      <xdr:row>0</xdr:row>
      <xdr:rowOff>3317342</xdr:rowOff>
    </xdr:from>
    <xdr:to>
      <xdr:col>5</xdr:col>
      <xdr:colOff>570255</xdr:colOff>
      <xdr:row>0</xdr:row>
      <xdr:rowOff>3685642</xdr:rowOff>
    </xdr:to>
    <xdr:sp macro="" textlink="印字値!$C$10">
      <xdr:nvSpPr>
        <xdr:cNvPr id="11" name="付表06">
          <a:extLst>
            <a:ext uri="{FF2B5EF4-FFF2-40B4-BE49-F238E27FC236}">
              <a16:creationId xmlns:a16="http://schemas.microsoft.com/office/drawing/2014/main" id="{B94C29F8-D42E-D1EF-086A-47123CE49396}"/>
            </a:ext>
          </a:extLst>
        </xdr:cNvPr>
        <xdr:cNvSpPr txBox="1"/>
      </xdr:nvSpPr>
      <xdr:spPr>
        <a:xfrm>
          <a:off x="3084855" y="3317342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880C5B0-F43A-4E27-A280-261059971C9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433095</xdr:colOff>
      <xdr:row>1</xdr:row>
      <xdr:rowOff>43409</xdr:rowOff>
    </xdr:from>
    <xdr:to>
      <xdr:col>5</xdr:col>
      <xdr:colOff>570255</xdr:colOff>
      <xdr:row>1</xdr:row>
      <xdr:rowOff>411709</xdr:rowOff>
    </xdr:to>
    <xdr:sp macro="" textlink="印字値!$C$11">
      <xdr:nvSpPr>
        <xdr:cNvPr id="12" name="付表07">
          <a:extLst>
            <a:ext uri="{FF2B5EF4-FFF2-40B4-BE49-F238E27FC236}">
              <a16:creationId xmlns:a16="http://schemas.microsoft.com/office/drawing/2014/main" id="{9E808FDA-0E7B-C014-4607-99E4EA9C1E69}"/>
            </a:ext>
          </a:extLst>
        </xdr:cNvPr>
        <xdr:cNvSpPr txBox="1"/>
      </xdr:nvSpPr>
      <xdr:spPr>
        <a:xfrm>
          <a:off x="3084855" y="3792449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7BCD4D3-8F49-40D6-BD66-2513672F536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433095</xdr:colOff>
      <xdr:row>1</xdr:row>
      <xdr:rowOff>518262</xdr:rowOff>
    </xdr:from>
    <xdr:to>
      <xdr:col>5</xdr:col>
      <xdr:colOff>570255</xdr:colOff>
      <xdr:row>1</xdr:row>
      <xdr:rowOff>886562</xdr:rowOff>
    </xdr:to>
    <xdr:sp macro="" textlink="印字値!$C$12">
      <xdr:nvSpPr>
        <xdr:cNvPr id="13" name="付表08">
          <a:extLst>
            <a:ext uri="{FF2B5EF4-FFF2-40B4-BE49-F238E27FC236}">
              <a16:creationId xmlns:a16="http://schemas.microsoft.com/office/drawing/2014/main" id="{E2F1A085-67A9-20C8-B90E-B451DF62233D}"/>
            </a:ext>
          </a:extLst>
        </xdr:cNvPr>
        <xdr:cNvSpPr txBox="1"/>
      </xdr:nvSpPr>
      <xdr:spPr>
        <a:xfrm>
          <a:off x="3084855" y="4267302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32F1A8D-5C41-4A33-9732-5370C0AD83F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20,000,000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433095</xdr:colOff>
      <xdr:row>1</xdr:row>
      <xdr:rowOff>993115</xdr:rowOff>
    </xdr:from>
    <xdr:to>
      <xdr:col>5</xdr:col>
      <xdr:colOff>570255</xdr:colOff>
      <xdr:row>1</xdr:row>
      <xdr:rowOff>1361415</xdr:rowOff>
    </xdr:to>
    <xdr:sp macro="" textlink="印字値!$C$13">
      <xdr:nvSpPr>
        <xdr:cNvPr id="14" name="付表09">
          <a:extLst>
            <a:ext uri="{FF2B5EF4-FFF2-40B4-BE49-F238E27FC236}">
              <a16:creationId xmlns:a16="http://schemas.microsoft.com/office/drawing/2014/main" id="{20658190-05A5-CB7F-6979-A2D1036697B4}"/>
            </a:ext>
          </a:extLst>
        </xdr:cNvPr>
        <xdr:cNvSpPr txBox="1"/>
      </xdr:nvSpPr>
      <xdr:spPr>
        <a:xfrm>
          <a:off x="3084855" y="4742155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FB1AF25-6F96-4928-A49F-6E79DB7434B7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433095</xdr:colOff>
      <xdr:row>1</xdr:row>
      <xdr:rowOff>1467968</xdr:rowOff>
    </xdr:from>
    <xdr:to>
      <xdr:col>5</xdr:col>
      <xdr:colOff>570255</xdr:colOff>
      <xdr:row>1</xdr:row>
      <xdr:rowOff>1836268</xdr:rowOff>
    </xdr:to>
    <xdr:sp macro="" textlink="印字値!$C$14">
      <xdr:nvSpPr>
        <xdr:cNvPr id="15" name="付表10">
          <a:extLst>
            <a:ext uri="{FF2B5EF4-FFF2-40B4-BE49-F238E27FC236}">
              <a16:creationId xmlns:a16="http://schemas.microsoft.com/office/drawing/2014/main" id="{BA3D5786-DCB6-EEA7-948E-7A1121C49ECD}"/>
            </a:ext>
          </a:extLst>
        </xdr:cNvPr>
        <xdr:cNvSpPr txBox="1"/>
      </xdr:nvSpPr>
      <xdr:spPr>
        <a:xfrm>
          <a:off x="3084855" y="5217008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0CCBB2D-4DFA-4B14-BE40-7C72B3A97A67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433095</xdr:colOff>
      <xdr:row>1</xdr:row>
      <xdr:rowOff>1943075</xdr:rowOff>
    </xdr:from>
    <xdr:to>
      <xdr:col>5</xdr:col>
      <xdr:colOff>570255</xdr:colOff>
      <xdr:row>1</xdr:row>
      <xdr:rowOff>2311375</xdr:rowOff>
    </xdr:to>
    <xdr:sp macro="" textlink="印字値!$C$15">
      <xdr:nvSpPr>
        <xdr:cNvPr id="16" name="付表11">
          <a:extLst>
            <a:ext uri="{FF2B5EF4-FFF2-40B4-BE49-F238E27FC236}">
              <a16:creationId xmlns:a16="http://schemas.microsoft.com/office/drawing/2014/main" id="{C7854B3A-D4C3-2C3C-315D-CA0BBABF77AB}"/>
            </a:ext>
          </a:extLst>
        </xdr:cNvPr>
        <xdr:cNvSpPr txBox="1"/>
      </xdr:nvSpPr>
      <xdr:spPr>
        <a:xfrm>
          <a:off x="3084855" y="5692115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C15C925-442D-4039-B2CE-7D2192ECCFE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433095</xdr:colOff>
      <xdr:row>1</xdr:row>
      <xdr:rowOff>2417928</xdr:rowOff>
    </xdr:from>
    <xdr:to>
      <xdr:col>5</xdr:col>
      <xdr:colOff>570255</xdr:colOff>
      <xdr:row>1</xdr:row>
      <xdr:rowOff>2786228</xdr:rowOff>
    </xdr:to>
    <xdr:sp macro="" textlink="印字値!$C$16">
      <xdr:nvSpPr>
        <xdr:cNvPr id="17" name="付表12">
          <a:extLst>
            <a:ext uri="{FF2B5EF4-FFF2-40B4-BE49-F238E27FC236}">
              <a16:creationId xmlns:a16="http://schemas.microsoft.com/office/drawing/2014/main" id="{A77EB32C-2385-C69A-3755-F699F7D7411E}"/>
            </a:ext>
          </a:extLst>
        </xdr:cNvPr>
        <xdr:cNvSpPr txBox="1"/>
      </xdr:nvSpPr>
      <xdr:spPr>
        <a:xfrm>
          <a:off x="3084855" y="6166968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E272C91-A9B8-4240-88AD-C37424105AC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433095</xdr:colOff>
      <xdr:row>1</xdr:row>
      <xdr:rowOff>2892781</xdr:rowOff>
    </xdr:from>
    <xdr:to>
      <xdr:col>5</xdr:col>
      <xdr:colOff>570255</xdr:colOff>
      <xdr:row>1</xdr:row>
      <xdr:rowOff>3261081</xdr:rowOff>
    </xdr:to>
    <xdr:sp macro="" textlink="印字値!$C$17">
      <xdr:nvSpPr>
        <xdr:cNvPr id="18" name="付表13">
          <a:extLst>
            <a:ext uri="{FF2B5EF4-FFF2-40B4-BE49-F238E27FC236}">
              <a16:creationId xmlns:a16="http://schemas.microsoft.com/office/drawing/2014/main" id="{1D5EB729-E88A-2C64-CC16-FE99CE505394}"/>
            </a:ext>
          </a:extLst>
        </xdr:cNvPr>
        <xdr:cNvSpPr txBox="1"/>
      </xdr:nvSpPr>
      <xdr:spPr>
        <a:xfrm>
          <a:off x="3084855" y="6641821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467DFBFA-90AE-4A19-BD34-4124BDADBA0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433095</xdr:colOff>
      <xdr:row>1</xdr:row>
      <xdr:rowOff>3367633</xdr:rowOff>
    </xdr:from>
    <xdr:to>
      <xdr:col>5</xdr:col>
      <xdr:colOff>570255</xdr:colOff>
      <xdr:row>1</xdr:row>
      <xdr:rowOff>3735933</xdr:rowOff>
    </xdr:to>
    <xdr:sp macro="" textlink="印字値!$C$18">
      <xdr:nvSpPr>
        <xdr:cNvPr id="19" name="付表14">
          <a:extLst>
            <a:ext uri="{FF2B5EF4-FFF2-40B4-BE49-F238E27FC236}">
              <a16:creationId xmlns:a16="http://schemas.microsoft.com/office/drawing/2014/main" id="{4940727B-4FE5-A7F2-E30E-59EC99F59132}"/>
            </a:ext>
          </a:extLst>
        </xdr:cNvPr>
        <xdr:cNvSpPr txBox="1"/>
      </xdr:nvSpPr>
      <xdr:spPr>
        <a:xfrm>
          <a:off x="3084855" y="7116673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19E654C-D30B-44F6-A9AA-50AA6762E16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433095</xdr:colOff>
      <xdr:row>2</xdr:row>
      <xdr:rowOff>93701</xdr:rowOff>
    </xdr:from>
    <xdr:to>
      <xdr:col>5</xdr:col>
      <xdr:colOff>570255</xdr:colOff>
      <xdr:row>2</xdr:row>
      <xdr:rowOff>576301</xdr:rowOff>
    </xdr:to>
    <xdr:sp macro="" textlink="印字値!$C$19">
      <xdr:nvSpPr>
        <xdr:cNvPr id="20" name="付表15">
          <a:extLst>
            <a:ext uri="{FF2B5EF4-FFF2-40B4-BE49-F238E27FC236}">
              <a16:creationId xmlns:a16="http://schemas.microsoft.com/office/drawing/2014/main" id="{69E060E3-46C5-D742-0BC6-2F2BE461A056}"/>
            </a:ext>
          </a:extLst>
        </xdr:cNvPr>
        <xdr:cNvSpPr txBox="1"/>
      </xdr:nvSpPr>
      <xdr:spPr>
        <a:xfrm>
          <a:off x="3084855" y="7591781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7415B4E-4EC3-4A91-9DD4-EB4A4380B24A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433095</xdr:colOff>
      <xdr:row>2</xdr:row>
      <xdr:rowOff>687235</xdr:rowOff>
    </xdr:from>
    <xdr:to>
      <xdr:col>5</xdr:col>
      <xdr:colOff>570255</xdr:colOff>
      <xdr:row>2</xdr:row>
      <xdr:rowOff>1055535</xdr:rowOff>
    </xdr:to>
    <xdr:sp macro="" textlink="印字値!$C$20">
      <xdr:nvSpPr>
        <xdr:cNvPr id="21" name="付表16">
          <a:extLst>
            <a:ext uri="{FF2B5EF4-FFF2-40B4-BE49-F238E27FC236}">
              <a16:creationId xmlns:a16="http://schemas.microsoft.com/office/drawing/2014/main" id="{63FF0BCA-CC8E-ABA2-AC1F-9D6EE31D7042}"/>
            </a:ext>
          </a:extLst>
        </xdr:cNvPr>
        <xdr:cNvSpPr txBox="1"/>
      </xdr:nvSpPr>
      <xdr:spPr>
        <a:xfrm>
          <a:off x="3084855" y="8185315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D26678E-738E-4D6F-A58B-5CA4E269BBCC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433095</xdr:colOff>
      <xdr:row>2</xdr:row>
      <xdr:rowOff>1162088</xdr:rowOff>
    </xdr:from>
    <xdr:to>
      <xdr:col>5</xdr:col>
      <xdr:colOff>570255</xdr:colOff>
      <xdr:row>2</xdr:row>
      <xdr:rowOff>1530388</xdr:rowOff>
    </xdr:to>
    <xdr:sp macro="" textlink="印字値!$C$21">
      <xdr:nvSpPr>
        <xdr:cNvPr id="22" name="付表17">
          <a:extLst>
            <a:ext uri="{FF2B5EF4-FFF2-40B4-BE49-F238E27FC236}">
              <a16:creationId xmlns:a16="http://schemas.microsoft.com/office/drawing/2014/main" id="{577CCDC5-D599-493F-4177-504D05ABE2A5}"/>
            </a:ext>
          </a:extLst>
        </xdr:cNvPr>
        <xdr:cNvSpPr txBox="1"/>
      </xdr:nvSpPr>
      <xdr:spPr>
        <a:xfrm>
          <a:off x="3084855" y="8660168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E352587-1294-43A6-97F9-21D7C6DFC89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0</xdr:row>
      <xdr:rowOff>940422</xdr:rowOff>
    </xdr:from>
    <xdr:to>
      <xdr:col>10</xdr:col>
      <xdr:colOff>520916</xdr:colOff>
      <xdr:row>0</xdr:row>
      <xdr:rowOff>1308722</xdr:rowOff>
    </xdr:to>
    <xdr:sp macro="" textlink="印字値!$C$22">
      <xdr:nvSpPr>
        <xdr:cNvPr id="23" name="付表18">
          <a:extLst>
            <a:ext uri="{FF2B5EF4-FFF2-40B4-BE49-F238E27FC236}">
              <a16:creationId xmlns:a16="http://schemas.microsoft.com/office/drawing/2014/main" id="{33A7368A-7AB8-E775-70AB-EFCC1D6DFFB3}"/>
            </a:ext>
          </a:extLst>
        </xdr:cNvPr>
        <xdr:cNvSpPr txBox="1"/>
      </xdr:nvSpPr>
      <xdr:spPr>
        <a:xfrm>
          <a:off x="6350216" y="940422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CBEC7D6-9899-4B38-9BE7-A4C362E29F55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0</xdr:row>
      <xdr:rowOff>1417676</xdr:rowOff>
    </xdr:from>
    <xdr:to>
      <xdr:col>10</xdr:col>
      <xdr:colOff>520916</xdr:colOff>
      <xdr:row>0</xdr:row>
      <xdr:rowOff>1785976</xdr:rowOff>
    </xdr:to>
    <xdr:sp macro="" textlink="印字値!$C$23">
      <xdr:nvSpPr>
        <xdr:cNvPr id="24" name="付表19">
          <a:extLst>
            <a:ext uri="{FF2B5EF4-FFF2-40B4-BE49-F238E27FC236}">
              <a16:creationId xmlns:a16="http://schemas.microsoft.com/office/drawing/2014/main" id="{69AB6C27-AAEA-7604-8DBB-B4F67C7182C5}"/>
            </a:ext>
          </a:extLst>
        </xdr:cNvPr>
        <xdr:cNvSpPr txBox="1"/>
      </xdr:nvSpPr>
      <xdr:spPr>
        <a:xfrm>
          <a:off x="6350216" y="1417676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181DF55-4332-40D0-B241-D7E0416480E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0</xdr:row>
      <xdr:rowOff>1892783</xdr:rowOff>
    </xdr:from>
    <xdr:to>
      <xdr:col>10</xdr:col>
      <xdr:colOff>520916</xdr:colOff>
      <xdr:row>0</xdr:row>
      <xdr:rowOff>2261083</xdr:rowOff>
    </xdr:to>
    <xdr:sp macro="" textlink="印字値!$C$24">
      <xdr:nvSpPr>
        <xdr:cNvPr id="25" name="付表20">
          <a:extLst>
            <a:ext uri="{FF2B5EF4-FFF2-40B4-BE49-F238E27FC236}">
              <a16:creationId xmlns:a16="http://schemas.microsoft.com/office/drawing/2014/main" id="{59DCFC07-0D82-D93F-2220-06B436C06D1A}"/>
            </a:ext>
          </a:extLst>
        </xdr:cNvPr>
        <xdr:cNvSpPr txBox="1"/>
      </xdr:nvSpPr>
      <xdr:spPr>
        <a:xfrm>
          <a:off x="6350216" y="1892783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14FCDD2-6AD1-42A8-A9A4-5CB930AD3207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0</xdr:row>
      <xdr:rowOff>2367636</xdr:rowOff>
    </xdr:from>
    <xdr:to>
      <xdr:col>10</xdr:col>
      <xdr:colOff>520916</xdr:colOff>
      <xdr:row>0</xdr:row>
      <xdr:rowOff>2735936</xdr:rowOff>
    </xdr:to>
    <xdr:sp macro="" textlink="印字値!$C$25">
      <xdr:nvSpPr>
        <xdr:cNvPr id="26" name="付表21">
          <a:extLst>
            <a:ext uri="{FF2B5EF4-FFF2-40B4-BE49-F238E27FC236}">
              <a16:creationId xmlns:a16="http://schemas.microsoft.com/office/drawing/2014/main" id="{8D7A8C41-58A9-2415-8964-E56ED6B405D8}"/>
            </a:ext>
          </a:extLst>
        </xdr:cNvPr>
        <xdr:cNvSpPr txBox="1"/>
      </xdr:nvSpPr>
      <xdr:spPr>
        <a:xfrm>
          <a:off x="6350216" y="2367636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033E9DB-F90C-4189-8B9D-A3CD4026D56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0</xdr:row>
      <xdr:rowOff>2842489</xdr:rowOff>
    </xdr:from>
    <xdr:to>
      <xdr:col>10</xdr:col>
      <xdr:colOff>520916</xdr:colOff>
      <xdr:row>0</xdr:row>
      <xdr:rowOff>3210789</xdr:rowOff>
    </xdr:to>
    <xdr:sp macro="" textlink="印字値!$C$26">
      <xdr:nvSpPr>
        <xdr:cNvPr id="27" name="付表22">
          <a:extLst>
            <a:ext uri="{FF2B5EF4-FFF2-40B4-BE49-F238E27FC236}">
              <a16:creationId xmlns:a16="http://schemas.microsoft.com/office/drawing/2014/main" id="{80734C54-270D-EC25-314F-5562611B3FAE}"/>
            </a:ext>
          </a:extLst>
        </xdr:cNvPr>
        <xdr:cNvSpPr txBox="1"/>
      </xdr:nvSpPr>
      <xdr:spPr>
        <a:xfrm>
          <a:off x="6350216" y="2842489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5F51CEC-9E2A-4F99-8DFF-85942837B24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0</xdr:row>
      <xdr:rowOff>3317342</xdr:rowOff>
    </xdr:from>
    <xdr:to>
      <xdr:col>10</xdr:col>
      <xdr:colOff>520916</xdr:colOff>
      <xdr:row>0</xdr:row>
      <xdr:rowOff>3685642</xdr:rowOff>
    </xdr:to>
    <xdr:sp macro="" textlink="印字値!$C$27">
      <xdr:nvSpPr>
        <xdr:cNvPr id="28" name="付表23">
          <a:extLst>
            <a:ext uri="{FF2B5EF4-FFF2-40B4-BE49-F238E27FC236}">
              <a16:creationId xmlns:a16="http://schemas.microsoft.com/office/drawing/2014/main" id="{33D51579-2A88-AB7C-32E3-59C12AD4E354}"/>
            </a:ext>
          </a:extLst>
        </xdr:cNvPr>
        <xdr:cNvSpPr txBox="1"/>
      </xdr:nvSpPr>
      <xdr:spPr>
        <a:xfrm>
          <a:off x="6350216" y="3317342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C1F45CE-85D2-4C96-B5D2-E745CB31EFA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1</xdr:row>
      <xdr:rowOff>43409</xdr:rowOff>
    </xdr:from>
    <xdr:to>
      <xdr:col>10</xdr:col>
      <xdr:colOff>520916</xdr:colOff>
      <xdr:row>1</xdr:row>
      <xdr:rowOff>411709</xdr:rowOff>
    </xdr:to>
    <xdr:sp macro="" textlink="印字値!$C$28">
      <xdr:nvSpPr>
        <xdr:cNvPr id="29" name="付表24">
          <a:extLst>
            <a:ext uri="{FF2B5EF4-FFF2-40B4-BE49-F238E27FC236}">
              <a16:creationId xmlns:a16="http://schemas.microsoft.com/office/drawing/2014/main" id="{6F1D730D-D93F-DBF3-CEAC-4B6BEB416473}"/>
            </a:ext>
          </a:extLst>
        </xdr:cNvPr>
        <xdr:cNvSpPr txBox="1"/>
      </xdr:nvSpPr>
      <xdr:spPr>
        <a:xfrm>
          <a:off x="6350216" y="3792449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554D32C-4A2C-464F-915D-90E1F37E6CD4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1</xdr:row>
      <xdr:rowOff>518262</xdr:rowOff>
    </xdr:from>
    <xdr:to>
      <xdr:col>10</xdr:col>
      <xdr:colOff>520916</xdr:colOff>
      <xdr:row>1</xdr:row>
      <xdr:rowOff>886562</xdr:rowOff>
    </xdr:to>
    <xdr:sp macro="" textlink="印字値!$C$29">
      <xdr:nvSpPr>
        <xdr:cNvPr id="30" name="付表25">
          <a:extLst>
            <a:ext uri="{FF2B5EF4-FFF2-40B4-BE49-F238E27FC236}">
              <a16:creationId xmlns:a16="http://schemas.microsoft.com/office/drawing/2014/main" id="{62ACEF1A-37DF-B760-12A4-340572C6B47F}"/>
            </a:ext>
          </a:extLst>
        </xdr:cNvPr>
        <xdr:cNvSpPr txBox="1"/>
      </xdr:nvSpPr>
      <xdr:spPr>
        <a:xfrm>
          <a:off x="6350216" y="4267302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56819EA-8558-43E5-9B3F-BBACABF0F23A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1</xdr:row>
      <xdr:rowOff>993115</xdr:rowOff>
    </xdr:from>
    <xdr:to>
      <xdr:col>10</xdr:col>
      <xdr:colOff>520916</xdr:colOff>
      <xdr:row>1</xdr:row>
      <xdr:rowOff>1361415</xdr:rowOff>
    </xdr:to>
    <xdr:sp macro="" textlink="印字値!$C$30">
      <xdr:nvSpPr>
        <xdr:cNvPr id="31" name="付表26">
          <a:extLst>
            <a:ext uri="{FF2B5EF4-FFF2-40B4-BE49-F238E27FC236}">
              <a16:creationId xmlns:a16="http://schemas.microsoft.com/office/drawing/2014/main" id="{4B5CCDE4-1733-30F2-82B5-AA17196A3EBD}"/>
            </a:ext>
          </a:extLst>
        </xdr:cNvPr>
        <xdr:cNvSpPr txBox="1"/>
      </xdr:nvSpPr>
      <xdr:spPr>
        <a:xfrm>
          <a:off x="6350216" y="4742155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A790E06-D9E7-4663-A7AA-338797E81584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1</xdr:row>
      <xdr:rowOff>1467968</xdr:rowOff>
    </xdr:from>
    <xdr:to>
      <xdr:col>10</xdr:col>
      <xdr:colOff>520916</xdr:colOff>
      <xdr:row>1</xdr:row>
      <xdr:rowOff>1836268</xdr:rowOff>
    </xdr:to>
    <xdr:sp macro="" textlink="印字値!$C$31">
      <xdr:nvSpPr>
        <xdr:cNvPr id="32" name="付表27">
          <a:extLst>
            <a:ext uri="{FF2B5EF4-FFF2-40B4-BE49-F238E27FC236}">
              <a16:creationId xmlns:a16="http://schemas.microsoft.com/office/drawing/2014/main" id="{55DDC461-659E-FBC1-35CB-4CF40CDEBE27}"/>
            </a:ext>
          </a:extLst>
        </xdr:cNvPr>
        <xdr:cNvSpPr txBox="1"/>
      </xdr:nvSpPr>
      <xdr:spPr>
        <a:xfrm>
          <a:off x="6350216" y="5217008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20FA68E-896E-42D0-AC71-A3C96951CB4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1</xdr:row>
      <xdr:rowOff>1943075</xdr:rowOff>
    </xdr:from>
    <xdr:to>
      <xdr:col>10</xdr:col>
      <xdr:colOff>520916</xdr:colOff>
      <xdr:row>1</xdr:row>
      <xdr:rowOff>2311375</xdr:rowOff>
    </xdr:to>
    <xdr:sp macro="" textlink="印字値!$C$32">
      <xdr:nvSpPr>
        <xdr:cNvPr id="33" name="付表28">
          <a:extLst>
            <a:ext uri="{FF2B5EF4-FFF2-40B4-BE49-F238E27FC236}">
              <a16:creationId xmlns:a16="http://schemas.microsoft.com/office/drawing/2014/main" id="{E4995D17-DECD-2BE3-072A-1CD6C02C82D8}"/>
            </a:ext>
          </a:extLst>
        </xdr:cNvPr>
        <xdr:cNvSpPr txBox="1"/>
      </xdr:nvSpPr>
      <xdr:spPr>
        <a:xfrm>
          <a:off x="6350216" y="5692115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8F2530E-82AA-4FBC-ACD9-77235260D51D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1</xdr:row>
      <xdr:rowOff>2417928</xdr:rowOff>
    </xdr:from>
    <xdr:to>
      <xdr:col>10</xdr:col>
      <xdr:colOff>520916</xdr:colOff>
      <xdr:row>1</xdr:row>
      <xdr:rowOff>2786228</xdr:rowOff>
    </xdr:to>
    <xdr:sp macro="" textlink="印字値!$C$33">
      <xdr:nvSpPr>
        <xdr:cNvPr id="34" name="付表29">
          <a:extLst>
            <a:ext uri="{FF2B5EF4-FFF2-40B4-BE49-F238E27FC236}">
              <a16:creationId xmlns:a16="http://schemas.microsoft.com/office/drawing/2014/main" id="{26A29AED-7301-DC23-78DE-0840951AB025}"/>
            </a:ext>
          </a:extLst>
        </xdr:cNvPr>
        <xdr:cNvSpPr txBox="1"/>
      </xdr:nvSpPr>
      <xdr:spPr>
        <a:xfrm>
          <a:off x="6350216" y="6166968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A9EF8BE-6F58-478B-80AE-3C4CC2DA7494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1</xdr:row>
      <xdr:rowOff>2892781</xdr:rowOff>
    </xdr:from>
    <xdr:to>
      <xdr:col>10</xdr:col>
      <xdr:colOff>520916</xdr:colOff>
      <xdr:row>1</xdr:row>
      <xdr:rowOff>3261081</xdr:rowOff>
    </xdr:to>
    <xdr:sp macro="" textlink="印字値!$C$34">
      <xdr:nvSpPr>
        <xdr:cNvPr id="35" name="付表30">
          <a:extLst>
            <a:ext uri="{FF2B5EF4-FFF2-40B4-BE49-F238E27FC236}">
              <a16:creationId xmlns:a16="http://schemas.microsoft.com/office/drawing/2014/main" id="{CD006B9A-D757-3480-6885-71C58F98168B}"/>
            </a:ext>
          </a:extLst>
        </xdr:cNvPr>
        <xdr:cNvSpPr txBox="1"/>
      </xdr:nvSpPr>
      <xdr:spPr>
        <a:xfrm>
          <a:off x="6350216" y="6641821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5E60AE3-775C-42E6-B10C-3A76BD4301B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1</xdr:row>
      <xdr:rowOff>3367633</xdr:rowOff>
    </xdr:from>
    <xdr:to>
      <xdr:col>10</xdr:col>
      <xdr:colOff>520916</xdr:colOff>
      <xdr:row>1</xdr:row>
      <xdr:rowOff>3735933</xdr:rowOff>
    </xdr:to>
    <xdr:sp macro="" textlink="印字値!$C$35">
      <xdr:nvSpPr>
        <xdr:cNvPr id="36" name="付表31">
          <a:extLst>
            <a:ext uri="{FF2B5EF4-FFF2-40B4-BE49-F238E27FC236}">
              <a16:creationId xmlns:a16="http://schemas.microsoft.com/office/drawing/2014/main" id="{8AAB460D-9012-CB9B-6FAF-31E369E12E77}"/>
            </a:ext>
          </a:extLst>
        </xdr:cNvPr>
        <xdr:cNvSpPr txBox="1"/>
      </xdr:nvSpPr>
      <xdr:spPr>
        <a:xfrm>
          <a:off x="6350216" y="7116673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C4521D6-8099-4D9E-8147-DEF19BB04FE4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2</xdr:row>
      <xdr:rowOff>93701</xdr:rowOff>
    </xdr:from>
    <xdr:to>
      <xdr:col>10</xdr:col>
      <xdr:colOff>520916</xdr:colOff>
      <xdr:row>2</xdr:row>
      <xdr:rowOff>576301</xdr:rowOff>
    </xdr:to>
    <xdr:sp macro="" textlink="印字値!$C$36">
      <xdr:nvSpPr>
        <xdr:cNvPr id="37" name="付表32">
          <a:extLst>
            <a:ext uri="{FF2B5EF4-FFF2-40B4-BE49-F238E27FC236}">
              <a16:creationId xmlns:a16="http://schemas.microsoft.com/office/drawing/2014/main" id="{6A096E85-7B83-B780-C55E-2B42FBD25FFE}"/>
            </a:ext>
          </a:extLst>
        </xdr:cNvPr>
        <xdr:cNvSpPr txBox="1"/>
      </xdr:nvSpPr>
      <xdr:spPr>
        <a:xfrm>
          <a:off x="6350216" y="7591781"/>
          <a:ext cx="8001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D9B567D-D134-4935-8D3E-45A60240C6B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2</xdr:row>
      <xdr:rowOff>687235</xdr:rowOff>
    </xdr:from>
    <xdr:to>
      <xdr:col>10</xdr:col>
      <xdr:colOff>520916</xdr:colOff>
      <xdr:row>2</xdr:row>
      <xdr:rowOff>1055535</xdr:rowOff>
    </xdr:to>
    <xdr:sp macro="" textlink="印字値!$C$37">
      <xdr:nvSpPr>
        <xdr:cNvPr id="38" name="付表33">
          <a:extLst>
            <a:ext uri="{FF2B5EF4-FFF2-40B4-BE49-F238E27FC236}">
              <a16:creationId xmlns:a16="http://schemas.microsoft.com/office/drawing/2014/main" id="{880B84D1-B07A-E4DE-C66A-E9F1E318CBEB}"/>
            </a:ext>
          </a:extLst>
        </xdr:cNvPr>
        <xdr:cNvSpPr txBox="1"/>
      </xdr:nvSpPr>
      <xdr:spPr>
        <a:xfrm>
          <a:off x="6350216" y="8185315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D32C2F6-706E-40B8-A414-2D3B8DAC0A51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383756</xdr:colOff>
      <xdr:row>2</xdr:row>
      <xdr:rowOff>1162088</xdr:rowOff>
    </xdr:from>
    <xdr:to>
      <xdr:col>10</xdr:col>
      <xdr:colOff>520916</xdr:colOff>
      <xdr:row>2</xdr:row>
      <xdr:rowOff>1530388</xdr:rowOff>
    </xdr:to>
    <xdr:sp macro="" textlink="印字値!$C$38">
      <xdr:nvSpPr>
        <xdr:cNvPr id="39" name="付表34">
          <a:extLst>
            <a:ext uri="{FF2B5EF4-FFF2-40B4-BE49-F238E27FC236}">
              <a16:creationId xmlns:a16="http://schemas.microsoft.com/office/drawing/2014/main" id="{B9768279-9614-4039-9288-AD9CD7B463A2}"/>
            </a:ext>
          </a:extLst>
        </xdr:cNvPr>
        <xdr:cNvSpPr txBox="1"/>
      </xdr:nvSpPr>
      <xdr:spPr>
        <a:xfrm>
          <a:off x="6350216" y="8660168"/>
          <a:ext cx="8001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8E97D60-3782-4719-992B-27EB4ADD9D7C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20,000,000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12</xdr:col>
      <xdr:colOff>3175</xdr:colOff>
      <xdr:row>3</xdr:row>
      <xdr:rowOff>8001</xdr:rowOff>
    </xdr:to>
    <xdr:pic>
      <xdr:nvPicPr>
        <xdr:cNvPr id="3" name="国税庁公式様式_背景">
          <a:extLst>
            <a:ext uri="{FF2B5EF4-FFF2-40B4-BE49-F238E27FC236}">
              <a16:creationId xmlns:a16="http://schemas.microsoft.com/office/drawing/2014/main" id="{E9C08E03-3AD4-7139-08BE-53AB53866F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958455" cy="11255121"/>
        </a:xfrm>
        <a:prstGeom prst="rect">
          <a:avLst/>
        </a:prstGeom>
      </xdr:spPr>
    </xdr:pic>
    <xdr:clientData/>
  </xdr:twoCellAnchor>
  <xdr:twoCellAnchor editAs="absolute">
    <xdr:from>
      <xdr:col>6</xdr:col>
      <xdr:colOff>405536</xdr:colOff>
      <xdr:row>0</xdr:row>
      <xdr:rowOff>477253</xdr:rowOff>
    </xdr:from>
    <xdr:to>
      <xdr:col>8</xdr:col>
      <xdr:colOff>19456</xdr:colOff>
      <xdr:row>0</xdr:row>
      <xdr:rowOff>870953</xdr:rowOff>
    </xdr:to>
    <xdr:sp macro="" textlink="印字値!$A$2">
      <xdr:nvSpPr>
        <xdr:cNvPr id="4" name="事業年度">
          <a:extLst>
            <a:ext uri="{FF2B5EF4-FFF2-40B4-BE49-F238E27FC236}">
              <a16:creationId xmlns:a16="http://schemas.microsoft.com/office/drawing/2014/main" id="{F27C64C5-A340-84FC-E4D5-92EF3E66B037}"/>
            </a:ext>
          </a:extLst>
        </xdr:cNvPr>
        <xdr:cNvSpPr txBox="1"/>
      </xdr:nvSpPr>
      <xdr:spPr>
        <a:xfrm>
          <a:off x="4383176" y="477253"/>
          <a:ext cx="939800" cy="393700"/>
        </a:xfrm>
        <a:prstGeom prst="rect">
          <a:avLst/>
        </a:prstGeom>
        <a:solidFill>
          <a:srgbClr val="FFFFFF"/>
        </a:solidFill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ctr"/>
          <a:fld id="{1B7D874D-BE64-4FFC-B1F8-92B404537DDE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ctr"/>
            <a:t>2025.4.1
2026.3.31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8</xdr:col>
      <xdr:colOff>403377</xdr:colOff>
      <xdr:row>0</xdr:row>
      <xdr:rowOff>477253</xdr:rowOff>
    </xdr:from>
    <xdr:to>
      <xdr:col>10</xdr:col>
      <xdr:colOff>537997</xdr:colOff>
      <xdr:row>0</xdr:row>
      <xdr:rowOff>870953</xdr:rowOff>
    </xdr:to>
    <xdr:sp macro="" textlink="印字値!$A$1">
      <xdr:nvSpPr>
        <xdr:cNvPr id="5" name="法人名">
          <a:extLst>
            <a:ext uri="{FF2B5EF4-FFF2-40B4-BE49-F238E27FC236}">
              <a16:creationId xmlns:a16="http://schemas.microsoft.com/office/drawing/2014/main" id="{39C5CC84-FD43-DBF2-7013-002F9AF80952}"/>
            </a:ext>
          </a:extLst>
        </xdr:cNvPr>
        <xdr:cNvSpPr txBox="1"/>
      </xdr:nvSpPr>
      <xdr:spPr>
        <a:xfrm>
          <a:off x="5706897" y="477253"/>
          <a:ext cx="14605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l"/>
          <a:fld id="{B73896CD-DA67-48C8-A533-84A893278567}" type="TxLink">
            <a:rPr kumimoji="1" lang="en-US" altLang="en-US" sz="51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l"/>
            <a:t> </a:t>
          </a:fld>
          <a:endParaRPr kumimoji="1" lang="ja-JP" altLang="en-US" sz="51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521297</xdr:colOff>
      <xdr:row>0</xdr:row>
      <xdr:rowOff>1128941</xdr:rowOff>
    </xdr:from>
    <xdr:to>
      <xdr:col>5</xdr:col>
      <xdr:colOff>569557</xdr:colOff>
      <xdr:row>0</xdr:row>
      <xdr:rowOff>1522641</xdr:rowOff>
    </xdr:to>
    <xdr:sp macro="" textlink="印字値!$E$5">
      <xdr:nvSpPr>
        <xdr:cNvPr id="6" name="付表二01">
          <a:extLst>
            <a:ext uri="{FF2B5EF4-FFF2-40B4-BE49-F238E27FC236}">
              <a16:creationId xmlns:a16="http://schemas.microsoft.com/office/drawing/2014/main" id="{A1A3DF21-B07A-C875-B17A-CF896BCF89DB}"/>
            </a:ext>
          </a:extLst>
        </xdr:cNvPr>
        <xdr:cNvSpPr txBox="1"/>
      </xdr:nvSpPr>
      <xdr:spPr>
        <a:xfrm>
          <a:off x="3173057" y="1128941"/>
          <a:ext cx="7112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B016B9A-3BC6-4D68-8729-18489072E0D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521297</xdr:colOff>
      <xdr:row>0</xdr:row>
      <xdr:rowOff>1629702</xdr:rowOff>
    </xdr:from>
    <xdr:to>
      <xdr:col>5</xdr:col>
      <xdr:colOff>569557</xdr:colOff>
      <xdr:row>0</xdr:row>
      <xdr:rowOff>2023402</xdr:rowOff>
    </xdr:to>
    <xdr:sp macro="" textlink="印字値!$E$6">
      <xdr:nvSpPr>
        <xdr:cNvPr id="7" name="付表二02">
          <a:extLst>
            <a:ext uri="{FF2B5EF4-FFF2-40B4-BE49-F238E27FC236}">
              <a16:creationId xmlns:a16="http://schemas.microsoft.com/office/drawing/2014/main" id="{0E5EBA5D-C446-763C-12DC-AA6CD92A3089}"/>
            </a:ext>
          </a:extLst>
        </xdr:cNvPr>
        <xdr:cNvSpPr txBox="1"/>
      </xdr:nvSpPr>
      <xdr:spPr>
        <a:xfrm>
          <a:off x="3173057" y="1629702"/>
          <a:ext cx="7112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DF50C7D-7755-4DED-B527-BD2E67C3C02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521297</xdr:colOff>
      <xdr:row>0</xdr:row>
      <xdr:rowOff>2130273</xdr:rowOff>
    </xdr:from>
    <xdr:to>
      <xdr:col>5</xdr:col>
      <xdr:colOff>569557</xdr:colOff>
      <xdr:row>0</xdr:row>
      <xdr:rowOff>2523973</xdr:rowOff>
    </xdr:to>
    <xdr:sp macro="" textlink="印字値!$E$7">
      <xdr:nvSpPr>
        <xdr:cNvPr id="8" name="付表二03">
          <a:extLst>
            <a:ext uri="{FF2B5EF4-FFF2-40B4-BE49-F238E27FC236}">
              <a16:creationId xmlns:a16="http://schemas.microsoft.com/office/drawing/2014/main" id="{C302D169-1AA1-BBC6-5B9B-FE3F19C4230D}"/>
            </a:ext>
          </a:extLst>
        </xdr:cNvPr>
        <xdr:cNvSpPr txBox="1"/>
      </xdr:nvSpPr>
      <xdr:spPr>
        <a:xfrm>
          <a:off x="3173057" y="2130273"/>
          <a:ext cx="7112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AAC25AD-D54D-436D-8D1D-A1AC12E60944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521297</xdr:colOff>
      <xdr:row>0</xdr:row>
      <xdr:rowOff>2630780</xdr:rowOff>
    </xdr:from>
    <xdr:to>
      <xdr:col>5</xdr:col>
      <xdr:colOff>569557</xdr:colOff>
      <xdr:row>0</xdr:row>
      <xdr:rowOff>3024480</xdr:rowOff>
    </xdr:to>
    <xdr:sp macro="" textlink="印字値!$E$8">
      <xdr:nvSpPr>
        <xdr:cNvPr id="9" name="付表二04">
          <a:extLst>
            <a:ext uri="{FF2B5EF4-FFF2-40B4-BE49-F238E27FC236}">
              <a16:creationId xmlns:a16="http://schemas.microsoft.com/office/drawing/2014/main" id="{C4DB4620-6733-C3BC-E820-FFA32BBA70B8}"/>
            </a:ext>
          </a:extLst>
        </xdr:cNvPr>
        <xdr:cNvSpPr txBox="1"/>
      </xdr:nvSpPr>
      <xdr:spPr>
        <a:xfrm>
          <a:off x="3173057" y="2630780"/>
          <a:ext cx="7112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FB2ADE5-91E1-4274-AF23-A9FD1CD14345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521297</xdr:colOff>
      <xdr:row>0</xdr:row>
      <xdr:rowOff>3131287</xdr:rowOff>
    </xdr:from>
    <xdr:to>
      <xdr:col>5</xdr:col>
      <xdr:colOff>569557</xdr:colOff>
      <xdr:row>0</xdr:row>
      <xdr:rowOff>3524987</xdr:rowOff>
    </xdr:to>
    <xdr:sp macro="" textlink="印字値!$E$9">
      <xdr:nvSpPr>
        <xdr:cNvPr id="10" name="付表二05">
          <a:extLst>
            <a:ext uri="{FF2B5EF4-FFF2-40B4-BE49-F238E27FC236}">
              <a16:creationId xmlns:a16="http://schemas.microsoft.com/office/drawing/2014/main" id="{BD700EA4-5399-214D-9BF7-E533FCC202FA}"/>
            </a:ext>
          </a:extLst>
        </xdr:cNvPr>
        <xdr:cNvSpPr txBox="1"/>
      </xdr:nvSpPr>
      <xdr:spPr>
        <a:xfrm>
          <a:off x="3173057" y="3131287"/>
          <a:ext cx="7112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ECA5AD2-BDA8-47F0-A2B5-32985BA3E035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471957</xdr:colOff>
      <xdr:row>0</xdr:row>
      <xdr:rowOff>1128941</xdr:rowOff>
    </xdr:from>
    <xdr:to>
      <xdr:col>10</xdr:col>
      <xdr:colOff>520217</xdr:colOff>
      <xdr:row>0</xdr:row>
      <xdr:rowOff>1522641</xdr:rowOff>
    </xdr:to>
    <xdr:sp macro="" textlink="印字値!$E$10">
      <xdr:nvSpPr>
        <xdr:cNvPr id="11" name="付表二06">
          <a:extLst>
            <a:ext uri="{FF2B5EF4-FFF2-40B4-BE49-F238E27FC236}">
              <a16:creationId xmlns:a16="http://schemas.microsoft.com/office/drawing/2014/main" id="{CBD14898-6641-9563-2B4D-B9A95527E0FA}"/>
            </a:ext>
          </a:extLst>
        </xdr:cNvPr>
        <xdr:cNvSpPr txBox="1"/>
      </xdr:nvSpPr>
      <xdr:spPr>
        <a:xfrm>
          <a:off x="6438417" y="1128941"/>
          <a:ext cx="7112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DD4996D-8ECE-410C-8D29-5B40B0B0916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471957</xdr:colOff>
      <xdr:row>0</xdr:row>
      <xdr:rowOff>1629702</xdr:rowOff>
    </xdr:from>
    <xdr:to>
      <xdr:col>10</xdr:col>
      <xdr:colOff>520217</xdr:colOff>
      <xdr:row>0</xdr:row>
      <xdr:rowOff>2023402</xdr:rowOff>
    </xdr:to>
    <xdr:sp macro="" textlink="印字値!$E$11">
      <xdr:nvSpPr>
        <xdr:cNvPr id="12" name="付表二07">
          <a:extLst>
            <a:ext uri="{FF2B5EF4-FFF2-40B4-BE49-F238E27FC236}">
              <a16:creationId xmlns:a16="http://schemas.microsoft.com/office/drawing/2014/main" id="{8C68C7B6-0310-31FA-7BBA-F11517DB3BE4}"/>
            </a:ext>
          </a:extLst>
        </xdr:cNvPr>
        <xdr:cNvSpPr txBox="1"/>
      </xdr:nvSpPr>
      <xdr:spPr>
        <a:xfrm>
          <a:off x="6438417" y="1629702"/>
          <a:ext cx="7112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4DC3AF77-436A-4B40-BAFE-15E84B29374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471957</xdr:colOff>
      <xdr:row>0</xdr:row>
      <xdr:rowOff>2130273</xdr:rowOff>
    </xdr:from>
    <xdr:to>
      <xdr:col>10</xdr:col>
      <xdr:colOff>520217</xdr:colOff>
      <xdr:row>0</xdr:row>
      <xdr:rowOff>2523973</xdr:rowOff>
    </xdr:to>
    <xdr:sp macro="" textlink="印字値!$E$12">
      <xdr:nvSpPr>
        <xdr:cNvPr id="13" name="付表二08">
          <a:extLst>
            <a:ext uri="{FF2B5EF4-FFF2-40B4-BE49-F238E27FC236}">
              <a16:creationId xmlns:a16="http://schemas.microsoft.com/office/drawing/2014/main" id="{98896E71-98C7-2922-2CE7-3382E3F84F1F}"/>
            </a:ext>
          </a:extLst>
        </xdr:cNvPr>
        <xdr:cNvSpPr txBox="1"/>
      </xdr:nvSpPr>
      <xdr:spPr>
        <a:xfrm>
          <a:off x="6438417" y="2130273"/>
          <a:ext cx="7112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425C208-88E5-4360-B4F5-6182C30C66F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471957</xdr:colOff>
      <xdr:row>0</xdr:row>
      <xdr:rowOff>2630780</xdr:rowOff>
    </xdr:from>
    <xdr:to>
      <xdr:col>10</xdr:col>
      <xdr:colOff>520217</xdr:colOff>
      <xdr:row>0</xdr:row>
      <xdr:rowOff>3024480</xdr:rowOff>
    </xdr:to>
    <xdr:sp macro="" textlink="印字値!$E$13">
      <xdr:nvSpPr>
        <xdr:cNvPr id="14" name="付表二09">
          <a:extLst>
            <a:ext uri="{FF2B5EF4-FFF2-40B4-BE49-F238E27FC236}">
              <a16:creationId xmlns:a16="http://schemas.microsoft.com/office/drawing/2014/main" id="{84085E57-FD25-1559-DACF-E9C14E94BCC6}"/>
            </a:ext>
          </a:extLst>
        </xdr:cNvPr>
        <xdr:cNvSpPr txBox="1"/>
      </xdr:nvSpPr>
      <xdr:spPr>
        <a:xfrm>
          <a:off x="6438417" y="2630780"/>
          <a:ext cx="7112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6FA9558-7FCF-4766-B30D-B95229C9986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471957</xdr:colOff>
      <xdr:row>0</xdr:row>
      <xdr:rowOff>3131287</xdr:rowOff>
    </xdr:from>
    <xdr:to>
      <xdr:col>10</xdr:col>
      <xdr:colOff>520217</xdr:colOff>
      <xdr:row>0</xdr:row>
      <xdr:rowOff>3524987</xdr:rowOff>
    </xdr:to>
    <xdr:sp macro="" textlink="印字値!$E$14">
      <xdr:nvSpPr>
        <xdr:cNvPr id="15" name="付表二10">
          <a:extLst>
            <a:ext uri="{FF2B5EF4-FFF2-40B4-BE49-F238E27FC236}">
              <a16:creationId xmlns:a16="http://schemas.microsoft.com/office/drawing/2014/main" id="{ABFF08FD-0511-1336-77EA-8A3535A511BD}"/>
            </a:ext>
          </a:extLst>
        </xdr:cNvPr>
        <xdr:cNvSpPr txBox="1"/>
      </xdr:nvSpPr>
      <xdr:spPr>
        <a:xfrm>
          <a:off x="6438417" y="3131287"/>
          <a:ext cx="7112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7A4B6F0-895F-4A06-8731-E95017ACD91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521297</xdr:colOff>
      <xdr:row>1</xdr:row>
      <xdr:rowOff>69063</xdr:rowOff>
    </xdr:from>
    <xdr:to>
      <xdr:col>5</xdr:col>
      <xdr:colOff>569557</xdr:colOff>
      <xdr:row>1</xdr:row>
      <xdr:rowOff>678663</xdr:rowOff>
    </xdr:to>
    <xdr:sp macro="" textlink="印字値!$E$15">
      <xdr:nvSpPr>
        <xdr:cNvPr id="16" name="付表二11">
          <a:extLst>
            <a:ext uri="{FF2B5EF4-FFF2-40B4-BE49-F238E27FC236}">
              <a16:creationId xmlns:a16="http://schemas.microsoft.com/office/drawing/2014/main" id="{C61F16AF-205A-0A0C-3604-D855C13C3CD2}"/>
            </a:ext>
          </a:extLst>
        </xdr:cNvPr>
        <xdr:cNvSpPr txBox="1"/>
      </xdr:nvSpPr>
      <xdr:spPr>
        <a:xfrm>
          <a:off x="3173057" y="3818103"/>
          <a:ext cx="711200" cy="609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BC6A4B2-FEBC-4ED0-9902-8D7561039685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521297</xdr:colOff>
      <xdr:row>1</xdr:row>
      <xdr:rowOff>781342</xdr:rowOff>
    </xdr:from>
    <xdr:to>
      <xdr:col>5</xdr:col>
      <xdr:colOff>569557</xdr:colOff>
      <xdr:row>1</xdr:row>
      <xdr:rowOff>1390942</xdr:rowOff>
    </xdr:to>
    <xdr:sp macro="" textlink="印字値!$E$16">
      <xdr:nvSpPr>
        <xdr:cNvPr id="17" name="付表二12">
          <a:extLst>
            <a:ext uri="{FF2B5EF4-FFF2-40B4-BE49-F238E27FC236}">
              <a16:creationId xmlns:a16="http://schemas.microsoft.com/office/drawing/2014/main" id="{2E64D90D-6416-92D8-D8FB-56F44400E810}"/>
            </a:ext>
          </a:extLst>
        </xdr:cNvPr>
        <xdr:cNvSpPr txBox="1"/>
      </xdr:nvSpPr>
      <xdr:spPr>
        <a:xfrm>
          <a:off x="3173057" y="4530382"/>
          <a:ext cx="711200" cy="609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2E4B903-C544-441C-9EDC-92E235E2D1AD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521297</xdr:colOff>
      <xdr:row>1</xdr:row>
      <xdr:rowOff>1493622</xdr:rowOff>
    </xdr:from>
    <xdr:to>
      <xdr:col>5</xdr:col>
      <xdr:colOff>569557</xdr:colOff>
      <xdr:row>1</xdr:row>
      <xdr:rowOff>2103222</xdr:rowOff>
    </xdr:to>
    <xdr:sp macro="" textlink="印字値!$E$17">
      <xdr:nvSpPr>
        <xdr:cNvPr id="18" name="付表二13">
          <a:extLst>
            <a:ext uri="{FF2B5EF4-FFF2-40B4-BE49-F238E27FC236}">
              <a16:creationId xmlns:a16="http://schemas.microsoft.com/office/drawing/2014/main" id="{8273125E-FB9D-EDE3-2C51-CEAADC664E84}"/>
            </a:ext>
          </a:extLst>
        </xdr:cNvPr>
        <xdr:cNvSpPr txBox="1"/>
      </xdr:nvSpPr>
      <xdr:spPr>
        <a:xfrm>
          <a:off x="3173057" y="5242662"/>
          <a:ext cx="711200" cy="609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CA1CA9F-2240-4914-843A-75175A4ED8F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471957</xdr:colOff>
      <xdr:row>1</xdr:row>
      <xdr:rowOff>69063</xdr:rowOff>
    </xdr:from>
    <xdr:to>
      <xdr:col>10</xdr:col>
      <xdr:colOff>520217</xdr:colOff>
      <xdr:row>1</xdr:row>
      <xdr:rowOff>437363</xdr:rowOff>
    </xdr:to>
    <xdr:sp macro="" textlink="印字値!$E$18">
      <xdr:nvSpPr>
        <xdr:cNvPr id="19" name="付表二14">
          <a:extLst>
            <a:ext uri="{FF2B5EF4-FFF2-40B4-BE49-F238E27FC236}">
              <a16:creationId xmlns:a16="http://schemas.microsoft.com/office/drawing/2014/main" id="{73C24DE2-47A2-9618-819F-11AC38B3E57B}"/>
            </a:ext>
          </a:extLst>
        </xdr:cNvPr>
        <xdr:cNvSpPr txBox="1"/>
      </xdr:nvSpPr>
      <xdr:spPr>
        <a:xfrm>
          <a:off x="6438417" y="3818103"/>
          <a:ext cx="7112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27B35B7-9CC4-4ED8-A195-125C466FE1B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471957</xdr:colOff>
      <xdr:row>1</xdr:row>
      <xdr:rowOff>543916</xdr:rowOff>
    </xdr:from>
    <xdr:to>
      <xdr:col>10</xdr:col>
      <xdr:colOff>520217</xdr:colOff>
      <xdr:row>1</xdr:row>
      <xdr:rowOff>912216</xdr:rowOff>
    </xdr:to>
    <xdr:sp macro="" textlink="印字値!$E$19">
      <xdr:nvSpPr>
        <xdr:cNvPr id="20" name="付表二15">
          <a:extLst>
            <a:ext uri="{FF2B5EF4-FFF2-40B4-BE49-F238E27FC236}">
              <a16:creationId xmlns:a16="http://schemas.microsoft.com/office/drawing/2014/main" id="{59CED29B-1E9A-FEBD-1B6E-BD1F3B4C6B38}"/>
            </a:ext>
          </a:extLst>
        </xdr:cNvPr>
        <xdr:cNvSpPr txBox="1"/>
      </xdr:nvSpPr>
      <xdr:spPr>
        <a:xfrm>
          <a:off x="6438417" y="4292956"/>
          <a:ext cx="7112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909D138-201D-4961-A8C9-D7888C98FD6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471957</xdr:colOff>
      <xdr:row>1</xdr:row>
      <xdr:rowOff>1018769</xdr:rowOff>
    </xdr:from>
    <xdr:to>
      <xdr:col>10</xdr:col>
      <xdr:colOff>520217</xdr:colOff>
      <xdr:row>1</xdr:row>
      <xdr:rowOff>1387069</xdr:rowOff>
    </xdr:to>
    <xdr:sp macro="" textlink="印字値!$E$20">
      <xdr:nvSpPr>
        <xdr:cNvPr id="21" name="付表二16">
          <a:extLst>
            <a:ext uri="{FF2B5EF4-FFF2-40B4-BE49-F238E27FC236}">
              <a16:creationId xmlns:a16="http://schemas.microsoft.com/office/drawing/2014/main" id="{9AC5F60B-E5B2-215A-15B7-AF435E994478}"/>
            </a:ext>
          </a:extLst>
        </xdr:cNvPr>
        <xdr:cNvSpPr txBox="1"/>
      </xdr:nvSpPr>
      <xdr:spPr>
        <a:xfrm>
          <a:off x="6438417" y="4767809"/>
          <a:ext cx="7112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BFCBC5C-91C1-4F1B-ACB9-8D3B10E748A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471957</xdr:colOff>
      <xdr:row>1</xdr:row>
      <xdr:rowOff>1493622</xdr:rowOff>
    </xdr:from>
    <xdr:to>
      <xdr:col>10</xdr:col>
      <xdr:colOff>520217</xdr:colOff>
      <xdr:row>1</xdr:row>
      <xdr:rowOff>2103222</xdr:rowOff>
    </xdr:to>
    <xdr:sp macro="" textlink="印字値!$E$21">
      <xdr:nvSpPr>
        <xdr:cNvPr id="22" name="付表二17">
          <a:extLst>
            <a:ext uri="{FF2B5EF4-FFF2-40B4-BE49-F238E27FC236}">
              <a16:creationId xmlns:a16="http://schemas.microsoft.com/office/drawing/2014/main" id="{59BC3316-055B-2CC8-9DF9-E81BBC9AF785}"/>
            </a:ext>
          </a:extLst>
        </xdr:cNvPr>
        <xdr:cNvSpPr txBox="1"/>
      </xdr:nvSpPr>
      <xdr:spPr>
        <a:xfrm>
          <a:off x="6438417" y="5242662"/>
          <a:ext cx="711200" cy="609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111C3D4-AEFC-442E-81AE-15A16130F53A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521297</xdr:colOff>
      <xdr:row>1</xdr:row>
      <xdr:rowOff>2392274</xdr:rowOff>
    </xdr:from>
    <xdr:to>
      <xdr:col>5</xdr:col>
      <xdr:colOff>569557</xdr:colOff>
      <xdr:row>1</xdr:row>
      <xdr:rowOff>2785974</xdr:rowOff>
    </xdr:to>
    <xdr:sp macro="" textlink="印字値!$E$22">
      <xdr:nvSpPr>
        <xdr:cNvPr id="23" name="付表二18">
          <a:extLst>
            <a:ext uri="{FF2B5EF4-FFF2-40B4-BE49-F238E27FC236}">
              <a16:creationId xmlns:a16="http://schemas.microsoft.com/office/drawing/2014/main" id="{40033816-92F9-E986-2D03-0EE05BECD7F7}"/>
            </a:ext>
          </a:extLst>
        </xdr:cNvPr>
        <xdr:cNvSpPr txBox="1"/>
      </xdr:nvSpPr>
      <xdr:spPr>
        <a:xfrm>
          <a:off x="3173057" y="6141314"/>
          <a:ext cx="7112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D1E6D1C-6CBF-4B6C-8010-844466FBE8DD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521297</xdr:colOff>
      <xdr:row>1</xdr:row>
      <xdr:rowOff>2892781</xdr:rowOff>
    </xdr:from>
    <xdr:to>
      <xdr:col>5</xdr:col>
      <xdr:colOff>569557</xdr:colOff>
      <xdr:row>1</xdr:row>
      <xdr:rowOff>3286481</xdr:rowOff>
    </xdr:to>
    <xdr:sp macro="" textlink="印字値!$E$23">
      <xdr:nvSpPr>
        <xdr:cNvPr id="24" name="付表二19">
          <a:extLst>
            <a:ext uri="{FF2B5EF4-FFF2-40B4-BE49-F238E27FC236}">
              <a16:creationId xmlns:a16="http://schemas.microsoft.com/office/drawing/2014/main" id="{4612B295-2692-1C1D-8C5A-369D6FA926A1}"/>
            </a:ext>
          </a:extLst>
        </xdr:cNvPr>
        <xdr:cNvSpPr txBox="1"/>
      </xdr:nvSpPr>
      <xdr:spPr>
        <a:xfrm>
          <a:off x="3173057" y="6641821"/>
          <a:ext cx="7112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4AFE2FA3-CC5A-4F57-8BAE-1970445F780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521297</xdr:colOff>
      <xdr:row>1</xdr:row>
      <xdr:rowOff>3393542</xdr:rowOff>
    </xdr:from>
    <xdr:to>
      <xdr:col>5</xdr:col>
      <xdr:colOff>569557</xdr:colOff>
      <xdr:row>2</xdr:row>
      <xdr:rowOff>38202</xdr:rowOff>
    </xdr:to>
    <xdr:sp macro="" textlink="印字値!$E$24">
      <xdr:nvSpPr>
        <xdr:cNvPr id="25" name="付表二20">
          <a:extLst>
            <a:ext uri="{FF2B5EF4-FFF2-40B4-BE49-F238E27FC236}">
              <a16:creationId xmlns:a16="http://schemas.microsoft.com/office/drawing/2014/main" id="{08ECE287-2EC9-C344-F192-F2D57323AC2F}"/>
            </a:ext>
          </a:extLst>
        </xdr:cNvPr>
        <xdr:cNvSpPr txBox="1"/>
      </xdr:nvSpPr>
      <xdr:spPr>
        <a:xfrm>
          <a:off x="3173057" y="7142582"/>
          <a:ext cx="7112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5D020AD-8ECE-4E9F-9E7D-B63786AFF4C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521297</xdr:colOff>
      <xdr:row>2</xdr:row>
      <xdr:rowOff>145009</xdr:rowOff>
    </xdr:from>
    <xdr:to>
      <xdr:col>5</xdr:col>
      <xdr:colOff>569557</xdr:colOff>
      <xdr:row>2</xdr:row>
      <xdr:rowOff>538709</xdr:rowOff>
    </xdr:to>
    <xdr:sp macro="" textlink="印字値!$E$25">
      <xdr:nvSpPr>
        <xdr:cNvPr id="26" name="付表二21">
          <a:extLst>
            <a:ext uri="{FF2B5EF4-FFF2-40B4-BE49-F238E27FC236}">
              <a16:creationId xmlns:a16="http://schemas.microsoft.com/office/drawing/2014/main" id="{288F0A3B-3EEF-8F4C-E3AB-8F39AD2DC76B}"/>
            </a:ext>
          </a:extLst>
        </xdr:cNvPr>
        <xdr:cNvSpPr txBox="1"/>
      </xdr:nvSpPr>
      <xdr:spPr>
        <a:xfrm>
          <a:off x="3173057" y="7643089"/>
          <a:ext cx="7112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BB83670-5554-472C-95D0-A8E43C46EED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521297</xdr:colOff>
      <xdr:row>2</xdr:row>
      <xdr:rowOff>645516</xdr:rowOff>
    </xdr:from>
    <xdr:to>
      <xdr:col>5</xdr:col>
      <xdr:colOff>569557</xdr:colOff>
      <xdr:row>2</xdr:row>
      <xdr:rowOff>1039216</xdr:rowOff>
    </xdr:to>
    <xdr:sp macro="" textlink="印字値!$E$26">
      <xdr:nvSpPr>
        <xdr:cNvPr id="27" name="付表二22">
          <a:extLst>
            <a:ext uri="{FF2B5EF4-FFF2-40B4-BE49-F238E27FC236}">
              <a16:creationId xmlns:a16="http://schemas.microsoft.com/office/drawing/2014/main" id="{716619BC-C612-63D5-C495-0A9B498BBA34}"/>
            </a:ext>
          </a:extLst>
        </xdr:cNvPr>
        <xdr:cNvSpPr txBox="1"/>
      </xdr:nvSpPr>
      <xdr:spPr>
        <a:xfrm>
          <a:off x="3173057" y="8143596"/>
          <a:ext cx="7112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9CE0D3B-2ACE-4071-9E38-55336BAA3BDC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471957</xdr:colOff>
      <xdr:row>1</xdr:row>
      <xdr:rowOff>2392274</xdr:rowOff>
    </xdr:from>
    <xdr:to>
      <xdr:col>10</xdr:col>
      <xdr:colOff>520217</xdr:colOff>
      <xdr:row>1</xdr:row>
      <xdr:rowOff>2912974</xdr:rowOff>
    </xdr:to>
    <xdr:sp macro="" textlink="印字値!$E$27">
      <xdr:nvSpPr>
        <xdr:cNvPr id="28" name="付表二23">
          <a:extLst>
            <a:ext uri="{FF2B5EF4-FFF2-40B4-BE49-F238E27FC236}">
              <a16:creationId xmlns:a16="http://schemas.microsoft.com/office/drawing/2014/main" id="{F6795AB4-A94D-2010-072A-9E962973A7A5}"/>
            </a:ext>
          </a:extLst>
        </xdr:cNvPr>
        <xdr:cNvSpPr txBox="1"/>
      </xdr:nvSpPr>
      <xdr:spPr>
        <a:xfrm>
          <a:off x="6438417" y="6141314"/>
          <a:ext cx="711200" cy="520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19141F8-B9E9-4280-805E-07E69FABF174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471957</xdr:colOff>
      <xdr:row>1</xdr:row>
      <xdr:rowOff>3017876</xdr:rowOff>
    </xdr:from>
    <xdr:to>
      <xdr:col>10</xdr:col>
      <xdr:colOff>520217</xdr:colOff>
      <xdr:row>1</xdr:row>
      <xdr:rowOff>3538576</xdr:rowOff>
    </xdr:to>
    <xdr:sp macro="" textlink="印字値!$E$28">
      <xdr:nvSpPr>
        <xdr:cNvPr id="29" name="付表二24">
          <a:extLst>
            <a:ext uri="{FF2B5EF4-FFF2-40B4-BE49-F238E27FC236}">
              <a16:creationId xmlns:a16="http://schemas.microsoft.com/office/drawing/2014/main" id="{1FA71DDD-1FB9-195B-AA34-F14AD0D15C44}"/>
            </a:ext>
          </a:extLst>
        </xdr:cNvPr>
        <xdr:cNvSpPr txBox="1"/>
      </xdr:nvSpPr>
      <xdr:spPr>
        <a:xfrm>
          <a:off x="6438417" y="6766916"/>
          <a:ext cx="711200" cy="520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6BB09E6-E92A-4EE7-80F2-657CDF9A79FA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471957</xdr:colOff>
      <xdr:row>1</xdr:row>
      <xdr:rowOff>3643795</xdr:rowOff>
    </xdr:from>
    <xdr:to>
      <xdr:col>10</xdr:col>
      <xdr:colOff>520217</xdr:colOff>
      <xdr:row>2</xdr:row>
      <xdr:rowOff>415455</xdr:rowOff>
    </xdr:to>
    <xdr:sp macro="" textlink="印字値!$E$29">
      <xdr:nvSpPr>
        <xdr:cNvPr id="30" name="付表二25">
          <a:extLst>
            <a:ext uri="{FF2B5EF4-FFF2-40B4-BE49-F238E27FC236}">
              <a16:creationId xmlns:a16="http://schemas.microsoft.com/office/drawing/2014/main" id="{89ABB8F2-B813-DAE4-82A3-90ED66EC95DC}"/>
            </a:ext>
          </a:extLst>
        </xdr:cNvPr>
        <xdr:cNvSpPr txBox="1"/>
      </xdr:nvSpPr>
      <xdr:spPr>
        <a:xfrm>
          <a:off x="6438417" y="7392835"/>
          <a:ext cx="711200" cy="520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21EA5C8-5D9A-4D9B-8AD6-3F997C9ABC7C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471957</xdr:colOff>
      <xdr:row>2</xdr:row>
      <xdr:rowOff>520420</xdr:rowOff>
    </xdr:from>
    <xdr:to>
      <xdr:col>10</xdr:col>
      <xdr:colOff>520217</xdr:colOff>
      <xdr:row>2</xdr:row>
      <xdr:rowOff>1041120</xdr:rowOff>
    </xdr:to>
    <xdr:sp macro="" textlink="印字値!$E$30">
      <xdr:nvSpPr>
        <xdr:cNvPr id="31" name="付表二26">
          <a:extLst>
            <a:ext uri="{FF2B5EF4-FFF2-40B4-BE49-F238E27FC236}">
              <a16:creationId xmlns:a16="http://schemas.microsoft.com/office/drawing/2014/main" id="{C1AB753F-24A8-7383-3B0F-1E98AE04E9BF}"/>
            </a:ext>
          </a:extLst>
        </xdr:cNvPr>
        <xdr:cNvSpPr txBox="1"/>
      </xdr:nvSpPr>
      <xdr:spPr>
        <a:xfrm>
          <a:off x="6438417" y="8018500"/>
          <a:ext cx="711200" cy="520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8A7736E-D123-4B99-8E86-B4EBA4B10930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ta.go.jp/law/tsutatsu/kihon/hojin/16/16_01_02.htm" TargetMode="External"/><Relationship Id="rId3" Type="http://schemas.openxmlformats.org/officeDocument/2006/relationships/hyperlink" Target="https://www.nta.go.jp/taxes/tetsuzuki/shinsei/annai/hojin/shinkoku/itiran2025/pdf/03%2801%29-ki.pdf" TargetMode="External"/><Relationship Id="rId7" Type="http://schemas.openxmlformats.org/officeDocument/2006/relationships/hyperlink" Target="https://www.nta.go.jp/taxes/tetsuzuki/shinsei/annai/hojin/shinkoku/itiran2025/pdf/03%2801%29-f2-ki.pdf" TargetMode="External"/><Relationship Id="rId2" Type="http://schemas.openxmlformats.org/officeDocument/2006/relationships/hyperlink" Target="https://www.nta.go.jp/taxes/tetsuzuki/shinsei/annai/hojin/shinkoku/itiran2025/pdf/03%2801%29.pdf" TargetMode="External"/><Relationship Id="rId1" Type="http://schemas.openxmlformats.org/officeDocument/2006/relationships/hyperlink" Target="https://www.nta.go.jp/taxes/tetsuzuki/shinsei/annai/hojin/shinkoku/itiran2025/01.htm" TargetMode="External"/><Relationship Id="rId6" Type="http://schemas.openxmlformats.org/officeDocument/2006/relationships/hyperlink" Target="https://www.nta.go.jp/taxes/tetsuzuki/shinsei/annai/hojin/shinkoku/itiran2025/pdf/03%2801%29-f2.pdf" TargetMode="External"/><Relationship Id="rId11" Type="http://schemas.openxmlformats.org/officeDocument/2006/relationships/printerSettings" Target="../printerSettings/printerSettings10.bin"/><Relationship Id="rId5" Type="http://schemas.openxmlformats.org/officeDocument/2006/relationships/hyperlink" Target="https://www.nta.go.jp/taxes/tetsuzuki/shinsei/annai/hojin/shinkoku/itiran2025/pdf/03%2801%29-f1-ki.pdf" TargetMode="External"/><Relationship Id="rId10" Type="http://schemas.openxmlformats.org/officeDocument/2006/relationships/hyperlink" Target="https://laws.e-gov.go.jp/law/337AC0000000066" TargetMode="External"/><Relationship Id="rId4" Type="http://schemas.openxmlformats.org/officeDocument/2006/relationships/hyperlink" Target="https://www.nta.go.jp/taxes/tetsuzuki/shinsei/annai/hojin/shinkoku/itiran2025/pdf/03%2801%29-f1.pdf" TargetMode="External"/><Relationship Id="rId9" Type="http://schemas.openxmlformats.org/officeDocument/2006/relationships/hyperlink" Target="https://laws.e-gov.go.jp/law/340AC00000000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099B6-DCA8-43CE-9CDC-9712815E5C18}">
  <sheetPr>
    <tabColor rgb="FF17365D"/>
    <pageSetUpPr fitToPage="1"/>
  </sheetPr>
  <dimension ref="A1:H40"/>
  <sheetViews>
    <sheetView showGridLines="0" tabSelected="1" zoomScale="90" zoomScaleNormal="90" workbookViewId="0">
      <selection sqref="A1:H1"/>
    </sheetView>
  </sheetViews>
  <sheetFormatPr defaultRowHeight="18"/>
  <cols>
    <col min="1" max="8" width="15.69921875" customWidth="1"/>
  </cols>
  <sheetData>
    <row r="1" spans="1:8" ht="28.8">
      <c r="A1" s="38" t="s">
        <v>375</v>
      </c>
      <c r="B1" s="3"/>
      <c r="C1" s="3"/>
      <c r="D1" s="3"/>
      <c r="E1" s="3"/>
      <c r="F1" s="3"/>
      <c r="G1" s="3"/>
      <c r="H1" s="3"/>
    </row>
    <row r="2" spans="1:8">
      <c r="A2" s="39" t="s">
        <v>376</v>
      </c>
      <c r="B2" s="3"/>
      <c r="C2" s="3"/>
      <c r="D2" s="3"/>
      <c r="E2" s="3"/>
      <c r="F2" s="3"/>
      <c r="G2" s="3"/>
      <c r="H2" s="3"/>
    </row>
    <row r="3" spans="1:8">
      <c r="A3" s="5"/>
      <c r="B3" s="5"/>
      <c r="C3" s="5"/>
      <c r="D3" s="5"/>
      <c r="E3" s="5"/>
      <c r="F3" s="5"/>
      <c r="G3" s="5"/>
      <c r="H3" s="5"/>
    </row>
    <row r="4" spans="1:8" ht="22.95" customHeight="1">
      <c r="A4" s="6" t="s">
        <v>377</v>
      </c>
      <c r="B4" s="6"/>
      <c r="C4" s="6"/>
      <c r="D4" s="6"/>
      <c r="E4" s="6"/>
      <c r="F4" s="6"/>
      <c r="G4" s="6"/>
      <c r="H4" s="6"/>
    </row>
    <row r="5" spans="1:8">
      <c r="A5" s="8" t="s">
        <v>378</v>
      </c>
      <c r="B5" s="8"/>
      <c r="C5" s="8"/>
      <c r="D5" s="8"/>
      <c r="E5" s="8"/>
      <c r="F5" s="40">
        <f>out_retained_tax</f>
        <v>0</v>
      </c>
      <c r="G5" s="41"/>
      <c r="H5" s="41"/>
    </row>
    <row r="6" spans="1:8">
      <c r="A6" s="8" t="s">
        <v>379</v>
      </c>
      <c r="B6" s="8"/>
      <c r="C6" s="8"/>
      <c r="D6" s="8"/>
      <c r="E6" s="8"/>
      <c r="F6" s="40">
        <f>out_taxable_retained</f>
        <v>0</v>
      </c>
      <c r="G6" s="41"/>
      <c r="H6" s="41"/>
    </row>
    <row r="7" spans="1:8">
      <c r="A7" s="8" t="s">
        <v>380</v>
      </c>
      <c r="B7" s="8"/>
      <c r="C7" s="8"/>
      <c r="D7" s="8"/>
      <c r="E7" s="8"/>
      <c r="F7" s="40">
        <f>out_retention_allowance</f>
        <v>20000000</v>
      </c>
      <c r="G7" s="41"/>
      <c r="H7" s="41"/>
    </row>
    <row r="8" spans="1:8">
      <c r="A8" s="8" t="s">
        <v>381</v>
      </c>
      <c r="B8" s="8"/>
      <c r="C8" s="8"/>
      <c r="D8" s="8"/>
      <c r="E8" s="8"/>
      <c r="F8" s="40">
        <f>out_municipal_tax</f>
        <v>0</v>
      </c>
      <c r="G8" s="41"/>
      <c r="H8" s="41"/>
    </row>
    <row r="9" spans="1:8">
      <c r="A9" s="5"/>
      <c r="B9" s="5"/>
      <c r="C9" s="5"/>
      <c r="D9" s="5"/>
      <c r="E9" s="5"/>
      <c r="F9" s="5"/>
      <c r="G9" s="5"/>
      <c r="H9" s="5"/>
    </row>
    <row r="10" spans="1:8" ht="22.95" customHeight="1">
      <c r="A10" s="6" t="s">
        <v>382</v>
      </c>
      <c r="B10" s="6"/>
      <c r="C10" s="6"/>
      <c r="D10" s="6"/>
      <c r="E10" s="6"/>
      <c r="F10" s="6"/>
      <c r="G10" s="6"/>
      <c r="H10" s="6"/>
    </row>
    <row r="11" spans="1:8">
      <c r="A11" s="8" t="s">
        <v>383</v>
      </c>
      <c r="B11" s="8"/>
      <c r="C11" s="8"/>
      <c r="D11" s="8"/>
      <c r="E11" s="8"/>
      <c r="F11" s="12" t="str">
        <f>IF(cfg_applicable,"OK","要確認：開始日・終了日がこの年度版の対象外")</f>
        <v>OK</v>
      </c>
      <c r="G11" s="12"/>
      <c r="H11" s="12"/>
    </row>
    <row r="12" spans="1:8">
      <c r="A12" s="8" t="s">
        <v>384</v>
      </c>
      <c r="B12" s="8"/>
      <c r="C12" s="8"/>
      <c r="D12" s="8"/>
      <c r="E12" s="8"/>
      <c r="F12" s="12" t="str">
        <f>IF(inp_special="はい","OK","対象外：別表二の判定を確認")</f>
        <v>OK</v>
      </c>
      <c r="G12" s="12"/>
      <c r="H12" s="12"/>
    </row>
    <row r="13" spans="1:8">
      <c r="A13" s="8" t="s">
        <v>385</v>
      </c>
      <c r="B13" s="8"/>
      <c r="C13" s="8"/>
      <c r="D13" s="8"/>
      <c r="E13" s="8"/>
      <c r="F13" s="12" t="str">
        <f>IF(inp_group&lt;&gt;"はい","非通算法人",IF(cfg_f2_input_valid,"付表二を計算・整合OK","要確認：付表二21・23欄の控除前合計額"))</f>
        <v>非通算法人</v>
      </c>
      <c r="G13" s="12"/>
      <c r="H13" s="12"/>
    </row>
    <row r="14" spans="1:8">
      <c r="A14" s="8" t="s">
        <v>386</v>
      </c>
      <c r="B14" s="8"/>
      <c r="C14" s="8"/>
      <c r="D14" s="8"/>
      <c r="E14" s="8"/>
      <c r="F14" s="12" t="str">
        <f>IF(AND(inp_months&gt;=1,inp_months&lt;=12),"OK："&amp;inp_months&amp;"か月","要確認")</f>
        <v>OK：12か月</v>
      </c>
      <c r="G14" s="12"/>
      <c r="H14" s="12"/>
    </row>
    <row r="15" spans="1:8">
      <c r="A15" s="5"/>
      <c r="B15" s="5"/>
      <c r="C15" s="5"/>
      <c r="D15" s="5"/>
      <c r="E15" s="5"/>
      <c r="F15" s="5"/>
      <c r="G15" s="5"/>
      <c r="H15" s="5"/>
    </row>
    <row r="16" spans="1:8" ht="22.95" customHeight="1">
      <c r="A16" s="42" t="s">
        <v>387</v>
      </c>
      <c r="B16" s="42"/>
      <c r="C16" s="42"/>
      <c r="D16" s="42"/>
      <c r="E16" s="42"/>
      <c r="F16" s="42"/>
      <c r="G16" s="42"/>
      <c r="H16" s="42"/>
    </row>
    <row r="17" spans="1:8" ht="28.05" customHeight="1">
      <c r="A17" s="32" t="s">
        <v>388</v>
      </c>
      <c r="B17" s="32"/>
      <c r="C17" s="32"/>
      <c r="D17" s="32"/>
      <c r="E17" s="32"/>
      <c r="F17" s="32"/>
      <c r="G17" s="32"/>
      <c r="H17" s="32"/>
    </row>
    <row r="18" spans="1:8" ht="28.05" customHeight="1">
      <c r="A18" s="32" t="s">
        <v>389</v>
      </c>
      <c r="B18" s="32"/>
      <c r="C18" s="32"/>
      <c r="D18" s="32"/>
      <c r="E18" s="32"/>
      <c r="F18" s="32"/>
      <c r="G18" s="32"/>
      <c r="H18" s="32"/>
    </row>
    <row r="19" spans="1:8" ht="28.05" customHeight="1">
      <c r="A19" s="32" t="s">
        <v>390</v>
      </c>
      <c r="B19" s="32"/>
      <c r="C19" s="32"/>
      <c r="D19" s="32"/>
      <c r="E19" s="32"/>
      <c r="F19" s="32"/>
      <c r="G19" s="32"/>
      <c r="H19" s="32"/>
    </row>
    <row r="20" spans="1:8" ht="28.05" customHeight="1">
      <c r="A20" s="32" t="s">
        <v>391</v>
      </c>
      <c r="B20" s="32"/>
      <c r="C20" s="32"/>
      <c r="D20" s="32"/>
      <c r="E20" s="32"/>
      <c r="F20" s="32"/>
      <c r="G20" s="32"/>
      <c r="H20" s="32"/>
    </row>
    <row r="21" spans="1:8">
      <c r="A21" s="5"/>
      <c r="B21" s="5"/>
      <c r="C21" s="5"/>
      <c r="D21" s="5"/>
      <c r="E21" s="5"/>
      <c r="F21" s="5"/>
      <c r="G21" s="5"/>
      <c r="H21" s="5"/>
    </row>
    <row r="22" spans="1:8" ht="22.95" customHeight="1">
      <c r="A22" s="42" t="s">
        <v>392</v>
      </c>
      <c r="B22" s="42"/>
      <c r="C22" s="42"/>
      <c r="D22" s="42"/>
      <c r="E22" s="42"/>
      <c r="F22" s="42"/>
      <c r="G22" s="42"/>
      <c r="H22" s="42"/>
    </row>
    <row r="23" spans="1:8">
      <c r="A23" s="43" t="s">
        <v>393</v>
      </c>
      <c r="B23" s="43" t="s">
        <v>394</v>
      </c>
      <c r="C23" s="43" t="s">
        <v>395</v>
      </c>
      <c r="D23" s="43" t="s">
        <v>396</v>
      </c>
      <c r="E23" s="43" t="s">
        <v>397</v>
      </c>
      <c r="F23" s="43" t="s">
        <v>398</v>
      </c>
      <c r="G23" s="43" t="s">
        <v>399</v>
      </c>
      <c r="H23" s="5"/>
    </row>
    <row r="24" spans="1:8">
      <c r="A24" s="5"/>
      <c r="B24" s="5"/>
      <c r="C24" s="5"/>
      <c r="D24" s="5"/>
      <c r="E24" s="5"/>
      <c r="F24" s="5"/>
      <c r="G24" s="5"/>
      <c r="H24" s="5"/>
    </row>
    <row r="25" spans="1:8">
      <c r="A25" s="5"/>
      <c r="B25" s="5"/>
      <c r="C25" s="5"/>
      <c r="D25" s="5"/>
      <c r="E25" s="5"/>
      <c r="F25" s="5"/>
      <c r="G25" s="5"/>
      <c r="H25" s="5"/>
    </row>
    <row r="26" spans="1:8">
      <c r="A26" s="5"/>
      <c r="B26" s="5"/>
      <c r="C26" s="5"/>
      <c r="D26" s="5"/>
      <c r="E26" s="5"/>
      <c r="F26" s="5"/>
      <c r="G26" s="5"/>
      <c r="H26" s="5"/>
    </row>
    <row r="27" spans="1:8">
      <c r="A27" s="5"/>
      <c r="B27" s="5"/>
      <c r="C27" s="5"/>
      <c r="D27" s="5"/>
      <c r="E27" s="5"/>
      <c r="F27" s="5"/>
      <c r="G27" s="5"/>
      <c r="H27" s="5"/>
    </row>
    <row r="28" spans="1:8">
      <c r="A28" s="5"/>
      <c r="B28" s="5"/>
      <c r="C28" s="5"/>
      <c r="D28" s="5"/>
      <c r="E28" s="5"/>
      <c r="F28" s="5"/>
      <c r="G28" s="5"/>
      <c r="H28" s="5"/>
    </row>
    <row r="29" spans="1:8">
      <c r="A29" s="5"/>
      <c r="B29" s="5"/>
      <c r="C29" s="5"/>
      <c r="D29" s="5"/>
      <c r="E29" s="5"/>
      <c r="F29" s="5"/>
      <c r="G29" s="5"/>
      <c r="H29" s="5"/>
    </row>
    <row r="30" spans="1:8">
      <c r="A30" s="5"/>
      <c r="B30" s="5"/>
      <c r="C30" s="5"/>
      <c r="D30" s="5"/>
      <c r="E30" s="5"/>
      <c r="F30" s="5"/>
      <c r="G30" s="5"/>
      <c r="H30" s="5"/>
    </row>
    <row r="31" spans="1:8">
      <c r="A31" s="5"/>
      <c r="B31" s="5"/>
      <c r="C31" s="5"/>
      <c r="D31" s="5"/>
      <c r="E31" s="5"/>
      <c r="F31" s="5"/>
      <c r="G31" s="5"/>
      <c r="H31" s="5"/>
    </row>
    <row r="32" spans="1:8">
      <c r="A32" s="5"/>
      <c r="B32" s="5"/>
      <c r="C32" s="5"/>
      <c r="D32" s="5"/>
      <c r="E32" s="5"/>
      <c r="F32" s="5"/>
      <c r="G32" s="5"/>
      <c r="H32" s="5"/>
    </row>
    <row r="33" spans="1:8">
      <c r="A33" s="5"/>
      <c r="B33" s="5"/>
      <c r="C33" s="5"/>
      <c r="D33" s="5"/>
      <c r="E33" s="5"/>
      <c r="F33" s="5"/>
      <c r="G33" s="5"/>
      <c r="H33" s="5"/>
    </row>
    <row r="34" spans="1:8">
      <c r="A34" s="5"/>
      <c r="B34" s="5"/>
      <c r="C34" s="5"/>
      <c r="D34" s="5"/>
      <c r="E34" s="5"/>
      <c r="F34" s="5"/>
      <c r="G34" s="5"/>
      <c r="H34" s="5"/>
    </row>
    <row r="35" spans="1:8">
      <c r="A35" s="5"/>
      <c r="B35" s="5"/>
      <c r="C35" s="5"/>
      <c r="D35" s="5"/>
      <c r="E35" s="5"/>
      <c r="F35" s="5"/>
      <c r="G35" s="5"/>
      <c r="H35" s="5"/>
    </row>
    <row r="36" spans="1:8">
      <c r="A36" s="5"/>
      <c r="B36" s="5"/>
      <c r="C36" s="5"/>
      <c r="D36" s="5"/>
      <c r="E36" s="5"/>
      <c r="F36" s="5"/>
      <c r="G36" s="5"/>
      <c r="H36" s="5"/>
    </row>
    <row r="37" spans="1:8">
      <c r="A37" s="5"/>
      <c r="B37" s="5"/>
      <c r="C37" s="5"/>
      <c r="D37" s="5"/>
      <c r="E37" s="5"/>
      <c r="F37" s="5"/>
      <c r="G37" s="5"/>
      <c r="H37" s="5"/>
    </row>
    <row r="38" spans="1:8">
      <c r="A38" s="5"/>
      <c r="B38" s="5"/>
      <c r="C38" s="5"/>
      <c r="D38" s="5"/>
      <c r="E38" s="5"/>
      <c r="F38" s="5"/>
      <c r="G38" s="5"/>
      <c r="H38" s="5"/>
    </row>
    <row r="39" spans="1:8">
      <c r="A39" s="5"/>
      <c r="B39" s="5"/>
      <c r="C39" s="5"/>
      <c r="D39" s="5"/>
      <c r="E39" s="5"/>
      <c r="F39" s="5"/>
      <c r="G39" s="5"/>
      <c r="H39" s="5"/>
    </row>
    <row r="40" spans="1:8">
      <c r="A40" s="5"/>
      <c r="B40" s="5"/>
      <c r="C40" s="5"/>
      <c r="D40" s="5"/>
      <c r="E40" s="5"/>
      <c r="F40" s="5"/>
      <c r="G40" s="5"/>
      <c r="H40" s="5"/>
    </row>
  </sheetData>
  <sheetProtection sheet="1" objects="1" scenarios="1"/>
  <mergeCells count="26">
    <mergeCell ref="A16:H16"/>
    <mergeCell ref="A17:H17"/>
    <mergeCell ref="A18:H18"/>
    <mergeCell ref="A19:H19"/>
    <mergeCell ref="A20:H20"/>
    <mergeCell ref="A22:H22"/>
    <mergeCell ref="A12:E12"/>
    <mergeCell ref="F12:H12"/>
    <mergeCell ref="A13:E13"/>
    <mergeCell ref="F13:H13"/>
    <mergeCell ref="A14:E14"/>
    <mergeCell ref="F14:H14"/>
    <mergeCell ref="A7:E7"/>
    <mergeCell ref="F7:H7"/>
    <mergeCell ref="A8:E8"/>
    <mergeCell ref="F8:H8"/>
    <mergeCell ref="A10:H10"/>
    <mergeCell ref="A11:E11"/>
    <mergeCell ref="F11:H11"/>
    <mergeCell ref="A1:H1"/>
    <mergeCell ref="A2:H2"/>
    <mergeCell ref="A4:H4"/>
    <mergeCell ref="A5:E5"/>
    <mergeCell ref="F5:H5"/>
    <mergeCell ref="A6:E6"/>
    <mergeCell ref="F6:H6"/>
  </mergeCells>
  <phoneticPr fontId="2"/>
  <hyperlinks>
    <hyperlink ref="A23" location="'入力'!A1" display="入力" xr:uid="{160420C2-14A8-4F60-9E45-D3C90B0F82E5}"/>
    <hyperlink ref="B23" location="'別表三一_計算'!A1" display="主表計算" xr:uid="{94A00897-C09B-478B-A812-BC9A83B9F186}"/>
    <hyperlink ref="C23" location="'付表一_計算'!A1" display="付表一_計算" xr:uid="{E2936B0B-5050-47A2-8C29-D320AA31D1C3}"/>
    <hyperlink ref="D23" location="'付表二_計算'!A1" display="付表二計算" xr:uid="{CD5793F4-4582-439C-A30E-922854605250}"/>
    <hyperlink ref="E23" location="'別表三(一)'!A1" display="公式様式" xr:uid="{3B32F734-90A6-43C5-8D5E-C9BFD328645A}"/>
    <hyperlink ref="F23" location="'検算'!A1" display="検算" xr:uid="{7BBE98F7-9C48-4B60-B56B-7149827BD9B9}"/>
    <hyperlink ref="G23" location="'根拠・出典'!A1" display="根拠・出典" xr:uid="{36105A22-905A-4992-9585-5F176631E5E9}"/>
  </hyperlinks>
  <pageMargins left="0.7" right="0.7" top="0.75" bottom="0.75" header="0.3" footer="0.3"/>
  <pageSetup paperSize="9" fitToHeight="99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CF92A-EC9B-4FC7-BDB4-B92C71108756}">
  <sheetPr>
    <tabColor rgb="FFFFF2CC"/>
    <pageSetUpPr fitToPage="1"/>
  </sheetPr>
  <dimension ref="A1:H82"/>
  <sheetViews>
    <sheetView showGridLines="0" zoomScale="90" zoomScaleNormal="90" workbookViewId="0">
      <pane ySplit="13" topLeftCell="A14" activePane="bottomLeft" state="frozenSplit"/>
      <selection pane="bottomLeft" sqref="A1:H1"/>
    </sheetView>
  </sheetViews>
  <sheetFormatPr defaultRowHeight="18"/>
  <cols>
    <col min="1" max="1" width="29.69921875" customWidth="1"/>
    <col min="2" max="2" width="32.69921875" customWidth="1"/>
    <col min="3" max="3" width="48.69921875" customWidth="1"/>
    <col min="4" max="4" width="19.69921875" customWidth="1"/>
    <col min="5" max="5" width="29.69921875" customWidth="1"/>
    <col min="6" max="6" width="18.69921875" customWidth="1"/>
    <col min="7" max="7" width="14.69921875" customWidth="1"/>
    <col min="8" max="8" width="16.69921875" customWidth="1"/>
  </cols>
  <sheetData>
    <row r="1" spans="1:8" ht="26.4">
      <c r="A1" s="20" t="s">
        <v>0</v>
      </c>
      <c r="B1" s="21"/>
      <c r="C1" s="21"/>
      <c r="D1" s="21"/>
      <c r="E1" s="21"/>
      <c r="F1" s="21"/>
      <c r="G1" s="21"/>
      <c r="H1" s="21"/>
    </row>
    <row r="2" spans="1:8">
      <c r="A2" s="22" t="s">
        <v>1</v>
      </c>
      <c r="B2" s="21"/>
      <c r="C2" s="21"/>
      <c r="D2" s="21"/>
      <c r="E2" s="21"/>
      <c r="F2" s="21"/>
      <c r="G2" s="21"/>
      <c r="H2" s="21"/>
    </row>
    <row r="3" spans="1:8">
      <c r="A3" s="23"/>
      <c r="B3" s="23"/>
      <c r="C3" s="23"/>
      <c r="D3" s="23"/>
      <c r="E3" s="23"/>
      <c r="F3" s="23"/>
      <c r="G3" s="23"/>
      <c r="H3" s="23"/>
    </row>
    <row r="4" spans="1:8" ht="22.95" customHeight="1">
      <c r="A4" s="6" t="s">
        <v>9</v>
      </c>
      <c r="B4" s="6"/>
      <c r="C4" s="6"/>
      <c r="D4" s="6"/>
      <c r="E4" s="6"/>
      <c r="F4" s="7" t="s">
        <v>10</v>
      </c>
      <c r="G4" s="8"/>
      <c r="H4" s="8"/>
    </row>
    <row r="5" spans="1:8">
      <c r="A5" s="8" t="s">
        <v>2</v>
      </c>
      <c r="B5" s="8"/>
      <c r="C5" s="8"/>
      <c r="D5" s="53"/>
      <c r="E5" s="9"/>
      <c r="F5" s="8" t="s">
        <v>11</v>
      </c>
      <c r="G5" s="8"/>
      <c r="H5" s="10" t="b">
        <f>AND(inp_end&gt;=DATE(2025,4,1),inp_end&lt;DATE(2026,4,1))</f>
        <v>1</v>
      </c>
    </row>
    <row r="6" spans="1:8">
      <c r="A6" s="8" t="s">
        <v>3</v>
      </c>
      <c r="B6" s="8"/>
      <c r="C6" s="8"/>
      <c r="D6" s="54">
        <v>45748</v>
      </c>
      <c r="E6" s="9"/>
      <c r="F6" s="8" t="s">
        <v>12</v>
      </c>
      <c r="G6" s="8"/>
      <c r="H6" s="11">
        <f>10.4%</f>
        <v>0.10400000000000001</v>
      </c>
    </row>
    <row r="7" spans="1:8">
      <c r="A7" s="8" t="s">
        <v>4</v>
      </c>
      <c r="B7" s="8"/>
      <c r="C7" s="8"/>
      <c r="D7" s="54">
        <v>46112</v>
      </c>
      <c r="E7" s="9"/>
      <c r="F7" s="8" t="s">
        <v>13</v>
      </c>
      <c r="G7" s="8"/>
      <c r="H7" s="11">
        <f>40%</f>
        <v>0.4</v>
      </c>
    </row>
    <row r="8" spans="1:8">
      <c r="A8" s="8" t="s">
        <v>5</v>
      </c>
      <c r="B8" s="8"/>
      <c r="C8" s="8"/>
      <c r="D8" s="15">
        <f>IF(OR(D6="",D7="",D7&lt;D6),"",MAX(1,MIN(12,1+--(D7&gt;IF(DAY(EDATE(D6,1))&lt;DAY(D6),EDATE(D6,1),EDATE(D6,1)-1))+--(D7&gt;IF(DAY(EDATE(D6,2))&lt;DAY(D6),EDATE(D6,2),EDATE(D6,2)-1))+--(D7&gt;IF(DAY(EDATE(D6,3))&lt;DAY(D6),EDATE(D6,3),EDATE(D6,3)-1))+--(D7&gt;IF(DAY(EDATE(D6,4))&lt;DAY(D6),EDATE(D6,4),EDATE(D6,4)-1))+--(D7&gt;IF(DAY(EDATE(D6,5))&lt;DAY(D6),EDATE(D6,5),EDATE(D6,5)-1))+--(D7&gt;IF(DAY(EDATE(D6,6))&lt;DAY(D6),EDATE(D6,6),EDATE(D6,6)-1))+--(D7&gt;IF(DAY(EDATE(D6,7))&lt;DAY(D6),EDATE(D6,7),EDATE(D6,7)-1))+--(D7&gt;IF(DAY(EDATE(D6,8))&lt;DAY(D6),EDATE(D6,8),EDATE(D6,8)-1))+--(D7&gt;IF(DAY(EDATE(D6,9))&lt;DAY(D6),EDATE(D6,9),EDATE(D6,9)-1))+--(D7&gt;IF(DAY(EDATE(D6,10))&lt;DAY(D6),EDATE(D6,10),EDATE(D6,10)-1))+--(D7&gt;IF(DAY(EDATE(D6,11))&lt;DAY(D6),EDATE(D6,11),EDATE(D6,11)-1)))))</f>
        <v>12</v>
      </c>
      <c r="E8" s="9"/>
      <c r="F8" s="12" t="s">
        <v>14</v>
      </c>
      <c r="G8" s="12"/>
      <c r="H8" s="12"/>
    </row>
    <row r="9" spans="1:8">
      <c r="A9" s="8" t="s">
        <v>6</v>
      </c>
      <c r="B9" s="8"/>
      <c r="C9" s="8"/>
      <c r="D9" s="53" t="s">
        <v>442</v>
      </c>
      <c r="E9" s="9"/>
      <c r="F9" s="12"/>
      <c r="G9" s="12"/>
      <c r="H9" s="12"/>
    </row>
    <row r="10" spans="1:8">
      <c r="A10" s="8" t="s">
        <v>7</v>
      </c>
      <c r="B10" s="8"/>
      <c r="C10" s="8"/>
      <c r="D10" s="53" t="s">
        <v>441</v>
      </c>
      <c r="E10" s="9"/>
      <c r="F10" s="12"/>
      <c r="G10" s="12"/>
      <c r="H10" s="12"/>
    </row>
    <row r="11" spans="1:8">
      <c r="A11" s="8" t="s">
        <v>8</v>
      </c>
      <c r="B11" s="8"/>
      <c r="C11" s="8"/>
      <c r="D11" s="53" t="s">
        <v>443</v>
      </c>
      <c r="E11" s="9"/>
      <c r="F11" s="33" t="s">
        <v>374</v>
      </c>
      <c r="G11" s="34"/>
      <c r="H11" s="35" t="b">
        <f>AND(inp_f2_21&gt;=f2_20,inp_f2_23&gt;=f2_22,f2_24&gt;=0,f2_24&lt;=1)</f>
        <v>1</v>
      </c>
    </row>
    <row r="12" spans="1:8">
      <c r="A12" s="23"/>
      <c r="B12" s="23"/>
      <c r="C12" s="23"/>
      <c r="D12" s="16"/>
      <c r="E12" s="23"/>
      <c r="F12" s="36" t="str">
        <f>IF(H11,"付表二の控除前合計額と割合は整合","要確認：付表二21・23欄の控除前合計額")</f>
        <v>付表二の控除前合計額と割合は整合</v>
      </c>
      <c r="G12" s="37"/>
      <c r="H12" s="37"/>
    </row>
    <row r="13" spans="1:8" ht="22.95" customHeight="1">
      <c r="A13" s="6" t="s">
        <v>15</v>
      </c>
      <c r="B13" s="6"/>
      <c r="C13" s="6"/>
      <c r="D13" s="17"/>
      <c r="E13" s="6"/>
      <c r="F13" s="23"/>
      <c r="G13" s="23"/>
      <c r="H13" s="23"/>
    </row>
    <row r="14" spans="1:8">
      <c r="A14" s="13" t="s">
        <v>16</v>
      </c>
      <c r="B14" s="13" t="s">
        <v>17</v>
      </c>
      <c r="C14" s="13" t="s">
        <v>18</v>
      </c>
      <c r="D14" s="18" t="s">
        <v>19</v>
      </c>
      <c r="E14" s="13" t="s">
        <v>20</v>
      </c>
      <c r="F14" s="23"/>
      <c r="G14" s="23"/>
      <c r="H14" s="23"/>
    </row>
    <row r="15" spans="1:8" ht="31.95" customHeight="1">
      <c r="A15" s="9" t="s">
        <v>21</v>
      </c>
      <c r="B15" s="14" t="s">
        <v>22</v>
      </c>
      <c r="C15" s="14" t="s">
        <v>23</v>
      </c>
      <c r="D15" s="52">
        <v>0</v>
      </c>
      <c r="E15" s="14" t="s">
        <v>24</v>
      </c>
      <c r="F15" s="23"/>
      <c r="G15" s="23"/>
      <c r="H15" s="23"/>
    </row>
    <row r="16" spans="1:8" ht="31.95" customHeight="1">
      <c r="A16" s="9" t="s">
        <v>25</v>
      </c>
      <c r="B16" s="14" t="s">
        <v>26</v>
      </c>
      <c r="C16" s="14" t="s">
        <v>27</v>
      </c>
      <c r="D16" s="52">
        <v>0</v>
      </c>
      <c r="E16" s="14" t="s">
        <v>28</v>
      </c>
      <c r="F16" s="23"/>
      <c r="G16" s="23"/>
      <c r="H16" s="23"/>
    </row>
    <row r="17" spans="1:8" ht="31.95" customHeight="1">
      <c r="A17" s="9" t="s">
        <v>29</v>
      </c>
      <c r="B17" s="14" t="s">
        <v>30</v>
      </c>
      <c r="C17" s="14" t="s">
        <v>31</v>
      </c>
      <c r="D17" s="52">
        <v>0</v>
      </c>
      <c r="E17" s="14" t="s">
        <v>32</v>
      </c>
      <c r="F17" s="23"/>
      <c r="G17" s="23"/>
      <c r="H17" s="23"/>
    </row>
    <row r="18" spans="1:8" ht="31.95" customHeight="1">
      <c r="A18" s="9" t="s">
        <v>33</v>
      </c>
      <c r="B18" s="14" t="s">
        <v>34</v>
      </c>
      <c r="C18" s="14" t="s">
        <v>35</v>
      </c>
      <c r="D18" s="52">
        <v>0</v>
      </c>
      <c r="E18" s="14"/>
      <c r="F18" s="23"/>
      <c r="G18" s="23"/>
      <c r="H18" s="23"/>
    </row>
    <row r="19" spans="1:8" ht="31.95" customHeight="1">
      <c r="A19" s="9" t="s">
        <v>36</v>
      </c>
      <c r="B19" s="14" t="s">
        <v>37</v>
      </c>
      <c r="C19" s="14" t="s">
        <v>38</v>
      </c>
      <c r="D19" s="52">
        <v>0</v>
      </c>
      <c r="E19" s="14"/>
      <c r="F19" s="23"/>
      <c r="G19" s="23"/>
      <c r="H19" s="23"/>
    </row>
    <row r="20" spans="1:8" ht="31.95" customHeight="1">
      <c r="A20" s="9" t="s">
        <v>39</v>
      </c>
      <c r="B20" s="14" t="s">
        <v>40</v>
      </c>
      <c r="C20" s="14" t="s">
        <v>41</v>
      </c>
      <c r="D20" s="52">
        <v>0</v>
      </c>
      <c r="E20" s="14"/>
      <c r="F20" s="23"/>
      <c r="G20" s="23"/>
      <c r="H20" s="23"/>
    </row>
    <row r="21" spans="1:8" ht="31.95" customHeight="1">
      <c r="A21" s="9" t="s">
        <v>42</v>
      </c>
      <c r="B21" s="14" t="s">
        <v>43</v>
      </c>
      <c r="C21" s="14" t="s">
        <v>44</v>
      </c>
      <c r="D21" s="52">
        <v>0</v>
      </c>
      <c r="E21" s="14"/>
      <c r="F21" s="23"/>
      <c r="G21" s="23"/>
      <c r="H21" s="23"/>
    </row>
    <row r="22" spans="1:8" ht="31.95" customHeight="1">
      <c r="A22" s="9" t="s">
        <v>45</v>
      </c>
      <c r="B22" s="14" t="s">
        <v>46</v>
      </c>
      <c r="C22" s="14" t="s">
        <v>47</v>
      </c>
      <c r="D22" s="52">
        <v>0</v>
      </c>
      <c r="E22" s="14"/>
      <c r="F22" s="23"/>
      <c r="G22" s="23"/>
      <c r="H22" s="23"/>
    </row>
    <row r="23" spans="1:8" ht="31.95" customHeight="1">
      <c r="A23" s="9" t="s">
        <v>48</v>
      </c>
      <c r="B23" s="14" t="s">
        <v>49</v>
      </c>
      <c r="C23" s="14" t="s">
        <v>50</v>
      </c>
      <c r="D23" s="52">
        <v>0</v>
      </c>
      <c r="E23" s="14"/>
      <c r="F23" s="23"/>
      <c r="G23" s="23"/>
      <c r="H23" s="23"/>
    </row>
    <row r="24" spans="1:8" ht="31.95" customHeight="1">
      <c r="A24" s="9" t="s">
        <v>51</v>
      </c>
      <c r="B24" s="14" t="s">
        <v>52</v>
      </c>
      <c r="C24" s="14" t="s">
        <v>53</v>
      </c>
      <c r="D24" s="52">
        <v>0</v>
      </c>
      <c r="E24" s="14"/>
      <c r="F24" s="23"/>
      <c r="G24" s="23"/>
      <c r="H24" s="23"/>
    </row>
    <row r="25" spans="1:8" ht="31.95" customHeight="1">
      <c r="A25" s="9" t="s">
        <v>54</v>
      </c>
      <c r="B25" s="14" t="s">
        <v>55</v>
      </c>
      <c r="C25" s="14" t="s">
        <v>56</v>
      </c>
      <c r="D25" s="52">
        <v>0</v>
      </c>
      <c r="E25" s="14"/>
      <c r="F25" s="23"/>
      <c r="G25" s="23"/>
      <c r="H25" s="23"/>
    </row>
    <row r="26" spans="1:8" ht="31.95" customHeight="1">
      <c r="A26" s="9" t="s">
        <v>57</v>
      </c>
      <c r="B26" s="14" t="s">
        <v>58</v>
      </c>
      <c r="C26" s="14" t="s">
        <v>59</v>
      </c>
      <c r="D26" s="52">
        <v>0</v>
      </c>
      <c r="E26" s="14"/>
      <c r="F26" s="23"/>
      <c r="G26" s="23"/>
      <c r="H26" s="23"/>
    </row>
    <row r="27" spans="1:8" ht="31.95" customHeight="1">
      <c r="A27" s="9" t="s">
        <v>60</v>
      </c>
      <c r="B27" s="14" t="s">
        <v>61</v>
      </c>
      <c r="C27" s="14" t="s">
        <v>62</v>
      </c>
      <c r="D27" s="52">
        <v>0</v>
      </c>
      <c r="E27" s="14"/>
      <c r="F27" s="23"/>
      <c r="G27" s="23"/>
      <c r="H27" s="23"/>
    </row>
    <row r="28" spans="1:8" ht="31.95" customHeight="1">
      <c r="A28" s="9" t="s">
        <v>63</v>
      </c>
      <c r="B28" s="14" t="s">
        <v>64</v>
      </c>
      <c r="C28" s="14" t="s">
        <v>65</v>
      </c>
      <c r="D28" s="52">
        <v>0</v>
      </c>
      <c r="E28" s="14"/>
      <c r="F28" s="23"/>
      <c r="G28" s="23"/>
      <c r="H28" s="23"/>
    </row>
    <row r="29" spans="1:8" ht="31.95" customHeight="1">
      <c r="A29" s="9" t="s">
        <v>66</v>
      </c>
      <c r="B29" s="14" t="s">
        <v>67</v>
      </c>
      <c r="C29" s="14" t="s">
        <v>68</v>
      </c>
      <c r="D29" s="52">
        <v>0</v>
      </c>
      <c r="E29" s="14"/>
      <c r="F29" s="23"/>
      <c r="G29" s="23"/>
      <c r="H29" s="23"/>
    </row>
    <row r="30" spans="1:8" ht="31.95" customHeight="1">
      <c r="A30" s="9" t="s">
        <v>69</v>
      </c>
      <c r="B30" s="14" t="s">
        <v>70</v>
      </c>
      <c r="C30" s="14" t="s">
        <v>71</v>
      </c>
      <c r="D30" s="52">
        <v>0</v>
      </c>
      <c r="E30" s="14"/>
      <c r="F30" s="23"/>
      <c r="G30" s="23"/>
      <c r="H30" s="23"/>
    </row>
    <row r="31" spans="1:8" ht="31.95" customHeight="1">
      <c r="A31" s="9" t="s">
        <v>72</v>
      </c>
      <c r="B31" s="14" t="s">
        <v>73</v>
      </c>
      <c r="C31" s="14" t="s">
        <v>74</v>
      </c>
      <c r="D31" s="52">
        <v>0</v>
      </c>
      <c r="E31" s="14"/>
      <c r="F31" s="23"/>
      <c r="G31" s="23"/>
      <c r="H31" s="23"/>
    </row>
    <row r="32" spans="1:8" ht="31.95" customHeight="1">
      <c r="A32" s="9" t="s">
        <v>75</v>
      </c>
      <c r="B32" s="14" t="s">
        <v>76</v>
      </c>
      <c r="C32" s="14" t="s">
        <v>77</v>
      </c>
      <c r="D32" s="52">
        <v>0</v>
      </c>
      <c r="E32" s="14"/>
      <c r="F32" s="23"/>
      <c r="G32" s="23"/>
      <c r="H32" s="23"/>
    </row>
    <row r="33" spans="1:8" ht="31.95" customHeight="1">
      <c r="A33" s="9" t="s">
        <v>78</v>
      </c>
      <c r="B33" s="14" t="s">
        <v>79</v>
      </c>
      <c r="C33" s="14" t="s">
        <v>80</v>
      </c>
      <c r="D33" s="52">
        <v>0</v>
      </c>
      <c r="E33" s="14"/>
      <c r="F33" s="23"/>
      <c r="G33" s="23"/>
      <c r="H33" s="23"/>
    </row>
    <row r="34" spans="1:8" ht="31.95" customHeight="1">
      <c r="A34" s="9" t="s">
        <v>81</v>
      </c>
      <c r="B34" s="14" t="s">
        <v>82</v>
      </c>
      <c r="C34" s="14" t="s">
        <v>83</v>
      </c>
      <c r="D34" s="52">
        <v>0</v>
      </c>
      <c r="E34" s="14"/>
      <c r="F34" s="23"/>
      <c r="G34" s="23"/>
      <c r="H34" s="23"/>
    </row>
    <row r="35" spans="1:8" ht="31.95" customHeight="1">
      <c r="A35" s="9" t="s">
        <v>84</v>
      </c>
      <c r="B35" s="14" t="s">
        <v>85</v>
      </c>
      <c r="C35" s="14" t="s">
        <v>86</v>
      </c>
      <c r="D35" s="52">
        <v>0</v>
      </c>
      <c r="E35" s="14"/>
      <c r="F35" s="23"/>
      <c r="G35" s="23"/>
      <c r="H35" s="23"/>
    </row>
    <row r="36" spans="1:8" ht="31.95" customHeight="1">
      <c r="A36" s="9" t="s">
        <v>87</v>
      </c>
      <c r="B36" s="14" t="s">
        <v>88</v>
      </c>
      <c r="C36" s="14" t="s">
        <v>89</v>
      </c>
      <c r="D36" s="52">
        <v>0</v>
      </c>
      <c r="E36" s="14"/>
      <c r="F36" s="23"/>
      <c r="G36" s="23"/>
      <c r="H36" s="23"/>
    </row>
    <row r="37" spans="1:8" ht="31.95" customHeight="1">
      <c r="A37" s="9" t="s">
        <v>90</v>
      </c>
      <c r="B37" s="14" t="s">
        <v>91</v>
      </c>
      <c r="C37" s="14" t="s">
        <v>92</v>
      </c>
      <c r="D37" s="52">
        <v>0</v>
      </c>
      <c r="E37" s="14"/>
      <c r="F37" s="23"/>
      <c r="G37" s="23"/>
      <c r="H37" s="23"/>
    </row>
    <row r="38" spans="1:8" ht="31.95" customHeight="1">
      <c r="A38" s="9" t="s">
        <v>93</v>
      </c>
      <c r="B38" s="14" t="s">
        <v>94</v>
      </c>
      <c r="C38" s="14" t="s">
        <v>95</v>
      </c>
      <c r="D38" s="52">
        <v>0</v>
      </c>
      <c r="E38" s="14" t="s">
        <v>96</v>
      </c>
      <c r="F38" s="23"/>
      <c r="G38" s="23"/>
      <c r="H38" s="23"/>
    </row>
    <row r="39" spans="1:8" ht="31.95" customHeight="1">
      <c r="A39" s="9" t="s">
        <v>97</v>
      </c>
      <c r="B39" s="14" t="s">
        <v>98</v>
      </c>
      <c r="C39" s="14" t="s">
        <v>99</v>
      </c>
      <c r="D39" s="52">
        <v>0</v>
      </c>
      <c r="E39" s="14"/>
      <c r="F39" s="23"/>
      <c r="G39" s="23"/>
      <c r="H39" s="23"/>
    </row>
    <row r="40" spans="1:8">
      <c r="A40" s="9"/>
      <c r="B40" s="9"/>
      <c r="C40" s="9"/>
      <c r="D40" s="19"/>
      <c r="E40" s="9"/>
      <c r="F40" s="23"/>
      <c r="G40" s="23"/>
      <c r="H40" s="23"/>
    </row>
    <row r="41" spans="1:8" ht="22.95" customHeight="1">
      <c r="A41" s="6" t="s">
        <v>100</v>
      </c>
      <c r="B41" s="6"/>
      <c r="C41" s="6"/>
      <c r="D41" s="17"/>
      <c r="E41" s="6"/>
      <c r="F41" s="23"/>
      <c r="G41" s="23"/>
      <c r="H41" s="23"/>
    </row>
    <row r="42" spans="1:8">
      <c r="A42" s="13" t="s">
        <v>16</v>
      </c>
      <c r="B42" s="13" t="s">
        <v>17</v>
      </c>
      <c r="C42" s="13" t="s">
        <v>18</v>
      </c>
      <c r="D42" s="18" t="s">
        <v>19</v>
      </c>
      <c r="E42" s="13" t="s">
        <v>20</v>
      </c>
      <c r="F42" s="23"/>
      <c r="G42" s="23"/>
      <c r="H42" s="23"/>
    </row>
    <row r="43" spans="1:8" ht="31.95" customHeight="1">
      <c r="A43" s="9" t="s">
        <v>101</v>
      </c>
      <c r="B43" s="14" t="s">
        <v>102</v>
      </c>
      <c r="C43" s="14" t="s">
        <v>103</v>
      </c>
      <c r="D43" s="52">
        <v>0</v>
      </c>
      <c r="E43" s="14"/>
      <c r="F43" s="23"/>
      <c r="G43" s="23"/>
      <c r="H43" s="23"/>
    </row>
    <row r="44" spans="1:8" ht="31.95" customHeight="1">
      <c r="A44" s="9" t="s">
        <v>104</v>
      </c>
      <c r="B44" s="14" t="s">
        <v>105</v>
      </c>
      <c r="C44" s="14" t="s">
        <v>106</v>
      </c>
      <c r="D44" s="52">
        <v>0</v>
      </c>
      <c r="E44" s="14" t="s">
        <v>107</v>
      </c>
      <c r="F44" s="23"/>
      <c r="G44" s="23"/>
      <c r="H44" s="23"/>
    </row>
    <row r="45" spans="1:8" ht="31.95" customHeight="1">
      <c r="A45" s="9" t="s">
        <v>108</v>
      </c>
      <c r="B45" s="14" t="s">
        <v>109</v>
      </c>
      <c r="C45" s="14" t="s">
        <v>110</v>
      </c>
      <c r="D45" s="52">
        <v>0</v>
      </c>
      <c r="E45" s="14"/>
      <c r="F45" s="23"/>
      <c r="G45" s="23"/>
      <c r="H45" s="23"/>
    </row>
    <row r="46" spans="1:8" ht="31.95" customHeight="1">
      <c r="A46" s="9" t="s">
        <v>111</v>
      </c>
      <c r="B46" s="14" t="s">
        <v>112</v>
      </c>
      <c r="C46" s="14" t="s">
        <v>113</v>
      </c>
      <c r="D46" s="52">
        <v>0</v>
      </c>
      <c r="E46" s="14"/>
      <c r="F46" s="23"/>
      <c r="G46" s="23"/>
      <c r="H46" s="23"/>
    </row>
    <row r="47" spans="1:8" ht="31.95" customHeight="1">
      <c r="A47" s="9" t="s">
        <v>114</v>
      </c>
      <c r="B47" s="14" t="s">
        <v>115</v>
      </c>
      <c r="C47" s="14" t="s">
        <v>116</v>
      </c>
      <c r="D47" s="52">
        <v>0</v>
      </c>
      <c r="E47" s="14" t="s">
        <v>117</v>
      </c>
      <c r="F47" s="23"/>
      <c r="G47" s="23"/>
      <c r="H47" s="23"/>
    </row>
    <row r="48" spans="1:8" ht="31.95" customHeight="1">
      <c r="A48" s="9" t="s">
        <v>118</v>
      </c>
      <c r="B48" s="14" t="s">
        <v>119</v>
      </c>
      <c r="C48" s="14" t="s">
        <v>120</v>
      </c>
      <c r="D48" s="52">
        <v>0</v>
      </c>
      <c r="E48" s="14" t="s">
        <v>121</v>
      </c>
      <c r="F48" s="23"/>
      <c r="G48" s="23"/>
      <c r="H48" s="23"/>
    </row>
    <row r="49" spans="1:8" ht="31.95" customHeight="1">
      <c r="A49" s="9" t="s">
        <v>122</v>
      </c>
      <c r="B49" s="14" t="s">
        <v>123</v>
      </c>
      <c r="C49" s="14" t="s">
        <v>124</v>
      </c>
      <c r="D49" s="52">
        <v>0</v>
      </c>
      <c r="E49" s="14"/>
      <c r="F49" s="23"/>
      <c r="G49" s="23"/>
      <c r="H49" s="23"/>
    </row>
    <row r="50" spans="1:8" ht="31.95" customHeight="1">
      <c r="A50" s="9" t="s">
        <v>125</v>
      </c>
      <c r="B50" s="14" t="s">
        <v>126</v>
      </c>
      <c r="C50" s="14" t="s">
        <v>127</v>
      </c>
      <c r="D50" s="52">
        <v>0</v>
      </c>
      <c r="E50" s="14"/>
      <c r="F50" s="23"/>
      <c r="G50" s="23"/>
      <c r="H50" s="23"/>
    </row>
    <row r="51" spans="1:8" ht="31.95" customHeight="1">
      <c r="A51" s="9" t="s">
        <v>128</v>
      </c>
      <c r="B51" s="14" t="s">
        <v>129</v>
      </c>
      <c r="C51" s="14" t="s">
        <v>130</v>
      </c>
      <c r="D51" s="52">
        <v>0</v>
      </c>
      <c r="E51" s="14"/>
      <c r="F51" s="23"/>
      <c r="G51" s="23"/>
      <c r="H51" s="23"/>
    </row>
    <row r="52" spans="1:8" ht="31.95" customHeight="1">
      <c r="A52" s="9" t="s">
        <v>131</v>
      </c>
      <c r="B52" s="14" t="s">
        <v>132</v>
      </c>
      <c r="C52" s="14" t="s">
        <v>133</v>
      </c>
      <c r="D52" s="52">
        <v>0</v>
      </c>
      <c r="E52" s="14"/>
      <c r="F52" s="23"/>
      <c r="G52" s="23"/>
      <c r="H52" s="23"/>
    </row>
    <row r="53" spans="1:8" ht="31.95" customHeight="1">
      <c r="A53" s="9" t="s">
        <v>134</v>
      </c>
      <c r="B53" s="14" t="s">
        <v>135</v>
      </c>
      <c r="C53" s="14" t="s">
        <v>136</v>
      </c>
      <c r="D53" s="52">
        <v>0</v>
      </c>
      <c r="E53" s="14"/>
      <c r="F53" s="23"/>
      <c r="G53" s="23"/>
      <c r="H53" s="23"/>
    </row>
    <row r="54" spans="1:8" ht="31.95" customHeight="1">
      <c r="A54" s="9" t="s">
        <v>137</v>
      </c>
      <c r="B54" s="14" t="s">
        <v>138</v>
      </c>
      <c r="C54" s="14" t="s">
        <v>139</v>
      </c>
      <c r="D54" s="52">
        <v>0</v>
      </c>
      <c r="E54" s="14"/>
      <c r="F54" s="23"/>
      <c r="G54" s="23"/>
      <c r="H54" s="23"/>
    </row>
    <row r="55" spans="1:8" ht="31.95" customHeight="1">
      <c r="A55" s="9" t="s">
        <v>140</v>
      </c>
      <c r="B55" s="14" t="s">
        <v>141</v>
      </c>
      <c r="C55" s="14" t="s">
        <v>142</v>
      </c>
      <c r="D55" s="52">
        <v>0</v>
      </c>
      <c r="E55" s="14"/>
      <c r="F55" s="23"/>
      <c r="G55" s="23"/>
      <c r="H55" s="23"/>
    </row>
    <row r="56" spans="1:8" ht="31.95" customHeight="1">
      <c r="A56" s="9" t="s">
        <v>143</v>
      </c>
      <c r="B56" s="14" t="s">
        <v>144</v>
      </c>
      <c r="C56" s="14" t="s">
        <v>145</v>
      </c>
      <c r="D56" s="52">
        <v>0</v>
      </c>
      <c r="E56" s="14"/>
      <c r="F56" s="23"/>
      <c r="G56" s="23"/>
      <c r="H56" s="23"/>
    </row>
    <row r="57" spans="1:8" ht="31.95" customHeight="1">
      <c r="A57" s="9" t="s">
        <v>146</v>
      </c>
      <c r="B57" s="14" t="s">
        <v>147</v>
      </c>
      <c r="C57" s="14" t="s">
        <v>148</v>
      </c>
      <c r="D57" s="52">
        <v>0</v>
      </c>
      <c r="E57" s="14"/>
      <c r="F57" s="23"/>
      <c r="G57" s="23"/>
      <c r="H57" s="23"/>
    </row>
    <row r="58" spans="1:8" ht="31.95" customHeight="1">
      <c r="A58" s="9" t="s">
        <v>149</v>
      </c>
      <c r="B58" s="14" t="s">
        <v>150</v>
      </c>
      <c r="C58" s="14" t="s">
        <v>151</v>
      </c>
      <c r="D58" s="52">
        <v>0</v>
      </c>
      <c r="E58" s="14"/>
      <c r="F58" s="23"/>
      <c r="G58" s="23"/>
      <c r="H58" s="23"/>
    </row>
    <row r="59" spans="1:8" ht="31.95" customHeight="1">
      <c r="A59" s="9" t="s">
        <v>152</v>
      </c>
      <c r="B59" s="14" t="s">
        <v>153</v>
      </c>
      <c r="C59" s="14" t="s">
        <v>154</v>
      </c>
      <c r="D59" s="52">
        <v>0</v>
      </c>
      <c r="E59" s="14"/>
      <c r="F59" s="23"/>
      <c r="G59" s="23"/>
      <c r="H59" s="23"/>
    </row>
    <row r="60" spans="1:8" ht="31.95" customHeight="1">
      <c r="A60" s="9" t="s">
        <v>155</v>
      </c>
      <c r="B60" s="14" t="s">
        <v>156</v>
      </c>
      <c r="C60" s="14" t="s">
        <v>157</v>
      </c>
      <c r="D60" s="52">
        <v>0</v>
      </c>
      <c r="E60" s="14"/>
      <c r="F60" s="23"/>
      <c r="G60" s="23"/>
      <c r="H60" s="23"/>
    </row>
    <row r="61" spans="1:8" ht="31.95" customHeight="1">
      <c r="A61" s="9" t="s">
        <v>158</v>
      </c>
      <c r="B61" s="14" t="s">
        <v>159</v>
      </c>
      <c r="C61" s="14" t="s">
        <v>160</v>
      </c>
      <c r="D61" s="52">
        <v>0</v>
      </c>
      <c r="E61" s="14"/>
      <c r="F61" s="23"/>
      <c r="G61" s="23"/>
      <c r="H61" s="23"/>
    </row>
    <row r="62" spans="1:8" ht="31.95" customHeight="1">
      <c r="A62" s="9" t="s">
        <v>161</v>
      </c>
      <c r="B62" s="14" t="s">
        <v>162</v>
      </c>
      <c r="C62" s="14" t="s">
        <v>163</v>
      </c>
      <c r="D62" s="52">
        <v>0</v>
      </c>
      <c r="E62" s="14"/>
      <c r="F62" s="23"/>
      <c r="G62" s="23"/>
      <c r="H62" s="23"/>
    </row>
    <row r="63" spans="1:8" ht="31.95" customHeight="1">
      <c r="A63" s="9" t="s">
        <v>164</v>
      </c>
      <c r="B63" s="14" t="s">
        <v>165</v>
      </c>
      <c r="C63" s="14" t="s">
        <v>166</v>
      </c>
      <c r="D63" s="52">
        <v>0</v>
      </c>
      <c r="E63" s="14"/>
      <c r="F63" s="23"/>
      <c r="G63" s="23"/>
      <c r="H63" s="23"/>
    </row>
    <row r="64" spans="1:8" ht="31.95" customHeight="1">
      <c r="A64" s="9" t="s">
        <v>167</v>
      </c>
      <c r="B64" s="14" t="s">
        <v>168</v>
      </c>
      <c r="C64" s="14" t="s">
        <v>169</v>
      </c>
      <c r="D64" s="52">
        <v>0</v>
      </c>
      <c r="E64" s="14"/>
      <c r="F64" s="23"/>
      <c r="G64" s="23"/>
      <c r="H64" s="23"/>
    </row>
    <row r="65" spans="1:8" ht="31.95" customHeight="1">
      <c r="A65" s="9" t="s">
        <v>170</v>
      </c>
      <c r="B65" s="14" t="s">
        <v>171</v>
      </c>
      <c r="C65" s="14" t="s">
        <v>172</v>
      </c>
      <c r="D65" s="52">
        <v>0</v>
      </c>
      <c r="E65" s="14"/>
      <c r="F65" s="23"/>
      <c r="G65" s="23"/>
      <c r="H65" s="23"/>
    </row>
    <row r="66" spans="1:8" ht="31.95" customHeight="1">
      <c r="A66" s="9" t="s">
        <v>173</v>
      </c>
      <c r="B66" s="14" t="s">
        <v>174</v>
      </c>
      <c r="C66" s="14" t="s">
        <v>175</v>
      </c>
      <c r="D66" s="52">
        <v>0</v>
      </c>
      <c r="E66" s="14"/>
      <c r="F66" s="23"/>
      <c r="G66" s="23"/>
      <c r="H66" s="23"/>
    </row>
    <row r="67" spans="1:8" ht="31.95" customHeight="1">
      <c r="A67" s="9" t="s">
        <v>176</v>
      </c>
      <c r="B67" s="14" t="s">
        <v>177</v>
      </c>
      <c r="C67" s="14" t="s">
        <v>178</v>
      </c>
      <c r="D67" s="52">
        <v>0</v>
      </c>
      <c r="E67" s="14"/>
      <c r="F67" s="23"/>
      <c r="G67" s="23"/>
      <c r="H67" s="23"/>
    </row>
    <row r="68" spans="1:8">
      <c r="A68" s="9"/>
      <c r="B68" s="9"/>
      <c r="C68" s="9"/>
      <c r="D68" s="19"/>
      <c r="E68" s="9"/>
      <c r="F68" s="23"/>
      <c r="G68" s="23"/>
      <c r="H68" s="23"/>
    </row>
    <row r="69" spans="1:8" ht="22.95" customHeight="1">
      <c r="A69" s="6" t="s">
        <v>179</v>
      </c>
      <c r="B69" s="6"/>
      <c r="C69" s="6"/>
      <c r="D69" s="17"/>
      <c r="E69" s="6"/>
      <c r="F69" s="23"/>
      <c r="G69" s="23"/>
      <c r="H69" s="23"/>
    </row>
    <row r="70" spans="1:8">
      <c r="A70" s="13" t="s">
        <v>16</v>
      </c>
      <c r="B70" s="13" t="s">
        <v>17</v>
      </c>
      <c r="C70" s="13" t="s">
        <v>18</v>
      </c>
      <c r="D70" s="18" t="s">
        <v>19</v>
      </c>
      <c r="E70" s="13" t="s">
        <v>20</v>
      </c>
      <c r="F70" s="23"/>
      <c r="G70" s="23"/>
      <c r="H70" s="23"/>
    </row>
    <row r="71" spans="1:8" ht="31.95" customHeight="1">
      <c r="A71" s="9" t="s">
        <v>180</v>
      </c>
      <c r="B71" s="14" t="s">
        <v>181</v>
      </c>
      <c r="C71" s="14" t="s">
        <v>182</v>
      </c>
      <c r="D71" s="52">
        <v>0</v>
      </c>
      <c r="E71" s="14"/>
      <c r="F71" s="23"/>
      <c r="G71" s="23"/>
      <c r="H71" s="23"/>
    </row>
    <row r="72" spans="1:8" ht="31.95" customHeight="1">
      <c r="A72" s="9" t="s">
        <v>183</v>
      </c>
      <c r="B72" s="14" t="s">
        <v>184</v>
      </c>
      <c r="C72" s="14" t="s">
        <v>185</v>
      </c>
      <c r="D72" s="52">
        <v>0</v>
      </c>
      <c r="E72" s="14"/>
      <c r="F72" s="23"/>
      <c r="G72" s="23"/>
      <c r="H72" s="23"/>
    </row>
    <row r="73" spans="1:8" ht="31.95" customHeight="1">
      <c r="A73" s="9" t="s">
        <v>186</v>
      </c>
      <c r="B73" s="14" t="s">
        <v>187</v>
      </c>
      <c r="C73" s="14" t="s">
        <v>188</v>
      </c>
      <c r="D73" s="52">
        <v>0</v>
      </c>
      <c r="E73" s="14"/>
      <c r="F73" s="23"/>
      <c r="G73" s="23"/>
      <c r="H73" s="23"/>
    </row>
    <row r="74" spans="1:8" ht="31.95" customHeight="1">
      <c r="A74" s="9" t="s">
        <v>189</v>
      </c>
      <c r="B74" s="14" t="s">
        <v>187</v>
      </c>
      <c r="C74" s="14" t="s">
        <v>190</v>
      </c>
      <c r="D74" s="52">
        <v>0</v>
      </c>
      <c r="E74" s="14"/>
      <c r="F74" s="23"/>
      <c r="G74" s="23"/>
      <c r="H74" s="23"/>
    </row>
    <row r="75" spans="1:8" ht="31.95" customHeight="1">
      <c r="A75" s="9" t="s">
        <v>191</v>
      </c>
      <c r="B75" s="14" t="s">
        <v>192</v>
      </c>
      <c r="C75" s="14" t="s">
        <v>193</v>
      </c>
      <c r="D75" s="52">
        <v>0</v>
      </c>
      <c r="E75" s="14"/>
      <c r="F75" s="23"/>
      <c r="G75" s="23"/>
      <c r="H75" s="23"/>
    </row>
    <row r="76" spans="1:8" ht="31.95" customHeight="1">
      <c r="A76" s="9" t="s">
        <v>194</v>
      </c>
      <c r="B76" s="14" t="s">
        <v>195</v>
      </c>
      <c r="C76" s="14" t="s">
        <v>196</v>
      </c>
      <c r="D76" s="52">
        <v>0</v>
      </c>
      <c r="E76" s="14"/>
      <c r="F76" s="23"/>
      <c r="G76" s="23"/>
      <c r="H76" s="23"/>
    </row>
    <row r="77" spans="1:8" ht="31.95" customHeight="1">
      <c r="A77" s="9" t="s">
        <v>197</v>
      </c>
      <c r="B77" s="14" t="s">
        <v>198</v>
      </c>
      <c r="C77" s="14" t="s">
        <v>199</v>
      </c>
      <c r="D77" s="52">
        <v>0</v>
      </c>
      <c r="E77" s="14"/>
      <c r="F77" s="23"/>
      <c r="G77" s="23"/>
      <c r="H77" s="23"/>
    </row>
    <row r="78" spans="1:8" ht="31.95" customHeight="1">
      <c r="A78" s="9" t="s">
        <v>200</v>
      </c>
      <c r="B78" s="14" t="s">
        <v>201</v>
      </c>
      <c r="C78" s="14" t="s">
        <v>202</v>
      </c>
      <c r="D78" s="52">
        <v>0</v>
      </c>
      <c r="E78" s="14"/>
      <c r="F78" s="23"/>
      <c r="G78" s="23"/>
      <c r="H78" s="23"/>
    </row>
    <row r="79" spans="1:8" ht="31.95" customHeight="1">
      <c r="A79" s="9" t="s">
        <v>203</v>
      </c>
      <c r="B79" s="14" t="s">
        <v>204</v>
      </c>
      <c r="C79" s="14" t="s">
        <v>205</v>
      </c>
      <c r="D79" s="52">
        <v>0</v>
      </c>
      <c r="E79" s="14"/>
      <c r="F79" s="23"/>
      <c r="G79" s="23"/>
      <c r="H79" s="23"/>
    </row>
    <row r="80" spans="1:8" ht="31.95" customHeight="1">
      <c r="A80" s="9" t="s">
        <v>206</v>
      </c>
      <c r="B80" s="14" t="s">
        <v>207</v>
      </c>
      <c r="C80" s="14" t="s">
        <v>208</v>
      </c>
      <c r="D80" s="52">
        <v>0</v>
      </c>
      <c r="E80" s="14"/>
      <c r="F80" s="23"/>
      <c r="G80" s="23"/>
      <c r="H80" s="23"/>
    </row>
    <row r="81" spans="1:8" ht="31.95" customHeight="1">
      <c r="A81" s="9" t="s">
        <v>209</v>
      </c>
      <c r="B81" s="14" t="s">
        <v>210</v>
      </c>
      <c r="C81" s="14" t="s">
        <v>211</v>
      </c>
      <c r="D81" s="52">
        <v>0</v>
      </c>
      <c r="E81" s="14" t="s">
        <v>212</v>
      </c>
      <c r="F81" s="23"/>
      <c r="G81" s="23"/>
      <c r="H81" s="23"/>
    </row>
    <row r="82" spans="1:8" ht="31.95" customHeight="1">
      <c r="A82" s="9" t="s">
        <v>213</v>
      </c>
      <c r="B82" s="14" t="s">
        <v>214</v>
      </c>
      <c r="C82" s="14" t="s">
        <v>215</v>
      </c>
      <c r="D82" s="52">
        <v>0</v>
      </c>
      <c r="E82" s="14" t="s">
        <v>216</v>
      </c>
      <c r="F82" s="23"/>
      <c r="G82" s="23"/>
      <c r="H82" s="23"/>
    </row>
  </sheetData>
  <sheetProtection sheet="1" objects="1" scenarios="1"/>
  <mergeCells count="20">
    <mergeCell ref="A13:E13"/>
    <mergeCell ref="A41:E41"/>
    <mergeCell ref="A69:E69"/>
    <mergeCell ref="F11:G11"/>
    <mergeCell ref="F12:H12"/>
    <mergeCell ref="A8:C8"/>
    <mergeCell ref="A9:C9"/>
    <mergeCell ref="A10:C10"/>
    <mergeCell ref="A11:C11"/>
    <mergeCell ref="F4:H4"/>
    <mergeCell ref="F5:G5"/>
    <mergeCell ref="F6:G6"/>
    <mergeCell ref="F7:G7"/>
    <mergeCell ref="F8:H10"/>
    <mergeCell ref="A1:H1"/>
    <mergeCell ref="A2:H2"/>
    <mergeCell ref="A4:E4"/>
    <mergeCell ref="A5:C5"/>
    <mergeCell ref="A6:C6"/>
    <mergeCell ref="A7:C7"/>
  </mergeCells>
  <phoneticPr fontId="2"/>
  <dataValidations count="67">
    <dataValidation type="custom" showInputMessage="1" showErrorMessage="1" sqref="D6" xr:uid="{58BE543B-B094-4537-B5B7-E613D5500BAA}">
      <formula1>AND(ISNUMBER(D6),D6&gt;=DATE(1900,1,1),D6&lt;=DATE(2100,12,31))</formula1>
    </dataValidation>
    <dataValidation type="custom" showInputMessage="1" showErrorMessage="1" sqref="D7" xr:uid="{7EDB5DB0-FEFC-419F-AB55-2063E7B1E9CC}">
      <formula1>AND(ISNUMBER(D7),ISNUMBER(D6),D7&gt;=D6,D7&lt;=IF(DAY(EDATE(D6,12))&lt;DAY(D6),EDATE(D6,12),EDATE(D6,12)-1))</formula1>
    </dataValidation>
    <dataValidation type="list" showInputMessage="1" showErrorMessage="1" sqref="D9" xr:uid="{5E614286-C440-4F7B-B0CC-79CDFF4BA394}">
      <formula1>"該当,非該当"</formula1>
    </dataValidation>
    <dataValidation type="list" showInputMessage="1" showErrorMessage="1" sqref="D10" xr:uid="{DEC06352-57EB-4B87-B35C-6DDB3D7F5CE6}">
      <formula1>"はい,いいえ"</formula1>
    </dataValidation>
    <dataValidation type="list" showInputMessage="1" showErrorMessage="1" sqref="D11" xr:uid="{C5629ADF-F254-4A37-9ABD-7B0FB1A815FD}">
      <formula1>"はい,いいえ"</formula1>
    </dataValidation>
    <dataValidation type="custom" showInputMessage="1" showErrorMessage="1" errorTitle="入力エラー" error="絶対値1,000兆円未満の円単位整数を入力してください（負数可）。" sqref="D15" xr:uid="{E46800E5-3C79-4035-B849-99C73D0DE0B9}">
      <formula1>AND(ISNUMBER(D15),D15=INT(D15),ABS(D15)&lt;=999999999999999)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6" xr:uid="{A6133A24-E37A-46F1-8AB4-513440B5AB1C}">
      <formula1>AND(ISNUMBER(D16),D16=INT(D16),D16&gt;=0,D16&lt;=999999999999999)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7" xr:uid="{9C612197-F6DB-4AAC-94A7-7CFDD83A9986}">
      <formula1>AND(ISNUMBER(D17),D17=INT(D17),D17&gt;=0,D17&lt;=999999999999999)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8" xr:uid="{DFA21731-3119-4FC5-9A17-F662D4160E66}">
      <formula1>AND(ISNUMBER(D18),D18=INT(D18),D18&gt;=0,D18&lt;=999999999999999)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9" xr:uid="{11D62A80-ADF2-4728-9B5B-7090BD3C96CE}">
      <formula1>AND(ISNUMBER(D19),D19=INT(D19),D19&gt;=0,D19&lt;=999999999999999)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0" xr:uid="{D1F33A72-5CF6-4156-A526-C3F1FAD5B9E7}">
      <formula1>AND(ISNUMBER(D20),D20=INT(D20),D20&gt;=0,D20&lt;=999999999999999)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1" xr:uid="{264D549E-FD26-46B4-B49D-7009E6512A46}">
      <formula1>AND(ISNUMBER(D21),D21=INT(D21),D21&gt;=0,D21&lt;=999999999999999)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2" xr:uid="{192FA25B-0C14-418B-9127-EAA05B09CBDC}">
      <formula1>AND(ISNUMBER(D22),D22=INT(D22),D22&gt;=0,D22&lt;=999999999999999)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3" xr:uid="{640C2134-ABFB-4838-952B-AE41167723A7}">
      <formula1>AND(ISNUMBER(D23),D23=INT(D23),D23&gt;=0,D23&lt;=999999999999999)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4" xr:uid="{B1C4613B-5B55-4A26-8FB2-EE3B84717B60}">
      <formula1>AND(ISNUMBER(D24),D24=INT(D24),D24&gt;=0,D24&lt;=999999999999999)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5" xr:uid="{F29020E6-20F3-4A16-8DF7-EA2566AADA06}">
      <formula1>AND(ISNUMBER(D25),D25=INT(D25),D25&gt;=0,D25&lt;=999999999999999)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6" xr:uid="{53ACECAF-99E6-4763-A0EA-CB90D6C5503D}">
      <formula1>AND(ISNUMBER(D26),D26=INT(D26),D26&gt;=0,D26&lt;=999999999999999)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7" xr:uid="{1806CBB3-AB70-4FA2-98A1-B3E1E220F9B2}">
      <formula1>AND(ISNUMBER(D27),D27=INT(D27),D27&gt;=0,D27&lt;=999999999999999)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8" xr:uid="{DA4E1C38-4F09-45CA-A1F4-C319A1FA1AE7}">
      <formula1>AND(ISNUMBER(D28),D28=INT(D28),D28&gt;=0,D28&lt;=999999999999999)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9" xr:uid="{90241709-A000-4DDC-A721-A05E65425EA3}">
      <formula1>AND(ISNUMBER(D29),D29=INT(D29),D29&gt;=0,D29&lt;=999999999999999)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0" xr:uid="{D29EC223-1C64-4B39-A6EE-6269550D0978}">
      <formula1>AND(ISNUMBER(D30),D30=INT(D30),D30&gt;=0,D30&lt;=999999999999999)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1" xr:uid="{A24DA0A9-4FC2-4F5B-B142-D99986B5DF67}">
      <formula1>AND(ISNUMBER(D31),D31=INT(D31),D31&gt;=0,D31&lt;=999999999999999)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2" xr:uid="{74F915A1-C222-4B92-B8E2-C96E3E325EBB}">
      <formula1>AND(ISNUMBER(D32),D32=INT(D32),D32&gt;=0,D32&lt;=999999999999999)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3" xr:uid="{0B7A0E03-88C4-4ECF-BEE5-8624244E7514}">
      <formula1>AND(ISNUMBER(D33),D33=INT(D33),D33&gt;=0,D33&lt;=999999999999999)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4" xr:uid="{D2561A32-9981-4EDD-9449-B919D90C3F47}">
      <formula1>AND(ISNUMBER(D34),D34=INT(D34),D34&gt;=0,D34&lt;=999999999999999)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5" xr:uid="{20D8D845-3D8B-4D3E-87B5-E8299A112F1A}">
      <formula1>AND(ISNUMBER(D35),D35=INT(D35),D35&gt;=0,D35&lt;=999999999999999)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6" xr:uid="{55D81474-A2C5-4DEC-B234-AD99D2B13200}">
      <formula1>AND(ISNUMBER(D36),D36=INT(D36),D36&gt;=0,D36&lt;=999999999999999)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7" xr:uid="{F7795391-7608-4353-AC92-5D635764E640}">
      <formula1>AND(ISNUMBER(D37),D37=INT(D37),D37&gt;=0,D37&lt;=999999999999999)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8" xr:uid="{60A7CB2A-0D77-4CF3-9934-A91C20FE4816}">
      <formula1>AND(ISNUMBER(D38),D38=INT(D38),D38&gt;=0,D38&lt;=999999999999999)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9" xr:uid="{7AF254DF-C25B-4D0B-868F-DB8507D5883D}">
      <formula1>AND(ISNUMBER(D39),D39=INT(D39),D39&gt;=0,D39&lt;=999999999999999)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3" xr:uid="{2F9B52A8-1A37-408E-9364-D5416CCD4513}">
      <formula1>AND(ISNUMBER(D43),D43=INT(D43),D43&gt;=0,D43&lt;=999999999999999)</formula1>
    </dataValidation>
    <dataValidation type="custom" showInputMessage="1" showErrorMessage="1" errorTitle="入力エラー" error="絶対値1,000兆円未満の円単位整数を入力してください（負数可）。" sqref="D44" xr:uid="{6BE3B301-0B45-4492-BC57-6424C931BE4E}">
      <formula1>AND(ISNUMBER(D44),D44=INT(D44),ABS(D44)&lt;=999999999999999)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5" xr:uid="{575F7487-3FD3-4494-9B60-E76F7DB2CA05}">
      <formula1>AND(ISNUMBER(D45),D45=INT(D45),D45&gt;=0,D45&lt;=999999999999999)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6" xr:uid="{A3FB07AA-0D8C-40A7-98A9-DC5FB5AB6552}">
      <formula1>AND(ISNUMBER(D46),D46=INT(D46),D46&gt;=0,D46&lt;=999999999999999)</formula1>
    </dataValidation>
    <dataValidation type="custom" showInputMessage="1" showErrorMessage="1" errorTitle="入力エラー" error="絶対値1,000兆円未満の円単位整数を入力してください（負数可）。" sqref="D47" xr:uid="{0AB774E1-5C4B-4660-86C6-1E764FD327C7}">
      <formula1>AND(ISNUMBER(D47),D47=INT(D47),ABS(D47)&lt;=999999999999999)</formula1>
    </dataValidation>
    <dataValidation type="custom" showInputMessage="1" showErrorMessage="1" errorTitle="入力エラー" error="絶対値1,000兆円未満の円単位整数を入力してください（負数可）。" sqref="D48" xr:uid="{C90B3DA7-E3C3-4290-8486-2B3D8BAD83B1}">
      <formula1>AND(ISNUMBER(D48),D48=INT(D48),ABS(D48)&lt;=999999999999999)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9" xr:uid="{69F2D3D2-420A-4844-8781-92A0EE3AECA9}">
      <formula1>AND(ISNUMBER(D49),D49=INT(D49),D49&gt;=0,D49&lt;=999999999999999)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0" xr:uid="{07930FCB-B676-479E-8777-D72562D76C50}">
      <formula1>AND(ISNUMBER(D50),D50=INT(D50),D50&gt;=0,D50&lt;=999999999999999)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1" xr:uid="{A9C4B062-37B2-4EA1-AD4C-77A947022469}">
      <formula1>AND(ISNUMBER(D51),D51=INT(D51),D51&gt;=0,D51&lt;=999999999999999)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2" xr:uid="{0875BB14-00BB-47CC-97B5-0A4C5C4B94E7}">
      <formula1>AND(ISNUMBER(D52),D52=INT(D52),D52&gt;=0,D52&lt;=999999999999999)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3" xr:uid="{1D33E1A6-A10D-42E3-8A2E-E5D7AD0230CD}">
      <formula1>AND(ISNUMBER(D53),D53=INT(D53),D53&gt;=0,D53&lt;=999999999999999)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4" xr:uid="{B008688F-B60E-49E8-AF44-17CF836B4054}">
      <formula1>AND(ISNUMBER(D54),D54=INT(D54),D54&gt;=0,D54&lt;=999999999999999)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5" xr:uid="{F6BD3C18-A85A-4D7B-BB2C-C7FAB076792A}">
      <formula1>AND(ISNUMBER(D55),D55=INT(D55),D55&gt;=0,D55&lt;=999999999999999)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6" xr:uid="{8616AC3E-EE3C-4440-A49A-8AA62234BB93}">
      <formula1>AND(ISNUMBER(D56),D56=INT(D56),D56&gt;=0,D56&lt;=999999999999999)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7" xr:uid="{C4D026D1-147F-4A46-9E7E-7E9EFBA7719E}">
      <formula1>AND(ISNUMBER(D57),D57=INT(D57),D57&gt;=0,D57&lt;=999999999999999)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8" xr:uid="{89612375-1711-4BE9-B907-39BC4A33ACBE}">
      <formula1>AND(ISNUMBER(D58),D58=INT(D58),D58&gt;=0,D58&lt;=999999999999999)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9" xr:uid="{75A37798-41CD-430E-9146-25145CD65C41}">
      <formula1>AND(ISNUMBER(D59),D59=INT(D59),D59&gt;=0,D59&lt;=999999999999999)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0" xr:uid="{5E096CD4-F831-466A-B880-6B025DB7E149}">
      <formula1>AND(ISNUMBER(D60),D60=INT(D60),D60&gt;=0,D60&lt;=999999999999999)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1" xr:uid="{BB4F08FC-D806-461E-A398-ABCEC57DDEC6}">
      <formula1>AND(ISNUMBER(D61),D61=INT(D61),D61&gt;=0,D61&lt;=999999999999999)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2" xr:uid="{66E53613-54DC-4146-A319-553CE0812FD8}">
      <formula1>AND(ISNUMBER(D62),D62=INT(D62),D62&gt;=0,D62&lt;=999999999999999)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3" xr:uid="{53895294-9FC6-4998-9119-A2F6991DD4E1}">
      <formula1>AND(ISNUMBER(D63),D63=INT(D63),D63&gt;=0,D63&lt;=999999999999999)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4" xr:uid="{DAC4EDC6-EC58-4D24-916C-538B8FAB83E9}">
      <formula1>AND(ISNUMBER(D64),D64=INT(D64),D64&gt;=0,D64&lt;=999999999999999)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5" xr:uid="{0B15C902-9607-496B-8E8B-31BE723D9936}">
      <formula1>AND(ISNUMBER(D65),D65=INT(D65),D65&gt;=0,D65&lt;=999999999999999)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6" xr:uid="{1BA177E2-C8EE-41EF-B731-B62187D66972}">
      <formula1>AND(ISNUMBER(D66),D66=INT(D66),D66&gt;=0,D66&lt;=999999999999999)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7" xr:uid="{F5305D56-6273-4ED0-813F-062C131F301D}">
      <formula1>AND(ISNUMBER(D67),D67=INT(D67),D67&gt;=0,D67&lt;=999999999999999)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1" xr:uid="{43B20C86-DA68-487F-83F5-6A85CA3A98AB}">
      <formula1>AND(ISNUMBER(D71),D71=INT(D71),D71&gt;=0,D71&lt;=999999999999999)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2" xr:uid="{6F24712B-D0FE-4611-A2CF-2E11FA894CCF}">
      <formula1>AND(ISNUMBER(D72),D72=INT(D72),D72&gt;=0,D72&lt;=999999999999999)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3" xr:uid="{8CEC0465-8C48-4369-A37C-086AC3230B44}">
      <formula1>AND(ISNUMBER(D73),D73=INT(D73),D73&gt;=0,D73&lt;=999999999999999)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4" xr:uid="{5509191B-40BA-420A-831C-0A3C39C59484}">
      <formula1>AND(ISNUMBER(D74),D74=INT(D74),D74&gt;=0,D74&lt;=999999999999999)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5" xr:uid="{5CDC4863-C68F-4DC2-9A09-86EFE79D85FD}">
      <formula1>AND(ISNUMBER(D75),D75=INT(D75),D75&gt;=0,D75&lt;=999999999999999)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6" xr:uid="{ED3AC128-F351-4DB6-BCD4-124CA13CCF20}">
      <formula1>AND(ISNUMBER(D76),D76=INT(D76),D76&gt;=0,D76&lt;=999999999999999)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7" xr:uid="{EFF972A6-B8EB-46D0-9A62-24A2146F19EC}">
      <formula1>AND(ISNUMBER(D77),D77=INT(D77),D77&gt;=0,D77&lt;=999999999999999)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8" xr:uid="{3D01D4A3-D47C-4BA2-81EF-B18261F5FB02}">
      <formula1>AND(ISNUMBER(D78),D78=INT(D78),D78&gt;=0,D78&lt;=999999999999999)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9" xr:uid="{9F5C147C-1A25-4A8D-94AC-50AD2F6AC58C}">
      <formula1>AND(ISNUMBER(D79),D79=INT(D79),D79&gt;=0,D79&lt;=999999999999999)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80" xr:uid="{52C42F41-CAAB-4C95-BEAB-284DFD824E4E}">
      <formula1>AND(ISNUMBER(D80),D80=INT(D80),D80&gt;=0,D80&lt;=999999999999999)</formula1>
    </dataValidation>
    <dataValidation type="custom" showInputMessage="1" showErrorMessage="1" errorTitle="入力エラー" error="付表二20欄の控除前合計額以上となる、1,000兆円未満の円単位整数を入力してください。" sqref="D81" xr:uid="{9D09E7BE-78CB-4024-BB77-50894BFA55FE}">
      <formula1>AND(ISNUMBER(D81),D81=INT(D81),D81&gt;=IF(inp_group="はい",MIN(inp_f2_03,MAX(inp_f2_08-inp_f2_04,0)),0),D81&lt;=999999999999999)</formula1>
    </dataValidation>
    <dataValidation type="custom" showInputMessage="1" showErrorMessage="1" errorTitle="入力エラー" error="付表二22欄の控除前合計額以上となる、1,000兆円未満の円単位整数を入力してください。" sqref="D82" xr:uid="{DE89CF25-96DF-439B-8E65-F9E60A2A05D4}">
      <formula1>AND(ISNUMBER(D82),D82=INT(D82),D82&gt;=IF(inp_group="はい",MAX(inp_f2_04-inp_f2_08,0),0),D82&lt;=999999999999999)</formula1>
    </dataValidation>
  </dataValidations>
  <pageMargins left="0.7" right="0.7" top="0.75" bottom="0.75" header="0.3" footer="0.3"/>
  <pageSetup paperSize="9" fitToHeight="99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3D5F2-B030-4242-ACF5-C4BFD2667785}">
  <sheetPr>
    <tabColor rgb="FF2F75B5"/>
    <pageSetUpPr fitToPage="1"/>
  </sheetPr>
  <dimension ref="A1:G32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7.69921875" customWidth="1"/>
    <col min="2" max="2" width="37.69921875" customWidth="1"/>
    <col min="3" max="3" width="49.69921875" customWidth="1"/>
    <col min="4" max="4" width="18.69921875" customWidth="1"/>
    <col min="5" max="5" width="28.69921875" customWidth="1"/>
    <col min="6" max="6" width="31.69921875" customWidth="1"/>
    <col min="7" max="7" width="19.69921875" customWidth="1"/>
  </cols>
  <sheetData>
    <row r="1" spans="1:7" ht="30" customHeight="1">
      <c r="A1" s="2" t="s">
        <v>217</v>
      </c>
      <c r="B1" s="3"/>
      <c r="C1" s="3"/>
      <c r="D1" s="3"/>
      <c r="E1" s="3"/>
    </row>
    <row r="2" spans="1:7">
      <c r="A2" s="4" t="s">
        <v>218</v>
      </c>
      <c r="B2" s="3"/>
      <c r="C2" s="3"/>
      <c r="D2" s="3"/>
      <c r="E2" s="3"/>
    </row>
    <row r="3" spans="1:7">
      <c r="A3" s="5"/>
      <c r="B3" s="5"/>
      <c r="C3" s="5"/>
      <c r="D3" s="5"/>
      <c r="E3" s="5"/>
    </row>
    <row r="4" spans="1:7">
      <c r="A4" s="24" t="s">
        <v>219</v>
      </c>
      <c r="B4" s="24" t="s">
        <v>220</v>
      </c>
      <c r="C4" s="24" t="s">
        <v>221</v>
      </c>
      <c r="D4" s="24" t="s">
        <v>222</v>
      </c>
      <c r="E4" s="24" t="s">
        <v>223</v>
      </c>
      <c r="F4" s="28" t="s">
        <v>366</v>
      </c>
      <c r="G4" s="28" t="s">
        <v>367</v>
      </c>
    </row>
    <row r="5" spans="1:7" ht="37.950000000000003" customHeight="1">
      <c r="A5" s="25">
        <v>1</v>
      </c>
      <c r="B5" s="26" t="s">
        <v>224</v>
      </c>
      <c r="C5" s="26" t="s">
        <v>225</v>
      </c>
      <c r="D5" s="27">
        <f>MIN(m_21,IF(inp_months="",0,30000000*inp_months/12))</f>
        <v>0</v>
      </c>
      <c r="E5" s="26" t="s">
        <v>226</v>
      </c>
      <c r="F5" s="1" t="s">
        <v>368</v>
      </c>
      <c r="G5" s="29">
        <f>MAX(m_19-m_20,0)</f>
        <v>0</v>
      </c>
    </row>
    <row r="6" spans="1:7" ht="37.950000000000003" customHeight="1">
      <c r="A6" s="25">
        <v>2</v>
      </c>
      <c r="B6" s="26" t="s">
        <v>227</v>
      </c>
      <c r="C6" s="26" t="s">
        <v>228</v>
      </c>
      <c r="D6" s="27">
        <f>$G$10</f>
        <v>0</v>
      </c>
      <c r="E6" s="26" t="s">
        <v>229</v>
      </c>
      <c r="F6" s="1" t="s">
        <v>369</v>
      </c>
      <c r="G6" s="29">
        <f>G5-m_21</f>
        <v>0</v>
      </c>
    </row>
    <row r="7" spans="1:7" ht="37.950000000000003" customHeight="1">
      <c r="A7" s="25">
        <v>3</v>
      </c>
      <c r="B7" s="26" t="s">
        <v>230</v>
      </c>
      <c r="C7" s="26" t="s">
        <v>231</v>
      </c>
      <c r="D7" s="27">
        <f>m_21-m_01-m_02</f>
        <v>0</v>
      </c>
      <c r="E7" s="26" t="s">
        <v>226</v>
      </c>
      <c r="F7" s="1" t="s">
        <v>370</v>
      </c>
      <c r="G7" s="29">
        <f>IF(inp_months="",0,100000000*inp_months/12)</f>
        <v>100000000</v>
      </c>
    </row>
    <row r="8" spans="1:7" ht="37.950000000000003" customHeight="1">
      <c r="A8" s="25">
        <v>4</v>
      </c>
      <c r="B8" s="26" t="s">
        <v>232</v>
      </c>
      <c r="C8" s="26" t="s">
        <v>233</v>
      </c>
      <c r="D8" s="27">
        <f>SUM(m_01:m_03)</f>
        <v>0</v>
      </c>
      <c r="E8" s="26" t="s">
        <v>234</v>
      </c>
      <c r="F8" s="1" t="s">
        <v>371</v>
      </c>
      <c r="G8" s="29">
        <f>MAX(0,MIN(m_21-m_01,G7-m_01))</f>
        <v>0</v>
      </c>
    </row>
    <row r="9" spans="1:7" ht="37.950000000000003" customHeight="1">
      <c r="A9" s="25">
        <v>5</v>
      </c>
      <c r="B9" s="26" t="s">
        <v>235</v>
      </c>
      <c r="C9" s="26" t="s">
        <v>236</v>
      </c>
      <c r="D9" s="27">
        <f>ROUNDDOWN(m_01*10%,0)</f>
        <v>0</v>
      </c>
      <c r="E9" s="26" t="s">
        <v>237</v>
      </c>
      <c r="F9" s="1" t="s">
        <v>372</v>
      </c>
      <c r="G9" s="29">
        <f>G8-ROUNDDOWN(G8,-3)</f>
        <v>0</v>
      </c>
    </row>
    <row r="10" spans="1:7" ht="37.950000000000003" customHeight="1">
      <c r="A10" s="25">
        <v>6</v>
      </c>
      <c r="B10" s="26" t="s">
        <v>238</v>
      </c>
      <c r="C10" s="26" t="s">
        <v>239</v>
      </c>
      <c r="D10" s="27">
        <f>ROUNDDOWN(m_02*15%,0)</f>
        <v>0</v>
      </c>
      <c r="E10" s="26" t="s">
        <v>237</v>
      </c>
      <c r="F10" s="1" t="s">
        <v>373</v>
      </c>
      <c r="G10" s="29">
        <f>IF(G9&gt;G6,ROUNDUP(G8,-3),ROUNDDOWN(G8,-3))</f>
        <v>0</v>
      </c>
    </row>
    <row r="11" spans="1:7" ht="37.950000000000003" customHeight="1">
      <c r="A11" s="25">
        <v>7</v>
      </c>
      <c r="B11" s="26" t="s">
        <v>240</v>
      </c>
      <c r="C11" s="26" t="s">
        <v>241</v>
      </c>
      <c r="D11" s="27">
        <f>ROUNDDOWN(m_03*20%,0)</f>
        <v>0</v>
      </c>
      <c r="E11" s="26" t="s">
        <v>237</v>
      </c>
    </row>
    <row r="12" spans="1:7" ht="37.950000000000003" customHeight="1">
      <c r="A12" s="25">
        <v>8</v>
      </c>
      <c r="B12" s="26" t="s">
        <v>242</v>
      </c>
      <c r="C12" s="26" t="s">
        <v>243</v>
      </c>
      <c r="D12" s="31">
        <f>SUM(m_05:m_07)</f>
        <v>0</v>
      </c>
      <c r="E12" s="26" t="s">
        <v>244</v>
      </c>
    </row>
    <row r="13" spans="1:7" ht="37.950000000000003" customHeight="1">
      <c r="A13" s="25">
        <v>9</v>
      </c>
      <c r="B13" s="26" t="s">
        <v>245</v>
      </c>
      <c r="C13" s="26" t="s">
        <v>246</v>
      </c>
      <c r="D13" s="27">
        <f>inp_m9_base+inp_m9_extra</f>
        <v>0</v>
      </c>
      <c r="E13" s="26" t="s">
        <v>247</v>
      </c>
    </row>
    <row r="14" spans="1:7" ht="37.950000000000003" customHeight="1">
      <c r="A14" s="25">
        <v>10</v>
      </c>
      <c r="B14" s="26" t="s">
        <v>35</v>
      </c>
      <c r="C14" s="26" t="s">
        <v>248</v>
      </c>
      <c r="D14" s="27">
        <f>inp_prev_div</f>
        <v>0</v>
      </c>
      <c r="E14" s="26" t="s">
        <v>237</v>
      </c>
    </row>
    <row r="15" spans="1:7" ht="37.950000000000003" customHeight="1">
      <c r="A15" s="25">
        <v>11</v>
      </c>
      <c r="B15" s="26" t="s">
        <v>38</v>
      </c>
      <c r="C15" s="26" t="s">
        <v>37</v>
      </c>
      <c r="D15" s="27">
        <f>inp_curr_div</f>
        <v>0</v>
      </c>
      <c r="E15" s="26" t="s">
        <v>237</v>
      </c>
    </row>
    <row r="16" spans="1:7" ht="37.950000000000003" customHeight="1">
      <c r="A16" s="25">
        <v>12</v>
      </c>
      <c r="B16" s="26" t="s">
        <v>249</v>
      </c>
      <c r="C16" s="26" t="s">
        <v>250</v>
      </c>
      <c r="D16" s="27">
        <f>MAX(MAX((inp_b1_2-inp_b1_3+inp_b1_4+inp_b1_6+inp_b1_9out-inp_b1_11-inp_b1_18)-inp_b6_5_2_5_3,0)+MAX(inp_b1_31+inp_b1_32-inp_b1_36-inp_b1_65,0)-MAX(inp_b6_5_2_5_3-(inp_b1_2-inp_b1_3+inp_b1_4+inp_b1_6+inp_b1_9out),0),0)</f>
        <v>0</v>
      </c>
      <c r="E16" s="26" t="s">
        <v>251</v>
      </c>
    </row>
    <row r="17" spans="1:5" ht="37.950000000000003" customHeight="1">
      <c r="A17" s="25">
        <v>13</v>
      </c>
      <c r="B17" s="26" t="s">
        <v>252</v>
      </c>
      <c r="C17" s="26" t="s">
        <v>253</v>
      </c>
      <c r="D17" s="27">
        <f>m_28</f>
        <v>0</v>
      </c>
      <c r="E17" s="26" t="s">
        <v>237</v>
      </c>
    </row>
    <row r="18" spans="1:5" ht="37.950000000000003" customHeight="1">
      <c r="A18" s="25">
        <v>14</v>
      </c>
      <c r="B18" s="26" t="s">
        <v>254</v>
      </c>
      <c r="C18" s="26" t="s">
        <v>91</v>
      </c>
      <c r="D18" s="27">
        <f>inp_m14_foreign</f>
        <v>0</v>
      </c>
      <c r="E18" s="26" t="s">
        <v>237</v>
      </c>
    </row>
    <row r="19" spans="1:5" ht="37.950000000000003" customHeight="1">
      <c r="A19" s="25">
        <v>15</v>
      </c>
      <c r="B19" s="26" t="s">
        <v>255</v>
      </c>
      <c r="C19" s="26" t="s">
        <v>256</v>
      </c>
      <c r="D19" s="27">
        <f>MAX(m_12+m_13-m_14,0)</f>
        <v>0</v>
      </c>
      <c r="E19" s="26" t="s">
        <v>237</v>
      </c>
    </row>
    <row r="20" spans="1:5" ht="37.950000000000003" customHeight="1">
      <c r="A20" s="25">
        <v>16</v>
      </c>
      <c r="B20" s="26" t="s">
        <v>257</v>
      </c>
      <c r="C20" s="26" t="s">
        <v>258</v>
      </c>
      <c r="D20" s="27">
        <f>IF(inp_group="はい",f2_05,0)</f>
        <v>0</v>
      </c>
      <c r="E20" s="26" t="s">
        <v>237</v>
      </c>
    </row>
    <row r="21" spans="1:5" ht="37.950000000000003" customHeight="1">
      <c r="A21" s="25">
        <v>17</v>
      </c>
      <c r="B21" s="26" t="s">
        <v>259</v>
      </c>
      <c r="C21" s="26" t="s">
        <v>260</v>
      </c>
      <c r="D21" s="27">
        <f>IF(inp_group="はい",f2_10,0)</f>
        <v>0</v>
      </c>
      <c r="E21" s="26" t="s">
        <v>237</v>
      </c>
    </row>
    <row r="22" spans="1:5" ht="37.950000000000003" customHeight="1">
      <c r="A22" s="25">
        <v>18</v>
      </c>
      <c r="B22" s="26" t="s">
        <v>261</v>
      </c>
      <c r="C22" s="26" t="s">
        <v>262</v>
      </c>
      <c r="D22" s="27">
        <f>f1_19</f>
        <v>0</v>
      </c>
      <c r="E22" s="26" t="s">
        <v>237</v>
      </c>
    </row>
    <row r="23" spans="1:5" ht="37.950000000000003" customHeight="1">
      <c r="A23" s="25">
        <v>19</v>
      </c>
      <c r="B23" s="26" t="s">
        <v>263</v>
      </c>
      <c r="C23" s="26" t="s">
        <v>264</v>
      </c>
      <c r="D23" s="27">
        <f>m_09-inp_m9_inner+m_10-m_11-m_15+m_16-m_17-m_18</f>
        <v>0</v>
      </c>
      <c r="E23" s="26" t="s">
        <v>237</v>
      </c>
    </row>
    <row r="24" spans="1:5" ht="37.950000000000003" customHeight="1">
      <c r="A24" s="25">
        <v>20</v>
      </c>
      <c r="B24" s="26" t="s">
        <v>265</v>
      </c>
      <c r="C24" s="26" t="s">
        <v>266</v>
      </c>
      <c r="D24" s="27">
        <f>f1_34</f>
        <v>20000000</v>
      </c>
      <c r="E24" s="26" t="s">
        <v>237</v>
      </c>
    </row>
    <row r="25" spans="1:5" ht="37.950000000000003" customHeight="1">
      <c r="A25" s="25">
        <v>21</v>
      </c>
      <c r="B25" s="26" t="s">
        <v>267</v>
      </c>
      <c r="C25" s="26" t="s">
        <v>268</v>
      </c>
      <c r="D25" s="31">
        <f>ROUNDDOWN(MAX(m_19-m_20,0),-3)</f>
        <v>0</v>
      </c>
      <c r="E25" s="26" t="s">
        <v>269</v>
      </c>
    </row>
    <row r="26" spans="1:5" ht="37.950000000000003" customHeight="1">
      <c r="A26" s="25">
        <v>22</v>
      </c>
      <c r="B26" s="26" t="s">
        <v>270</v>
      </c>
      <c r="C26" s="26" t="s">
        <v>271</v>
      </c>
      <c r="D26" s="27">
        <f>inp_b1_2+(inp_b1_4-inp_m22_b1_4_adjust)+inp_b1_6+inp_b1_9out-inp_b1_11-inp_b1_17-inp_m22_credits</f>
        <v>0</v>
      </c>
      <c r="E26" s="26" t="s">
        <v>237</v>
      </c>
    </row>
    <row r="27" spans="1:5" ht="37.950000000000003" customHeight="1">
      <c r="A27" s="25">
        <v>23</v>
      </c>
      <c r="B27" s="26" t="s">
        <v>272</v>
      </c>
      <c r="C27" s="26" t="s">
        <v>271</v>
      </c>
      <c r="D27" s="27">
        <f>inp_b1_2+(inp_b1_4-inp_m23_b1_4_adjust)+inp_b1_6+inp_b1_9out-inp_b1_11-inp_b1_17-inp_m23_credits</f>
        <v>0</v>
      </c>
      <c r="E27" s="26" t="s">
        <v>237</v>
      </c>
    </row>
    <row r="28" spans="1:5" ht="37.950000000000003" customHeight="1">
      <c r="A28" s="25">
        <v>24</v>
      </c>
      <c r="B28" s="26" t="s">
        <v>252</v>
      </c>
      <c r="C28" s="26" t="s">
        <v>273</v>
      </c>
      <c r="D28" s="27">
        <f>ROUNDDOWN(MAX(0,IF(inp_class="該当",m_23,m_22))*cfg_resident_rate,0)</f>
        <v>0</v>
      </c>
      <c r="E28" s="26" t="s">
        <v>237</v>
      </c>
    </row>
    <row r="29" spans="1:5" ht="37.950000000000003" customHeight="1">
      <c r="A29" s="25">
        <v>25</v>
      </c>
      <c r="B29" s="26" t="s">
        <v>274</v>
      </c>
      <c r="C29" s="26" t="s">
        <v>275</v>
      </c>
      <c r="D29" s="27">
        <f>ROUNDDOWN(inp_specific_donation_total*cfg_donation_rate,0)</f>
        <v>0</v>
      </c>
      <c r="E29" s="26" t="s">
        <v>237</v>
      </c>
    </row>
    <row r="30" spans="1:5" ht="37.950000000000003" customHeight="1">
      <c r="A30" s="25">
        <v>26</v>
      </c>
      <c r="B30" s="26" t="s">
        <v>276</v>
      </c>
      <c r="C30" s="26" t="s">
        <v>277</v>
      </c>
      <c r="D30" s="27">
        <f>ROUNDDOWN(MAX(0,m_24+(inp_b1_11+inp_b1_17-inp_adjust_local_credit)*cfg_resident_rate)*20%,0)</f>
        <v>0</v>
      </c>
      <c r="E30" s="26" t="s">
        <v>237</v>
      </c>
    </row>
    <row r="31" spans="1:5" ht="37.950000000000003" customHeight="1">
      <c r="A31" s="25">
        <v>27</v>
      </c>
      <c r="B31" s="26" t="s">
        <v>278</v>
      </c>
      <c r="C31" s="26" t="s">
        <v>279</v>
      </c>
      <c r="D31" s="27">
        <f>MIN(m_25,m_26)</f>
        <v>0</v>
      </c>
      <c r="E31" s="26" t="s">
        <v>237</v>
      </c>
    </row>
    <row r="32" spans="1:5" ht="37.950000000000003" customHeight="1">
      <c r="A32" s="25">
        <v>28</v>
      </c>
      <c r="B32" s="26" t="s">
        <v>252</v>
      </c>
      <c r="C32" s="26" t="s">
        <v>280</v>
      </c>
      <c r="D32" s="27">
        <f>m_24-m_27</f>
        <v>0</v>
      </c>
      <c r="E32" s="26" t="s">
        <v>281</v>
      </c>
    </row>
  </sheetData>
  <sheetProtection sheet="1" objects="1" scenarios="1"/>
  <mergeCells count="2">
    <mergeCell ref="A1:E1"/>
    <mergeCell ref="A2:E2"/>
  </mergeCells>
  <phoneticPr fontId="2"/>
  <pageMargins left="0.7" right="0.7" top="0.75" bottom="0.75" header="0.3" footer="0.3"/>
  <pageSetup paperSize="9" fitToHeight="999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95004-F742-417B-83D8-EBB85E8BB720}">
  <sheetPr>
    <tabColor rgb="FF2F75B5"/>
    <pageSetUpPr fitToPage="1"/>
  </sheetPr>
  <dimension ref="A1:E38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7.69921875" customWidth="1"/>
    <col min="2" max="2" width="37.69921875" customWidth="1"/>
    <col min="3" max="3" width="49.69921875" customWidth="1"/>
    <col min="4" max="4" width="18.69921875" customWidth="1"/>
    <col min="5" max="5" width="28.69921875" customWidth="1"/>
  </cols>
  <sheetData>
    <row r="1" spans="1:5" ht="30" customHeight="1">
      <c r="A1" s="2" t="s">
        <v>282</v>
      </c>
      <c r="B1" s="3"/>
      <c r="C1" s="3"/>
      <c r="D1" s="3"/>
      <c r="E1" s="3"/>
    </row>
    <row r="2" spans="1:5">
      <c r="A2" s="4" t="s">
        <v>218</v>
      </c>
      <c r="B2" s="3"/>
      <c r="C2" s="3"/>
      <c r="D2" s="3"/>
      <c r="E2" s="3"/>
    </row>
    <row r="3" spans="1:5">
      <c r="A3" s="5"/>
      <c r="B3" s="5"/>
      <c r="C3" s="5"/>
      <c r="D3" s="5"/>
      <c r="E3" s="5"/>
    </row>
    <row r="4" spans="1:5">
      <c r="A4" s="24" t="s">
        <v>219</v>
      </c>
      <c r="B4" s="24" t="s">
        <v>220</v>
      </c>
      <c r="C4" s="24" t="s">
        <v>221</v>
      </c>
      <c r="D4" s="24" t="s">
        <v>222</v>
      </c>
      <c r="E4" s="24" t="s">
        <v>223</v>
      </c>
    </row>
    <row r="5" spans="1:5" ht="37.950000000000003" customHeight="1">
      <c r="A5" s="25">
        <v>1</v>
      </c>
      <c r="B5" s="26" t="s">
        <v>283</v>
      </c>
      <c r="C5" s="26" t="s">
        <v>284</v>
      </c>
      <c r="D5" s="27">
        <f>inp_f1_capital</f>
        <v>0</v>
      </c>
      <c r="E5" s="26" t="s">
        <v>237</v>
      </c>
    </row>
    <row r="6" spans="1:5" ht="37.950000000000003" customHeight="1">
      <c r="A6" s="25">
        <v>2</v>
      </c>
      <c r="B6" s="26" t="s">
        <v>285</v>
      </c>
      <c r="C6" s="26" t="s">
        <v>286</v>
      </c>
      <c r="D6" s="27">
        <f>ROUNDDOWN(f1_01*25%,0)</f>
        <v>0</v>
      </c>
      <c r="E6" s="26" t="s">
        <v>287</v>
      </c>
    </row>
    <row r="7" spans="1:5" ht="37.950000000000003" customHeight="1">
      <c r="A7" s="25">
        <v>3</v>
      </c>
      <c r="B7" s="26" t="s">
        <v>288</v>
      </c>
      <c r="C7" s="26" t="s">
        <v>289</v>
      </c>
      <c r="D7" s="27">
        <f>inp_f1_opening_profit-inp_prev_div</f>
        <v>0</v>
      </c>
      <c r="E7" s="26" t="s">
        <v>237</v>
      </c>
    </row>
    <row r="8" spans="1:5" ht="37.950000000000003" customHeight="1">
      <c r="A8" s="25">
        <v>4</v>
      </c>
      <c r="B8" s="26" t="s">
        <v>110</v>
      </c>
      <c r="C8" s="26" t="s">
        <v>284</v>
      </c>
      <c r="D8" s="27">
        <f>inp_f1_merger_inc</f>
        <v>0</v>
      </c>
      <c r="E8" s="26" t="s">
        <v>237</v>
      </c>
    </row>
    <row r="9" spans="1:5" ht="37.950000000000003" customHeight="1">
      <c r="A9" s="25">
        <v>5</v>
      </c>
      <c r="B9" s="26" t="s">
        <v>113</v>
      </c>
      <c r="C9" s="26" t="s">
        <v>284</v>
      </c>
      <c r="D9" s="27">
        <f>inp_f1_split_dec</f>
        <v>0</v>
      </c>
      <c r="E9" s="26" t="s">
        <v>237</v>
      </c>
    </row>
    <row r="10" spans="1:5" ht="37.950000000000003" customHeight="1">
      <c r="A10" s="25">
        <v>6</v>
      </c>
      <c r="B10" s="26" t="s">
        <v>290</v>
      </c>
      <c r="C10" s="26" t="s">
        <v>291</v>
      </c>
      <c r="D10" s="27">
        <f>f1_03+f1_04-f1_05</f>
        <v>0</v>
      </c>
      <c r="E10" s="26" t="s">
        <v>237</v>
      </c>
    </row>
    <row r="11" spans="1:5" ht="37.950000000000003" customHeight="1">
      <c r="A11" s="25">
        <v>7</v>
      </c>
      <c r="B11" s="26" t="s">
        <v>292</v>
      </c>
      <c r="C11" s="26" t="s">
        <v>293</v>
      </c>
      <c r="D11" s="27">
        <f>MAX(f1_02-f1_06,0)</f>
        <v>0</v>
      </c>
      <c r="E11" s="26" t="s">
        <v>294</v>
      </c>
    </row>
    <row r="12" spans="1:5" ht="37.950000000000003" customHeight="1">
      <c r="A12" s="25">
        <v>8</v>
      </c>
      <c r="B12" s="26" t="s">
        <v>295</v>
      </c>
      <c r="C12" s="26" t="s">
        <v>296</v>
      </c>
      <c r="D12" s="27">
        <f>IF(inp_months="",0,ROUNDDOWN(20000000*inp_months/12,0))</f>
        <v>20000000</v>
      </c>
      <c r="E12" s="26" t="s">
        <v>287</v>
      </c>
    </row>
    <row r="13" spans="1:5" ht="37.950000000000003" customHeight="1">
      <c r="A13" s="25">
        <v>9</v>
      </c>
      <c r="B13" s="26" t="s">
        <v>297</v>
      </c>
      <c r="C13" s="26" t="s">
        <v>115</v>
      </c>
      <c r="D13" s="27">
        <f>inp_f1_09</f>
        <v>0</v>
      </c>
      <c r="E13" s="26" t="s">
        <v>237</v>
      </c>
    </row>
    <row r="14" spans="1:5" ht="37.950000000000003" customHeight="1">
      <c r="A14" s="25">
        <v>10</v>
      </c>
      <c r="B14" s="26" t="s">
        <v>298</v>
      </c>
      <c r="C14" s="26" t="s">
        <v>119</v>
      </c>
      <c r="D14" s="27">
        <f>inp_f1_10</f>
        <v>0</v>
      </c>
      <c r="E14" s="26" t="s">
        <v>237</v>
      </c>
    </row>
    <row r="15" spans="1:5" ht="37.950000000000003" customHeight="1">
      <c r="A15" s="25">
        <v>11</v>
      </c>
      <c r="B15" s="26" t="s">
        <v>299</v>
      </c>
      <c r="C15" s="26" t="s">
        <v>123</v>
      </c>
      <c r="D15" s="27">
        <f>inp_f1_11</f>
        <v>0</v>
      </c>
      <c r="E15" s="26" t="s">
        <v>237</v>
      </c>
    </row>
    <row r="16" spans="1:5" ht="37.950000000000003" customHeight="1">
      <c r="A16" s="25">
        <v>12</v>
      </c>
      <c r="B16" s="26" t="s">
        <v>300</v>
      </c>
      <c r="C16" s="26" t="s">
        <v>126</v>
      </c>
      <c r="D16" s="27">
        <f>inp_f1_12</f>
        <v>0</v>
      </c>
      <c r="E16" s="26" t="s">
        <v>237</v>
      </c>
    </row>
    <row r="17" spans="1:5" ht="37.950000000000003" customHeight="1">
      <c r="A17" s="25">
        <v>13</v>
      </c>
      <c r="B17" s="26" t="s">
        <v>301</v>
      </c>
      <c r="C17" s="26" t="s">
        <v>129</v>
      </c>
      <c r="D17" s="27">
        <f>inp_f1_13</f>
        <v>0</v>
      </c>
      <c r="E17" s="26" t="s">
        <v>237</v>
      </c>
    </row>
    <row r="18" spans="1:5" ht="37.950000000000003" customHeight="1">
      <c r="A18" s="25">
        <v>14</v>
      </c>
      <c r="B18" s="26" t="s">
        <v>302</v>
      </c>
      <c r="C18" s="26" t="s">
        <v>132</v>
      </c>
      <c r="D18" s="27">
        <f>inp_f1_14</f>
        <v>0</v>
      </c>
      <c r="E18" s="26" t="s">
        <v>237</v>
      </c>
    </row>
    <row r="19" spans="1:5" ht="37.950000000000003" customHeight="1">
      <c r="A19" s="25">
        <v>15</v>
      </c>
      <c r="B19" s="26" t="s">
        <v>303</v>
      </c>
      <c r="C19" s="26" t="s">
        <v>135</v>
      </c>
      <c r="D19" s="27">
        <f>inp_f1_15</f>
        <v>0</v>
      </c>
      <c r="E19" s="26" t="s">
        <v>237</v>
      </c>
    </row>
    <row r="20" spans="1:5" ht="37.950000000000003" customHeight="1">
      <c r="A20" s="25">
        <v>16</v>
      </c>
      <c r="B20" s="26" t="s">
        <v>304</v>
      </c>
      <c r="C20" s="26" t="s">
        <v>138</v>
      </c>
      <c r="D20" s="27">
        <f>inp_f1_16</f>
        <v>0</v>
      </c>
      <c r="E20" s="26" t="s">
        <v>237</v>
      </c>
    </row>
    <row r="21" spans="1:5" ht="37.950000000000003" customHeight="1">
      <c r="A21" s="25">
        <v>17</v>
      </c>
      <c r="B21" s="26" t="s">
        <v>305</v>
      </c>
      <c r="C21" s="26" t="s">
        <v>306</v>
      </c>
      <c r="D21" s="27">
        <f>IF(inp_group="はい",f2_13,0)</f>
        <v>0</v>
      </c>
      <c r="E21" s="26" t="s">
        <v>237</v>
      </c>
    </row>
    <row r="22" spans="1:5" ht="37.950000000000003" customHeight="1">
      <c r="A22" s="25">
        <v>18</v>
      </c>
      <c r="B22" s="26" t="s">
        <v>307</v>
      </c>
      <c r="C22" s="26" t="s">
        <v>308</v>
      </c>
      <c r="D22" s="27">
        <f>IF(inp_group="はい",f2_17,0)</f>
        <v>0</v>
      </c>
      <c r="E22" s="26" t="s">
        <v>237</v>
      </c>
    </row>
    <row r="23" spans="1:5" ht="37.950000000000003" customHeight="1">
      <c r="A23" s="25">
        <v>19</v>
      </c>
      <c r="B23" s="26" t="s">
        <v>261</v>
      </c>
      <c r="C23" s="26" t="s">
        <v>141</v>
      </c>
      <c r="D23" s="27">
        <f>inp_f1_19</f>
        <v>0</v>
      </c>
      <c r="E23" s="26" t="s">
        <v>237</v>
      </c>
    </row>
    <row r="24" spans="1:5" ht="37.950000000000003" customHeight="1">
      <c r="A24" s="25">
        <v>20</v>
      </c>
      <c r="B24" s="26" t="s">
        <v>309</v>
      </c>
      <c r="C24" s="26" t="s">
        <v>144</v>
      </c>
      <c r="D24" s="27">
        <f>inp_f1_20</f>
        <v>0</v>
      </c>
      <c r="E24" s="26" t="s">
        <v>237</v>
      </c>
    </row>
    <row r="25" spans="1:5" ht="37.950000000000003" customHeight="1">
      <c r="A25" s="25">
        <v>21</v>
      </c>
      <c r="B25" s="26" t="s">
        <v>310</v>
      </c>
      <c r="C25" s="26" t="s">
        <v>147</v>
      </c>
      <c r="D25" s="27">
        <f>inp_f1_21</f>
        <v>0</v>
      </c>
      <c r="E25" s="26" t="s">
        <v>237</v>
      </c>
    </row>
    <row r="26" spans="1:5" ht="37.950000000000003" customHeight="1">
      <c r="A26" s="25">
        <v>22</v>
      </c>
      <c r="B26" s="26" t="s">
        <v>311</v>
      </c>
      <c r="C26" s="26" t="s">
        <v>150</v>
      </c>
      <c r="D26" s="27">
        <f>inp_f1_22</f>
        <v>0</v>
      </c>
      <c r="E26" s="26" t="s">
        <v>237</v>
      </c>
    </row>
    <row r="27" spans="1:5" ht="37.950000000000003" customHeight="1">
      <c r="A27" s="25">
        <v>23</v>
      </c>
      <c r="B27" s="26" t="s">
        <v>312</v>
      </c>
      <c r="C27" s="26" t="s">
        <v>153</v>
      </c>
      <c r="D27" s="27">
        <f>inp_f1_23</f>
        <v>0</v>
      </c>
      <c r="E27" s="26" t="s">
        <v>237</v>
      </c>
    </row>
    <row r="28" spans="1:5" ht="37.950000000000003" customHeight="1">
      <c r="A28" s="25">
        <v>24</v>
      </c>
      <c r="B28" s="26" t="s">
        <v>313</v>
      </c>
      <c r="C28" s="26" t="s">
        <v>156</v>
      </c>
      <c r="D28" s="27">
        <f>inp_f1_24</f>
        <v>0</v>
      </c>
      <c r="E28" s="26" t="s">
        <v>237</v>
      </c>
    </row>
    <row r="29" spans="1:5" ht="37.950000000000003" customHeight="1">
      <c r="A29" s="25">
        <v>25</v>
      </c>
      <c r="B29" s="26" t="s">
        <v>314</v>
      </c>
      <c r="C29" s="26" t="s">
        <v>159</v>
      </c>
      <c r="D29" s="27">
        <f>inp_f1_25</f>
        <v>0</v>
      </c>
      <c r="E29" s="26" t="s">
        <v>237</v>
      </c>
    </row>
    <row r="30" spans="1:5" ht="37.950000000000003" customHeight="1">
      <c r="A30" s="25">
        <v>26</v>
      </c>
      <c r="B30" s="26" t="s">
        <v>315</v>
      </c>
      <c r="C30" s="26" t="s">
        <v>162</v>
      </c>
      <c r="D30" s="27">
        <f>inp_f1_26</f>
        <v>0</v>
      </c>
      <c r="E30" s="26" t="s">
        <v>237</v>
      </c>
    </row>
    <row r="31" spans="1:5" ht="37.950000000000003" customHeight="1">
      <c r="A31" s="25">
        <v>27</v>
      </c>
      <c r="B31" s="26" t="s">
        <v>316</v>
      </c>
      <c r="C31" s="26" t="s">
        <v>165</v>
      </c>
      <c r="D31" s="27">
        <f>inp_f1_27</f>
        <v>0</v>
      </c>
      <c r="E31" s="26" t="s">
        <v>237</v>
      </c>
    </row>
    <row r="32" spans="1:5" ht="37.950000000000003" customHeight="1">
      <c r="A32" s="25">
        <v>28</v>
      </c>
      <c r="B32" s="26" t="s">
        <v>317</v>
      </c>
      <c r="C32" s="26" t="s">
        <v>168</v>
      </c>
      <c r="D32" s="27">
        <f>inp_f1_28</f>
        <v>0</v>
      </c>
      <c r="E32" s="26" t="s">
        <v>237</v>
      </c>
    </row>
    <row r="33" spans="1:5" ht="37.950000000000003" customHeight="1">
      <c r="A33" s="25">
        <v>29</v>
      </c>
      <c r="B33" s="26" t="s">
        <v>318</v>
      </c>
      <c r="C33" s="26" t="s">
        <v>171</v>
      </c>
      <c r="D33" s="27">
        <f>inp_f1_29</f>
        <v>0</v>
      </c>
      <c r="E33" s="26" t="s">
        <v>237</v>
      </c>
    </row>
    <row r="34" spans="1:5" ht="37.950000000000003" customHeight="1">
      <c r="A34" s="25">
        <v>30</v>
      </c>
      <c r="B34" s="26" t="s">
        <v>319</v>
      </c>
      <c r="C34" s="26" t="s">
        <v>174</v>
      </c>
      <c r="D34" s="27">
        <f>inp_f1_30</f>
        <v>0</v>
      </c>
      <c r="E34" s="26" t="s">
        <v>237</v>
      </c>
    </row>
    <row r="35" spans="1:5" ht="37.950000000000003" customHeight="1">
      <c r="A35" s="25">
        <v>31</v>
      </c>
      <c r="B35" s="26" t="s">
        <v>320</v>
      </c>
      <c r="C35" s="26" t="s">
        <v>177</v>
      </c>
      <c r="D35" s="27">
        <f>inp_f1_31</f>
        <v>0</v>
      </c>
      <c r="E35" s="26" t="s">
        <v>237</v>
      </c>
    </row>
    <row r="36" spans="1:5" ht="37.950000000000003" customHeight="1">
      <c r="A36" s="25">
        <v>32</v>
      </c>
      <c r="B36" s="26" t="s">
        <v>321</v>
      </c>
      <c r="C36" s="26" t="s">
        <v>322</v>
      </c>
      <c r="D36" s="27">
        <f>f1_09-f1_10+f1_11+f1_12+f1_13+f1_14+f1_15-f1_16+f1_17-f1_18-f1_19+f1_20+f1_21-f1_22+f1_23+f1_24-f1_25+f1_26+f1_27-f1_28+f1_29+f1_30-f1_31</f>
        <v>0</v>
      </c>
      <c r="E36" s="26" t="s">
        <v>237</v>
      </c>
    </row>
    <row r="37" spans="1:5" ht="37.950000000000003" customHeight="1">
      <c r="A37" s="25">
        <v>33</v>
      </c>
      <c r="B37" s="26" t="s">
        <v>323</v>
      </c>
      <c r="C37" s="26" t="s">
        <v>324</v>
      </c>
      <c r="D37" s="27">
        <f>ROUNDDOWN(f1_32*40%,0)</f>
        <v>0</v>
      </c>
      <c r="E37" s="26" t="s">
        <v>287</v>
      </c>
    </row>
    <row r="38" spans="1:5" ht="37.950000000000003" customHeight="1">
      <c r="A38" s="25">
        <v>34</v>
      </c>
      <c r="B38" s="26" t="s">
        <v>265</v>
      </c>
      <c r="C38" s="26" t="s">
        <v>325</v>
      </c>
      <c r="D38" s="31">
        <f>MAX(f1_07,f1_08,f1_33)</f>
        <v>20000000</v>
      </c>
      <c r="E38" s="26" t="s">
        <v>326</v>
      </c>
    </row>
  </sheetData>
  <sheetProtection sheet="1" objects="1" scenarios="1"/>
  <mergeCells count="2">
    <mergeCell ref="A1:E1"/>
    <mergeCell ref="A2:E2"/>
  </mergeCells>
  <phoneticPr fontId="2"/>
  <pageMargins left="0.7" right="0.7" top="0.75" bottom="0.75" header="0.3" footer="0.3"/>
  <pageSetup paperSize="9" fitToHeight="99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AF89C-3394-4176-9055-C9825C2A29CF}">
  <sheetPr>
    <tabColor rgb="FF2F75B5"/>
    <pageSetUpPr fitToPage="1"/>
  </sheetPr>
  <dimension ref="A1:E30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7.69921875" customWidth="1"/>
    <col min="2" max="2" width="37.69921875" customWidth="1"/>
    <col min="3" max="3" width="49.69921875" customWidth="1"/>
    <col min="4" max="4" width="18.69921875" customWidth="1"/>
    <col min="5" max="5" width="28.69921875" customWidth="1"/>
  </cols>
  <sheetData>
    <row r="1" spans="1:5" ht="30" customHeight="1">
      <c r="A1" s="2" t="s">
        <v>327</v>
      </c>
      <c r="B1" s="3"/>
      <c r="C1" s="3"/>
      <c r="D1" s="3"/>
      <c r="E1" s="3"/>
    </row>
    <row r="2" spans="1:5">
      <c r="A2" s="4" t="s">
        <v>218</v>
      </c>
      <c r="B2" s="3"/>
      <c r="C2" s="3"/>
      <c r="D2" s="3"/>
      <c r="E2" s="3"/>
    </row>
    <row r="3" spans="1:5">
      <c r="A3" s="5"/>
      <c r="B3" s="5"/>
      <c r="C3" s="5"/>
      <c r="D3" s="5"/>
      <c r="E3" s="5"/>
    </row>
    <row r="4" spans="1:5">
      <c r="A4" s="24" t="s">
        <v>219</v>
      </c>
      <c r="B4" s="24" t="s">
        <v>220</v>
      </c>
      <c r="C4" s="24" t="s">
        <v>221</v>
      </c>
      <c r="D4" s="24" t="s">
        <v>222</v>
      </c>
      <c r="E4" s="24" t="s">
        <v>223</v>
      </c>
    </row>
    <row r="5" spans="1:5" ht="37.950000000000003" customHeight="1">
      <c r="A5" s="25">
        <v>1</v>
      </c>
      <c r="B5" s="26" t="s">
        <v>328</v>
      </c>
      <c r="C5" s="26" t="s">
        <v>181</v>
      </c>
      <c r="D5" s="27">
        <f>IF(inp_group="はい",inp_f2_01,0)</f>
        <v>0</v>
      </c>
      <c r="E5" s="26" t="s">
        <v>237</v>
      </c>
    </row>
    <row r="6" spans="1:5" ht="37.950000000000003" customHeight="1">
      <c r="A6" s="25">
        <v>2</v>
      </c>
      <c r="B6" s="26" t="s">
        <v>329</v>
      </c>
      <c r="C6" s="26" t="s">
        <v>184</v>
      </c>
      <c r="D6" s="27">
        <f>IF(inp_group="はい",inp_f2_02,0)</f>
        <v>0</v>
      </c>
      <c r="E6" s="26" t="s">
        <v>237</v>
      </c>
    </row>
    <row r="7" spans="1:5" ht="37.950000000000003" customHeight="1">
      <c r="A7" s="25">
        <v>3</v>
      </c>
      <c r="B7" s="26" t="s">
        <v>330</v>
      </c>
      <c r="C7" s="26" t="s">
        <v>187</v>
      </c>
      <c r="D7" s="27">
        <f>IF(inp_group="はい",inp_f2_03,0)</f>
        <v>0</v>
      </c>
      <c r="E7" s="26" t="s">
        <v>237</v>
      </c>
    </row>
    <row r="8" spans="1:5" ht="37.950000000000003" customHeight="1">
      <c r="A8" s="25">
        <v>4</v>
      </c>
      <c r="B8" s="26" t="s">
        <v>331</v>
      </c>
      <c r="C8" s="26" t="s">
        <v>187</v>
      </c>
      <c r="D8" s="27">
        <f>IF(inp_group="はい",inp_f2_04,0)</f>
        <v>0</v>
      </c>
      <c r="E8" s="26" t="s">
        <v>237</v>
      </c>
    </row>
    <row r="9" spans="1:5" ht="37.950000000000003" customHeight="1">
      <c r="A9" s="25">
        <v>5</v>
      </c>
      <c r="B9" s="26" t="s">
        <v>257</v>
      </c>
      <c r="C9" s="26" t="s">
        <v>332</v>
      </c>
      <c r="D9" s="27">
        <f>SUM(f2_01:f2_04)</f>
        <v>0</v>
      </c>
      <c r="E9" s="26" t="s">
        <v>333</v>
      </c>
    </row>
    <row r="10" spans="1:5" ht="37.950000000000003" customHeight="1">
      <c r="A10" s="25">
        <v>6</v>
      </c>
      <c r="B10" s="26" t="s">
        <v>334</v>
      </c>
      <c r="C10" s="26" t="s">
        <v>192</v>
      </c>
      <c r="D10" s="27">
        <f>IF(inp_group="はい",inp_f2_06,0)</f>
        <v>0</v>
      </c>
      <c r="E10" s="26" t="s">
        <v>237</v>
      </c>
    </row>
    <row r="11" spans="1:5" ht="37.950000000000003" customHeight="1">
      <c r="A11" s="25">
        <v>7</v>
      </c>
      <c r="B11" s="26" t="s">
        <v>335</v>
      </c>
      <c r="C11" s="26" t="s">
        <v>195</v>
      </c>
      <c r="D11" s="27">
        <f>IF(inp_group="はい",inp_f2_07,0)</f>
        <v>0</v>
      </c>
      <c r="E11" s="26" t="s">
        <v>237</v>
      </c>
    </row>
    <row r="12" spans="1:5" ht="37.950000000000003" customHeight="1">
      <c r="A12" s="25">
        <v>8</v>
      </c>
      <c r="B12" s="26" t="s">
        <v>336</v>
      </c>
      <c r="C12" s="26" t="s">
        <v>198</v>
      </c>
      <c r="D12" s="27">
        <f>IF(inp_group="はい",inp_f2_08,0)</f>
        <v>0</v>
      </c>
      <c r="E12" s="26" t="s">
        <v>237</v>
      </c>
    </row>
    <row r="13" spans="1:5" ht="37.950000000000003" customHeight="1">
      <c r="A13" s="25">
        <v>9</v>
      </c>
      <c r="B13" s="26" t="s">
        <v>337</v>
      </c>
      <c r="C13" s="26" t="s">
        <v>338</v>
      </c>
      <c r="D13" s="27">
        <f>IF(inp_group="はい",f2_26,0)</f>
        <v>0</v>
      </c>
      <c r="E13" s="26" t="s">
        <v>237</v>
      </c>
    </row>
    <row r="14" spans="1:5" ht="37.950000000000003" customHeight="1">
      <c r="A14" s="25">
        <v>10</v>
      </c>
      <c r="B14" s="26" t="s">
        <v>259</v>
      </c>
      <c r="C14" s="26" t="s">
        <v>339</v>
      </c>
      <c r="D14" s="27">
        <f>SUM(f2_06:f2_09)</f>
        <v>0</v>
      </c>
      <c r="E14" s="26" t="s">
        <v>340</v>
      </c>
    </row>
    <row r="15" spans="1:5" ht="37.950000000000003" customHeight="1">
      <c r="A15" s="25">
        <v>11</v>
      </c>
      <c r="B15" s="26" t="s">
        <v>335</v>
      </c>
      <c r="C15" s="26" t="s">
        <v>195</v>
      </c>
      <c r="D15" s="27">
        <f>IF(inp_group="はい",inp_f2_07,0)</f>
        <v>0</v>
      </c>
      <c r="E15" s="26" t="s">
        <v>341</v>
      </c>
    </row>
    <row r="16" spans="1:5" ht="37.950000000000003" customHeight="1">
      <c r="A16" s="25">
        <v>12</v>
      </c>
      <c r="B16" s="26" t="s">
        <v>342</v>
      </c>
      <c r="C16" s="26" t="s">
        <v>201</v>
      </c>
      <c r="D16" s="27">
        <f>IF(inp_group="はい",inp_f2_12,0)</f>
        <v>0</v>
      </c>
      <c r="E16" s="26" t="s">
        <v>237</v>
      </c>
    </row>
    <row r="17" spans="1:5" ht="37.950000000000003" customHeight="1">
      <c r="A17" s="25">
        <v>13</v>
      </c>
      <c r="B17" s="26" t="s">
        <v>305</v>
      </c>
      <c r="C17" s="26" t="s">
        <v>343</v>
      </c>
      <c r="D17" s="27">
        <f>SUM(f2_11:f2_12)</f>
        <v>0</v>
      </c>
      <c r="E17" s="26" t="s">
        <v>344</v>
      </c>
    </row>
    <row r="18" spans="1:5" ht="37.950000000000003" customHeight="1">
      <c r="A18" s="25">
        <v>14</v>
      </c>
      <c r="B18" s="26" t="s">
        <v>329</v>
      </c>
      <c r="C18" s="26" t="s">
        <v>184</v>
      </c>
      <c r="D18" s="27">
        <f>IF(inp_group="はい",inp_f2_02,0)</f>
        <v>0</v>
      </c>
      <c r="E18" s="26" t="s">
        <v>345</v>
      </c>
    </row>
    <row r="19" spans="1:5" ht="37.950000000000003" customHeight="1">
      <c r="A19" s="25">
        <v>15</v>
      </c>
      <c r="B19" s="26" t="s">
        <v>346</v>
      </c>
      <c r="C19" s="26" t="s">
        <v>204</v>
      </c>
      <c r="D19" s="27">
        <f>IF(inp_group="はい",inp_f2_15,0)</f>
        <v>0</v>
      </c>
      <c r="E19" s="26" t="s">
        <v>237</v>
      </c>
    </row>
    <row r="20" spans="1:5" ht="37.950000000000003" customHeight="1">
      <c r="A20" s="25">
        <v>16</v>
      </c>
      <c r="B20" s="26" t="s">
        <v>347</v>
      </c>
      <c r="C20" s="26" t="s">
        <v>207</v>
      </c>
      <c r="D20" s="27">
        <f>IF(inp_group="はい",inp_f2_16,0)</f>
        <v>0</v>
      </c>
      <c r="E20" s="26" t="s">
        <v>237</v>
      </c>
    </row>
    <row r="21" spans="1:5" ht="37.950000000000003" customHeight="1">
      <c r="A21" s="25">
        <v>17</v>
      </c>
      <c r="B21" s="26" t="s">
        <v>307</v>
      </c>
      <c r="C21" s="26" t="s">
        <v>348</v>
      </c>
      <c r="D21" s="27">
        <f>SUM(f2_14:f2_16)</f>
        <v>0</v>
      </c>
      <c r="E21" s="26" t="s">
        <v>344</v>
      </c>
    </row>
    <row r="22" spans="1:5" ht="37.950000000000003" customHeight="1">
      <c r="A22" s="25">
        <v>18</v>
      </c>
      <c r="B22" s="26" t="s">
        <v>349</v>
      </c>
      <c r="C22" s="26" t="s">
        <v>350</v>
      </c>
      <c r="D22" s="27">
        <f>f2_08</f>
        <v>0</v>
      </c>
      <c r="E22" s="26" t="s">
        <v>237</v>
      </c>
    </row>
    <row r="23" spans="1:5" ht="37.950000000000003" customHeight="1">
      <c r="A23" s="25">
        <v>19</v>
      </c>
      <c r="B23" s="26" t="s">
        <v>351</v>
      </c>
      <c r="C23" s="26" t="s">
        <v>352</v>
      </c>
      <c r="D23" s="27">
        <f>MAX(f2_18-f2_04,0)</f>
        <v>0</v>
      </c>
      <c r="E23" s="26" t="s">
        <v>237</v>
      </c>
    </row>
    <row r="24" spans="1:5" ht="37.950000000000003" customHeight="1">
      <c r="A24" s="25">
        <v>20</v>
      </c>
      <c r="B24" s="26" t="s">
        <v>353</v>
      </c>
      <c r="C24" s="26" t="s">
        <v>354</v>
      </c>
      <c r="D24" s="27">
        <f>MIN(f2_03,f2_19)</f>
        <v>0</v>
      </c>
      <c r="E24" s="26" t="s">
        <v>237</v>
      </c>
    </row>
    <row r="25" spans="1:5" ht="37.950000000000003" customHeight="1">
      <c r="A25" s="25">
        <v>21</v>
      </c>
      <c r="B25" s="26" t="s">
        <v>355</v>
      </c>
      <c r="C25" s="26" t="s">
        <v>210</v>
      </c>
      <c r="D25" s="27">
        <f>IF(inp_group="はい",inp_f2_21,0)-f2_20</f>
        <v>0</v>
      </c>
      <c r="E25" s="26" t="s">
        <v>212</v>
      </c>
    </row>
    <row r="26" spans="1:5" ht="37.950000000000003" customHeight="1">
      <c r="A26" s="25">
        <v>22</v>
      </c>
      <c r="B26" s="26" t="s">
        <v>356</v>
      </c>
      <c r="C26" s="26" t="s">
        <v>357</v>
      </c>
      <c r="D26" s="27">
        <f>MAX(f2_04-f2_18,0)</f>
        <v>0</v>
      </c>
      <c r="E26" s="26" t="s">
        <v>237</v>
      </c>
    </row>
    <row r="27" spans="1:5" ht="37.950000000000003" customHeight="1">
      <c r="A27" s="25">
        <v>23</v>
      </c>
      <c r="B27" s="26" t="s">
        <v>358</v>
      </c>
      <c r="C27" s="26" t="s">
        <v>214</v>
      </c>
      <c r="D27" s="27">
        <f>IF(inp_group="はい",inp_f2_23,0)-f2_22</f>
        <v>0</v>
      </c>
      <c r="E27" s="26" t="s">
        <v>216</v>
      </c>
    </row>
    <row r="28" spans="1:5" ht="37.950000000000003" customHeight="1">
      <c r="A28" s="25">
        <v>24</v>
      </c>
      <c r="B28" s="26" t="s">
        <v>359</v>
      </c>
      <c r="C28" s="26" t="s">
        <v>360</v>
      </c>
      <c r="D28" s="30">
        <f>IF(f2_22+f2_23=0,0,f2_22/(f2_22+f2_23))</f>
        <v>0</v>
      </c>
      <c r="E28" s="26" t="s">
        <v>361</v>
      </c>
    </row>
    <row r="29" spans="1:5" ht="37.950000000000003" customHeight="1">
      <c r="A29" s="25">
        <v>25</v>
      </c>
      <c r="B29" s="26" t="s">
        <v>362</v>
      </c>
      <c r="C29" s="26" t="s">
        <v>363</v>
      </c>
      <c r="D29" s="27">
        <f>MAX(f2_03-f2_19,0)</f>
        <v>0</v>
      </c>
      <c r="E29" s="26" t="s">
        <v>237</v>
      </c>
    </row>
    <row r="30" spans="1:5" ht="37.950000000000003" customHeight="1">
      <c r="A30" s="25">
        <v>26</v>
      </c>
      <c r="B30" s="26" t="s">
        <v>337</v>
      </c>
      <c r="C30" s="26" t="s">
        <v>364</v>
      </c>
      <c r="D30" s="27">
        <f>IF(f2_22+f2_23=0,f2_25,QUOTIENT((f2_20+f2_21)*f2_22,f2_22+f2_23)+f2_25)</f>
        <v>0</v>
      </c>
      <c r="E30" s="26" t="s">
        <v>365</v>
      </c>
    </row>
  </sheetData>
  <sheetProtection sheet="1" objects="1" scenarios="1"/>
  <mergeCells count="2">
    <mergeCell ref="A1:E1"/>
    <mergeCell ref="A2:E2"/>
  </mergeCells>
  <phoneticPr fontId="2"/>
  <pageMargins left="0.7" right="0.7" top="0.75" bottom="0.75" header="0.3" footer="0.3"/>
  <pageSetup paperSize="9" fitToHeight="99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6AB63-B28C-4AC9-B226-FC237A816A8D}">
  <sheetPr>
    <tabColor rgb="FF548235"/>
    <pageSetUpPr fitToPage="1"/>
  </sheetPr>
  <dimension ref="A1:A3"/>
  <sheetViews>
    <sheetView showGridLines="0" zoomScale="90" zoomScaleNormal="90" workbookViewId="0"/>
  </sheetViews>
  <sheetFormatPr defaultRowHeight="18"/>
  <cols>
    <col min="1" max="12" width="8.69921875" customWidth="1"/>
  </cols>
  <sheetData>
    <row r="1" ht="295.35000000000002" customHeight="1"/>
    <row r="2" ht="295.35000000000002" customHeight="1"/>
    <row r="3" ht="295.5" customHeight="1"/>
  </sheetData>
  <sheetProtection sheet="1" objects="1" scenarios="1"/>
  <phoneticPr fontId="2"/>
  <printOptions horizontalCentered="1" verticalCentered="1"/>
  <pageMargins left="0" right="0" top="0" bottom="0" header="0" footer="0"/>
  <pageSetup paperSize="9" scale="92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F66E4-273B-4A30-9311-EF483724D4E3}">
  <sheetPr>
    <tabColor rgb="FF548235"/>
    <pageSetUpPr fitToPage="1"/>
  </sheetPr>
  <dimension ref="A1:A3"/>
  <sheetViews>
    <sheetView showGridLines="0" zoomScale="90" zoomScaleNormal="90" workbookViewId="0"/>
  </sheetViews>
  <sheetFormatPr defaultRowHeight="18"/>
  <cols>
    <col min="1" max="12" width="8.69921875" customWidth="1"/>
  </cols>
  <sheetData>
    <row r="1" ht="295.35000000000002" customHeight="1"/>
    <row r="2" ht="295.35000000000002" customHeight="1"/>
    <row r="3" ht="295.5" customHeight="1"/>
  </sheetData>
  <sheetProtection sheet="1" objects="1" scenarios="1"/>
  <phoneticPr fontId="2"/>
  <printOptions horizontalCentered="1" verticalCentered="1"/>
  <pageMargins left="0" right="0" top="0" bottom="0" header="0" footer="0"/>
  <pageSetup paperSize="9" scale="92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B85E2-2F57-4141-92C2-060D625ED820}">
  <sheetPr>
    <tabColor rgb="FF548235"/>
    <pageSetUpPr fitToPage="1"/>
  </sheetPr>
  <dimension ref="A1:A3"/>
  <sheetViews>
    <sheetView showGridLines="0" zoomScale="90" zoomScaleNormal="90" workbookViewId="0"/>
  </sheetViews>
  <sheetFormatPr defaultRowHeight="18"/>
  <cols>
    <col min="1" max="12" width="8.69921875" customWidth="1"/>
  </cols>
  <sheetData>
    <row r="1" ht="295.35000000000002" customHeight="1"/>
    <row r="2" ht="295.35000000000002" customHeight="1"/>
    <row r="3" ht="295.5" customHeight="1"/>
  </sheetData>
  <sheetProtection sheet="1" objects="1" scenarios="1"/>
  <phoneticPr fontId="2"/>
  <printOptions horizontalCentered="1" verticalCentered="1"/>
  <pageMargins left="0" right="0" top="0" bottom="0" header="0" footer="0"/>
  <pageSetup paperSize="9" scale="92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0C241-0306-4913-8DE3-F81795A704CB}">
  <sheetPr>
    <tabColor rgb="FFC00000"/>
    <pageSetUpPr fitToPage="1"/>
  </sheetPr>
  <dimension ref="A1:D26"/>
  <sheetViews>
    <sheetView showGridLines="0" zoomScale="90" zoomScaleNormal="90" workbookViewId="0">
      <pane ySplit="3" topLeftCell="A4" activePane="bottomLeft" state="frozenSplit"/>
      <selection pane="bottomLeft" sqref="A1:D1"/>
    </sheetView>
  </sheetViews>
  <sheetFormatPr defaultRowHeight="18"/>
  <cols>
    <col min="1" max="1" width="36.69921875" customWidth="1"/>
    <col min="2" max="3" width="32.69921875" customWidth="1"/>
    <col min="4" max="4" width="12.69921875" customWidth="1"/>
  </cols>
  <sheetData>
    <row r="1" spans="1:4">
      <c r="A1" s="45" t="s">
        <v>444</v>
      </c>
      <c r="B1" s="32"/>
      <c r="C1" s="32"/>
      <c r="D1" s="32"/>
    </row>
    <row r="2" spans="1:4">
      <c r="A2" s="46"/>
      <c r="B2" s="46"/>
      <c r="C2" s="46"/>
      <c r="D2" s="46"/>
    </row>
    <row r="3" spans="1:4">
      <c r="A3" s="47" t="s">
        <v>445</v>
      </c>
      <c r="B3" s="47" t="s">
        <v>446</v>
      </c>
      <c r="C3" s="47" t="s">
        <v>447</v>
      </c>
      <c r="D3" s="47" t="s">
        <v>448</v>
      </c>
    </row>
    <row r="4" spans="1:4">
      <c r="A4" s="14" t="s">
        <v>449</v>
      </c>
      <c r="B4" s="14" t="s">
        <v>450</v>
      </c>
      <c r="C4" s="14" t="s">
        <v>451</v>
      </c>
      <c r="D4" s="48" t="s">
        <v>452</v>
      </c>
    </row>
    <row r="5" spans="1:4">
      <c r="A5" s="14" t="s">
        <v>453</v>
      </c>
      <c r="B5" s="14" t="s">
        <v>454</v>
      </c>
      <c r="C5" s="14" t="s">
        <v>454</v>
      </c>
      <c r="D5" s="48" t="s">
        <v>452</v>
      </c>
    </row>
    <row r="6" spans="1:4">
      <c r="A6" s="14" t="s">
        <v>455</v>
      </c>
      <c r="B6" s="14" t="s">
        <v>456</v>
      </c>
      <c r="C6" s="14" t="s">
        <v>456</v>
      </c>
      <c r="D6" s="48" t="s">
        <v>452</v>
      </c>
    </row>
    <row r="7" spans="1:4">
      <c r="A7" s="14" t="s">
        <v>457</v>
      </c>
      <c r="B7" s="14" t="s">
        <v>458</v>
      </c>
      <c r="C7" s="14" t="s">
        <v>458</v>
      </c>
      <c r="D7" s="48" t="s">
        <v>452</v>
      </c>
    </row>
    <row r="8" spans="1:4">
      <c r="A8" s="14" t="s">
        <v>459</v>
      </c>
      <c r="B8" s="14" t="s">
        <v>458</v>
      </c>
      <c r="C8" s="14" t="s">
        <v>458</v>
      </c>
      <c r="D8" s="48" t="s">
        <v>452</v>
      </c>
    </row>
    <row r="9" spans="1:4">
      <c r="A9" s="14" t="s">
        <v>460</v>
      </c>
      <c r="B9" s="14" t="s">
        <v>458</v>
      </c>
      <c r="C9" s="14" t="s">
        <v>458</v>
      </c>
      <c r="D9" s="48" t="s">
        <v>452</v>
      </c>
    </row>
    <row r="10" spans="1:4">
      <c r="A10" s="14" t="s">
        <v>461</v>
      </c>
      <c r="B10" s="14" t="s">
        <v>462</v>
      </c>
      <c r="C10" s="14" t="s">
        <v>462</v>
      </c>
      <c r="D10" s="48" t="s">
        <v>452</v>
      </c>
    </row>
    <row r="11" spans="1:4" ht="36">
      <c r="A11" s="14" t="s">
        <v>463</v>
      </c>
      <c r="B11" s="14" t="s">
        <v>464</v>
      </c>
      <c r="C11" s="14" t="s">
        <v>465</v>
      </c>
      <c r="D11" s="48" t="s">
        <v>452</v>
      </c>
    </row>
    <row r="12" spans="1:4">
      <c r="A12" s="14" t="s">
        <v>466</v>
      </c>
      <c r="B12" s="14" t="s">
        <v>467</v>
      </c>
      <c r="C12" s="14" t="s">
        <v>468</v>
      </c>
      <c r="D12" s="48" t="s">
        <v>452</v>
      </c>
    </row>
    <row r="13" spans="1:4">
      <c r="A13" s="14" t="s">
        <v>469</v>
      </c>
      <c r="B13" s="14" t="s">
        <v>470</v>
      </c>
      <c r="C13" s="14" t="s">
        <v>471</v>
      </c>
      <c r="D13" s="48" t="s">
        <v>452</v>
      </c>
    </row>
    <row r="14" spans="1:4">
      <c r="A14" s="14" t="s">
        <v>472</v>
      </c>
      <c r="B14" s="14" t="s">
        <v>473</v>
      </c>
      <c r="C14" s="14" t="s">
        <v>474</v>
      </c>
      <c r="D14" s="48" t="s">
        <v>452</v>
      </c>
    </row>
    <row r="15" spans="1:4">
      <c r="A15" s="14" t="s">
        <v>475</v>
      </c>
      <c r="B15" s="14" t="s">
        <v>476</v>
      </c>
      <c r="C15" s="14" t="s">
        <v>476</v>
      </c>
      <c r="D15" s="48" t="s">
        <v>452</v>
      </c>
    </row>
    <row r="16" spans="1:4">
      <c r="A16" s="14"/>
      <c r="B16" s="14"/>
      <c r="C16" s="14"/>
      <c r="D16" s="14"/>
    </row>
    <row r="17" spans="1:4" ht="22.95" customHeight="1">
      <c r="A17" s="49" t="s">
        <v>477</v>
      </c>
      <c r="B17" s="49"/>
      <c r="C17" s="49"/>
      <c r="D17" s="49"/>
    </row>
    <row r="18" spans="1:4">
      <c r="A18" s="14" t="s">
        <v>478</v>
      </c>
      <c r="B18" s="14">
        <v>0</v>
      </c>
      <c r="C18" s="14">
        <v>0</v>
      </c>
      <c r="D18" s="50" t="s">
        <v>452</v>
      </c>
    </row>
    <row r="19" spans="1:4">
      <c r="A19" s="14" t="s">
        <v>479</v>
      </c>
      <c r="B19" s="14">
        <v>28</v>
      </c>
      <c r="C19" s="14">
        <v>28</v>
      </c>
      <c r="D19" s="50" t="s">
        <v>452</v>
      </c>
    </row>
    <row r="20" spans="1:4">
      <c r="A20" s="14" t="s">
        <v>480</v>
      </c>
      <c r="B20" s="14">
        <v>34</v>
      </c>
      <c r="C20" s="14">
        <v>34</v>
      </c>
      <c r="D20" s="50" t="s">
        <v>452</v>
      </c>
    </row>
    <row r="21" spans="1:4">
      <c r="A21" s="14" t="s">
        <v>481</v>
      </c>
      <c r="B21" s="14">
        <v>26</v>
      </c>
      <c r="C21" s="14">
        <v>26</v>
      </c>
      <c r="D21" s="50" t="s">
        <v>452</v>
      </c>
    </row>
    <row r="22" spans="1:4">
      <c r="A22" s="14" t="s">
        <v>482</v>
      </c>
      <c r="B22" s="14" t="b">
        <v>1</v>
      </c>
      <c r="C22" s="14" t="b">
        <v>1</v>
      </c>
      <c r="D22" s="50" t="s">
        <v>452</v>
      </c>
    </row>
    <row r="23" spans="1:4">
      <c r="A23" s="14" t="s">
        <v>374</v>
      </c>
      <c r="B23" s="14" t="b">
        <v>1</v>
      </c>
      <c r="C23" s="14" t="b">
        <v>1</v>
      </c>
      <c r="D23" s="50" t="s">
        <v>452</v>
      </c>
    </row>
    <row r="24" spans="1:4">
      <c r="A24" s="14"/>
      <c r="B24" s="14"/>
      <c r="C24" s="14"/>
      <c r="D24" s="14"/>
    </row>
    <row r="25" spans="1:4" ht="22.95" customHeight="1">
      <c r="A25" s="49" t="s">
        <v>483</v>
      </c>
      <c r="B25" s="49"/>
      <c r="C25" s="49"/>
      <c r="D25" s="49"/>
    </row>
    <row r="26" spans="1:4">
      <c r="A26" s="14" t="s">
        <v>484</v>
      </c>
      <c r="B26" s="14" t="s">
        <v>485</v>
      </c>
      <c r="C26" s="14" t="b">
        <f>cfg_f2_input_valid</f>
        <v>1</v>
      </c>
      <c r="D26" s="51" t="str">
        <f>IF(C26,"PASS","FAIL")</f>
        <v>PASS</v>
      </c>
    </row>
  </sheetData>
  <sheetProtection sheet="1" objects="1" scenarios="1"/>
  <mergeCells count="3">
    <mergeCell ref="A1:D1"/>
    <mergeCell ref="A17:D17"/>
    <mergeCell ref="A25:D25"/>
  </mergeCells>
  <phoneticPr fontId="2"/>
  <pageMargins left="0.7" right="0.7" top="0.75" bottom="0.75" header="0.3" footer="0.3"/>
  <pageSetup paperSize="9" fitToHeight="99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383BB-1FCF-4C55-875E-14D2F913CA18}">
  <sheetPr>
    <tabColor rgb="FFD9E1F2"/>
    <pageSetUpPr fitToPage="1"/>
  </sheetPr>
  <dimension ref="A1:E15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14.69921875" customWidth="1"/>
    <col min="2" max="2" width="38.69921875" customWidth="1"/>
    <col min="3" max="3" width="62.69921875" customWidth="1"/>
    <col min="4" max="4" width="68.69921875" customWidth="1"/>
    <col min="5" max="5" width="38.69921875" customWidth="1"/>
  </cols>
  <sheetData>
    <row r="1" spans="1:5" ht="26.4">
      <c r="A1" s="2" t="s">
        <v>400</v>
      </c>
      <c r="B1" s="3"/>
      <c r="C1" s="3"/>
      <c r="D1" s="3"/>
      <c r="E1" s="3"/>
    </row>
    <row r="2" spans="1:5">
      <c r="A2" s="5"/>
      <c r="B2" s="5"/>
      <c r="C2" s="5"/>
      <c r="D2" s="5"/>
      <c r="E2" s="5"/>
    </row>
    <row r="3" spans="1:5">
      <c r="A3" s="13" t="s">
        <v>401</v>
      </c>
      <c r="B3" s="13" t="s">
        <v>402</v>
      </c>
      <c r="C3" s="13" t="s">
        <v>403</v>
      </c>
      <c r="D3" s="13" t="s">
        <v>404</v>
      </c>
      <c r="E3" s="13" t="s">
        <v>405</v>
      </c>
    </row>
    <row r="4" spans="1:5" ht="42" customHeight="1">
      <c r="A4" s="9" t="s">
        <v>406</v>
      </c>
      <c r="B4" s="14" t="s">
        <v>407</v>
      </c>
      <c r="C4" s="44" t="s">
        <v>408</v>
      </c>
      <c r="D4" s="14"/>
      <c r="E4" s="14" t="s">
        <v>409</v>
      </c>
    </row>
    <row r="5" spans="1:5" ht="42" customHeight="1">
      <c r="A5" s="9" t="s">
        <v>406</v>
      </c>
      <c r="B5" s="14" t="s">
        <v>410</v>
      </c>
      <c r="C5" s="44" t="s">
        <v>411</v>
      </c>
      <c r="D5" s="14" t="s">
        <v>412</v>
      </c>
      <c r="E5" s="14" t="s">
        <v>413</v>
      </c>
    </row>
    <row r="6" spans="1:5" ht="42" customHeight="1">
      <c r="A6" s="9" t="s">
        <v>406</v>
      </c>
      <c r="B6" s="14" t="s">
        <v>414</v>
      </c>
      <c r="C6" s="44" t="s">
        <v>415</v>
      </c>
      <c r="D6" s="14" t="s">
        <v>416</v>
      </c>
      <c r="E6" s="14" t="s">
        <v>413</v>
      </c>
    </row>
    <row r="7" spans="1:5" ht="42" customHeight="1">
      <c r="A7" s="9" t="s">
        <v>406</v>
      </c>
      <c r="B7" s="14" t="s">
        <v>417</v>
      </c>
      <c r="C7" s="44" t="s">
        <v>418</v>
      </c>
      <c r="D7" s="14" t="s">
        <v>419</v>
      </c>
      <c r="E7" s="14" t="s">
        <v>413</v>
      </c>
    </row>
    <row r="8" spans="1:5" ht="42" customHeight="1">
      <c r="A8" s="9" t="s">
        <v>406</v>
      </c>
      <c r="B8" s="14" t="s">
        <v>420</v>
      </c>
      <c r="C8" s="44" t="s">
        <v>421</v>
      </c>
      <c r="D8" s="14" t="s">
        <v>422</v>
      </c>
      <c r="E8" s="14" t="s">
        <v>413</v>
      </c>
    </row>
    <row r="9" spans="1:5" ht="42" customHeight="1">
      <c r="A9" s="9" t="s">
        <v>406</v>
      </c>
      <c r="B9" s="14" t="s">
        <v>423</v>
      </c>
      <c r="C9" s="44" t="s">
        <v>424</v>
      </c>
      <c r="D9" s="14" t="s">
        <v>425</v>
      </c>
      <c r="E9" s="14" t="s">
        <v>413</v>
      </c>
    </row>
    <row r="10" spans="1:5" ht="42" customHeight="1">
      <c r="A10" s="9" t="s">
        <v>406</v>
      </c>
      <c r="B10" s="14" t="s">
        <v>426</v>
      </c>
      <c r="C10" s="44" t="s">
        <v>427</v>
      </c>
      <c r="D10" s="14" t="s">
        <v>428</v>
      </c>
      <c r="E10" s="14" t="s">
        <v>413</v>
      </c>
    </row>
    <row r="11" spans="1:5" ht="42" customHeight="1">
      <c r="A11" s="9" t="s">
        <v>406</v>
      </c>
      <c r="B11" s="14" t="s">
        <v>429</v>
      </c>
      <c r="C11" s="44" t="s">
        <v>430</v>
      </c>
      <c r="D11" s="14"/>
      <c r="E11" s="14" t="s">
        <v>431</v>
      </c>
    </row>
    <row r="12" spans="1:5" ht="42" customHeight="1">
      <c r="A12" s="9" t="s">
        <v>432</v>
      </c>
      <c r="B12" s="14" t="s">
        <v>433</v>
      </c>
      <c r="C12" s="44" t="s">
        <v>434</v>
      </c>
      <c r="D12" s="14"/>
      <c r="E12" s="14" t="s">
        <v>435</v>
      </c>
    </row>
    <row r="13" spans="1:5" ht="42" customHeight="1">
      <c r="A13" s="9" t="s">
        <v>432</v>
      </c>
      <c r="B13" s="14" t="s">
        <v>436</v>
      </c>
      <c r="C13" s="44" t="s">
        <v>437</v>
      </c>
      <c r="D13" s="14"/>
      <c r="E13" s="14" t="s">
        <v>438</v>
      </c>
    </row>
    <row r="14" spans="1:5">
      <c r="A14" s="9"/>
      <c r="B14" s="9"/>
      <c r="C14" s="9"/>
      <c r="D14" s="9"/>
      <c r="E14" s="9"/>
    </row>
    <row r="15" spans="1:5">
      <c r="A15" s="9" t="s">
        <v>439</v>
      </c>
      <c r="B15" s="8" t="s">
        <v>440</v>
      </c>
      <c r="C15" s="8"/>
      <c r="D15" s="8"/>
      <c r="E15" s="8"/>
    </row>
  </sheetData>
  <sheetProtection sheet="1" objects="1" scenarios="1"/>
  <mergeCells count="2">
    <mergeCell ref="A1:E1"/>
    <mergeCell ref="B15:E15"/>
  </mergeCells>
  <phoneticPr fontId="2"/>
  <hyperlinks>
    <hyperlink ref="C4" r:id="rId1" tooltip="https://www.nta.go.jp/taxes/tetsuzuki/shinsei/annai/hojin/shinkoku/itiran2025/01.htm" xr:uid="{32E601A4-7A41-49B5-84A2-92600596E00D}"/>
    <hyperlink ref="C5" r:id="rId2" tooltip="https://www.nta.go.jp/taxes/tetsuzuki/shinsei/annai/hojin/shinkoku/itiran2025/pdf/03%2801%29.pdf" xr:uid="{37A34D61-3CC2-42BC-9144-D0D287370E6B}"/>
    <hyperlink ref="C6" r:id="rId3" tooltip="https://www.nta.go.jp/taxes/tetsuzuki/shinsei/annai/hojin/shinkoku/itiran2025/pdf/03%2801%29-ki.pdf" xr:uid="{6CA4C7A4-9A1F-426D-BA98-62E6F9898F85}"/>
    <hyperlink ref="C7" r:id="rId4" tooltip="https://www.nta.go.jp/taxes/tetsuzuki/shinsei/annai/hojin/shinkoku/itiran2025/pdf/03%2801%29-f1.pdf" xr:uid="{EE979C38-0507-4EAC-A90F-21C280C55322}"/>
    <hyperlink ref="C8" r:id="rId5" tooltip="https://www.nta.go.jp/taxes/tetsuzuki/shinsei/annai/hojin/shinkoku/itiran2025/pdf/03%2801%29-f1-ki.pdf" xr:uid="{EE7658C7-EA14-4828-B052-F8BD2536B01D}"/>
    <hyperlink ref="C9" r:id="rId6" tooltip="https://www.nta.go.jp/taxes/tetsuzuki/shinsei/annai/hojin/shinkoku/itiran2025/pdf/03%2801%29-f2.pdf" xr:uid="{C4F79CDC-E7DC-46F1-AF36-71A2AABEA32C}"/>
    <hyperlink ref="C10" r:id="rId7" tooltip="https://www.nta.go.jp/taxes/tetsuzuki/shinsei/annai/hojin/shinkoku/itiran2025/pdf/03%2801%29-f2-ki.pdf" xr:uid="{763E41F4-A576-425C-B59F-999D04BF439B}"/>
    <hyperlink ref="C11" r:id="rId8" tooltip="https://www.nta.go.jp/law/tsutatsu/kihon/hojin/16/16_01_02.htm" xr:uid="{B00DAC77-2C85-403B-A32B-9D2A704750B3}"/>
    <hyperlink ref="C12" r:id="rId9" location="Mp-At_67" tooltip="https://laws.e-gov.go.jp/law/340AC0000000034#Mp-At_67" xr:uid="{7B032CE4-2C9F-426A-9A08-312B79E13DBD}"/>
    <hyperlink ref="C13" r:id="rId10" location="Mp-At_10" tooltip="https://laws.e-gov.go.jp/law/337AC0000000066#Mp-At_10" xr:uid="{D2101A83-B758-4D5E-AFD3-020161D5D3A1}"/>
  </hyperlinks>
  <pageMargins left="0.7" right="0.7" top="0.75" bottom="0.75" header="0.3" footer="0.3"/>
  <pageSetup paperSize="9" fitToHeight="999" orientation="landscape" r:id="rId1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946-DE1A-4343-8208-9BA344E6EF7C}">
  <dimension ref="A1:E38"/>
  <sheetViews>
    <sheetView workbookViewId="0"/>
  </sheetViews>
  <sheetFormatPr defaultRowHeight="18"/>
  <sheetData>
    <row r="1" spans="1:5">
      <c r="A1" t="str">
        <f>IF(inp_corp="","",inp_corp)</f>
        <v/>
      </c>
    </row>
    <row r="2" spans="1:5">
      <c r="A2" t="str">
        <f>IF(OR(inp_start="",inp_end=""),"",TEXT(inp_start,"yyyy.m.d")&amp;CHAR(10)&amp;TEXT(inp_end,"yyyy.m.d"))</f>
        <v>2025.4.1
2026.3.31</v>
      </c>
    </row>
    <row r="5" spans="1:5">
      <c r="A5" t="str">
        <f>IF(m_01=0,"",TEXT(m_01/1000,"#,##0;-#,##0"))</f>
        <v/>
      </c>
      <c r="B5" t="str">
        <f>IF(inp_m9_inner=0,"",TEXT(inp_m9_inner,"#,##0;-#,##0"))</f>
        <v/>
      </c>
      <c r="C5" t="str">
        <f>IF(f1_01=0,"",TEXT(f1_01,"#,##0;-#,##0"))</f>
        <v/>
      </c>
      <c r="E5" t="str">
        <f>IF(f2_01=0,"",TEXT(f2_01,"#,##0;-#,##0"))</f>
        <v/>
      </c>
    </row>
    <row r="6" spans="1:5">
      <c r="A6" t="str">
        <f>IF(m_02=0,"",TEXT(m_02/1000,"#,##0;-#,##0"))</f>
        <v/>
      </c>
      <c r="C6" t="str">
        <f>IF(f1_02=0,"",TEXT(f1_02,"#,##0;-#,##0"))</f>
        <v/>
      </c>
      <c r="E6" t="str">
        <f>IF(f2_02=0,"",TEXT(f2_02,"#,##0;-#,##0"))</f>
        <v/>
      </c>
    </row>
    <row r="7" spans="1:5">
      <c r="A7" t="str">
        <f>IF(m_03=0,"",TEXT(m_03/1000,"#,##0;-#,##0"))</f>
        <v/>
      </c>
      <c r="C7" t="str">
        <f>IF(f1_03=0,"",TEXT(f1_03,"#,##0;-#,##0"))</f>
        <v/>
      </c>
      <c r="E7" t="str">
        <f>IF(f2_03=0,"",TEXT(f2_03,"#,##0;-#,##0"))</f>
        <v/>
      </c>
    </row>
    <row r="8" spans="1:5">
      <c r="A8" t="str">
        <f>IF(m_04=0,"",TEXT(m_04/1000,"#,##0;-#,##0"))</f>
        <v/>
      </c>
      <c r="C8" t="str">
        <f>IF(f1_04=0,"",TEXT(f1_04,"#,##0;-#,##0"))</f>
        <v/>
      </c>
      <c r="E8" t="str">
        <f>IF(f2_04=0,"",TEXT(f2_04,"#,##0;-#,##0"))</f>
        <v/>
      </c>
    </row>
    <row r="9" spans="1:5">
      <c r="A9" t="str">
        <f>IF(m_05=0,"",TEXT(m_05,"#,##0;-#,##0"))</f>
        <v/>
      </c>
      <c r="C9" t="str">
        <f>IF(f1_05=0,"",TEXT(f1_05,"#,##0;-#,##0"))</f>
        <v/>
      </c>
      <c r="E9" t="str">
        <f>IF(f2_05=0,"",TEXT(f2_05,"#,##0;-#,##0"))</f>
        <v/>
      </c>
    </row>
    <row r="10" spans="1:5">
      <c r="A10" t="str">
        <f>IF(m_06=0,"",TEXT(m_06,"#,##0;-#,##0"))</f>
        <v/>
      </c>
      <c r="C10" t="str">
        <f>IF(f1_06=0,"",TEXT(f1_06,"#,##0;-#,##0"))</f>
        <v/>
      </c>
      <c r="E10" t="str">
        <f>IF(f2_06=0,"",TEXT(f2_06,"#,##0;-#,##0"))</f>
        <v/>
      </c>
    </row>
    <row r="11" spans="1:5">
      <c r="A11" t="str">
        <f>IF(m_07=0,"",TEXT(m_07,"#,##0;-#,##0"))</f>
        <v/>
      </c>
      <c r="C11" t="str">
        <f>IF(f1_07=0,"",TEXT(f1_07,"#,##0;-#,##0"))</f>
        <v/>
      </c>
      <c r="E11" t="str">
        <f>IF(f2_07=0,"",TEXT(f2_07,"#,##0;-#,##0"))</f>
        <v/>
      </c>
    </row>
    <row r="12" spans="1:5">
      <c r="A12" t="str">
        <f>IF(m_08=0,"",TEXT(m_08,"#,##0;-#,##0"))</f>
        <v/>
      </c>
      <c r="C12" t="str">
        <f>IF(f1_08=0,"",TEXT(f1_08,"#,##0;-#,##0"))</f>
        <v>20,000,000</v>
      </c>
      <c r="E12" t="str">
        <f>IF(f2_08=0,"",TEXT(f2_08,"#,##0;-#,##0"))</f>
        <v/>
      </c>
    </row>
    <row r="13" spans="1:5">
      <c r="A13" t="str">
        <f>IF(m_09=0,"",TEXT(m_09,"#,##0;-#,##0"))</f>
        <v/>
      </c>
      <c r="C13" t="str">
        <f>IF(f1_09=0,"",TEXT(f1_09,"#,##0;-#,##0"))</f>
        <v/>
      </c>
      <c r="E13" t="str">
        <f>IF(f2_09=0,"",TEXT(f2_09,"#,##0;-#,##0"))</f>
        <v/>
      </c>
    </row>
    <row r="14" spans="1:5">
      <c r="A14" t="str">
        <f>IF(m_10=0,"",TEXT(m_10,"#,##0;-#,##0"))</f>
        <v/>
      </c>
      <c r="C14" t="str">
        <f>IF(f1_10=0,"",TEXT(f1_10,"#,##0;-#,##0"))</f>
        <v/>
      </c>
      <c r="E14" t="str">
        <f>IF(f2_10=0,"",TEXT(f2_10,"#,##0;-#,##0"))</f>
        <v/>
      </c>
    </row>
    <row r="15" spans="1:5">
      <c r="A15" t="str">
        <f>IF(m_11=0,"",TEXT(m_11,"#,##0;-#,##0"))</f>
        <v/>
      </c>
      <c r="C15" t="str">
        <f>IF(f1_11=0,"",TEXT(f1_11,"#,##0;-#,##0"))</f>
        <v/>
      </c>
      <c r="E15" t="str">
        <f>IF(f2_11=0,"",TEXT(f2_11,"#,##0;-#,##0"))</f>
        <v/>
      </c>
    </row>
    <row r="16" spans="1:5">
      <c r="A16" t="str">
        <f>IF(m_12=0,"",TEXT(m_12,"#,##0;-#,##0"))</f>
        <v/>
      </c>
      <c r="C16" t="str">
        <f>IF(f1_12=0,"",TEXT(f1_12,"#,##0;-#,##0"))</f>
        <v/>
      </c>
      <c r="E16" t="str">
        <f>IF(f2_12=0,"",TEXT(f2_12,"#,##0;-#,##0"))</f>
        <v/>
      </c>
    </row>
    <row r="17" spans="1:5">
      <c r="A17" t="str">
        <f>IF(m_13=0,"",TEXT(m_13,"#,##0;-#,##0"))</f>
        <v/>
      </c>
      <c r="C17" t="str">
        <f>IF(f1_13=0,"",TEXT(f1_13,"#,##0;-#,##0"))</f>
        <v/>
      </c>
      <c r="E17" t="str">
        <f>IF(f2_13=0,"",TEXT(f2_13,"#,##0;-#,##0"))</f>
        <v/>
      </c>
    </row>
    <row r="18" spans="1:5">
      <c r="A18" t="str">
        <f>IF(m_14=0,"",TEXT(m_14,"#,##0;-#,##0"))</f>
        <v/>
      </c>
      <c r="C18" t="str">
        <f>IF(f1_14=0,"",TEXT(f1_14,"#,##0;-#,##0"))</f>
        <v/>
      </c>
      <c r="E18" t="str">
        <f>IF(f2_14=0,"",TEXT(f2_14,"#,##0;-#,##0"))</f>
        <v/>
      </c>
    </row>
    <row r="19" spans="1:5">
      <c r="A19" t="str">
        <f>IF(m_15=0,"",TEXT(m_15,"#,##0;-#,##0"))</f>
        <v/>
      </c>
      <c r="C19" t="str">
        <f>IF(f1_15=0,"",TEXT(f1_15,"#,##0;-#,##0"))</f>
        <v/>
      </c>
      <c r="E19" t="str">
        <f>IF(f2_15=0,"",TEXT(f2_15,"#,##0;-#,##0"))</f>
        <v/>
      </c>
    </row>
    <row r="20" spans="1:5">
      <c r="A20" t="str">
        <f>IF(m_16=0,"",TEXT(m_16,"#,##0;-#,##0"))</f>
        <v/>
      </c>
      <c r="C20" t="str">
        <f>IF(f1_16=0,"",TEXT(f1_16,"#,##0;-#,##0"))</f>
        <v/>
      </c>
      <c r="E20" t="str">
        <f>IF(f2_16=0,"",TEXT(f2_16,"#,##0;-#,##0"))</f>
        <v/>
      </c>
    </row>
    <row r="21" spans="1:5">
      <c r="A21" t="str">
        <f>IF(m_17=0,"",TEXT(m_17,"#,##0;-#,##0"))</f>
        <v/>
      </c>
      <c r="C21" t="str">
        <f>IF(f1_17=0,"",TEXT(f1_17,"#,##0;-#,##0"))</f>
        <v/>
      </c>
      <c r="E21" t="str">
        <f>IF(f2_17=0,"",TEXT(f2_17,"#,##0;-#,##0"))</f>
        <v/>
      </c>
    </row>
    <row r="22" spans="1:5">
      <c r="A22" t="str">
        <f>IF(m_18=0,"",TEXT(m_18,"#,##0;-#,##0"))</f>
        <v/>
      </c>
      <c r="C22" t="str">
        <f>IF(f1_18=0,"",TEXT(f1_18,"#,##0;-#,##0"))</f>
        <v/>
      </c>
      <c r="E22" t="str">
        <f>IF(f2_18=0,"",TEXT(f2_18,"#,##0;-#,##0"))</f>
        <v/>
      </c>
    </row>
    <row r="23" spans="1:5">
      <c r="A23" t="str">
        <f>IF(m_19=0,"",TEXT(m_19,"#,##0;-#,##0"))</f>
        <v/>
      </c>
      <c r="C23" t="str">
        <f>IF(f1_19=0,"",TEXT(f1_19,"#,##0;-#,##0"))</f>
        <v/>
      </c>
      <c r="E23" t="str">
        <f>IF(f2_19=0,"",TEXT(f2_19,"#,##0;-#,##0"))</f>
        <v/>
      </c>
    </row>
    <row r="24" spans="1:5">
      <c r="A24" t="str">
        <f>IF(m_20=0,"",TEXT(m_20,"#,##0;-#,##0"))</f>
        <v>20,000,000</v>
      </c>
      <c r="C24" t="str">
        <f>IF(f1_20=0,"",TEXT(f1_20,"#,##0;-#,##0"))</f>
        <v/>
      </c>
      <c r="E24" t="str">
        <f>IF(f2_20=0,"",TEXT(f2_20,"#,##0;-#,##0"))</f>
        <v/>
      </c>
    </row>
    <row r="25" spans="1:5">
      <c r="A25" t="str">
        <f>IF(m_21=0,"",TEXT(m_21/1000,"#,##0;-#,##0"))</f>
        <v/>
      </c>
      <c r="C25" t="str">
        <f>IF(f1_21=0,"",TEXT(f1_21,"#,##0;-#,##0"))</f>
        <v/>
      </c>
      <c r="E25" t="str">
        <f>IF(f2_21=0,"",TEXT(f2_21,"#,##0;-#,##0"))</f>
        <v/>
      </c>
    </row>
    <row r="26" spans="1:5">
      <c r="A26" t="str">
        <f>IF(m_22=0,"",TEXT(m_22,"#,##0;-#,##0"))</f>
        <v/>
      </c>
      <c r="C26" t="str">
        <f>IF(f1_22=0,"",TEXT(f1_22,"#,##0;-#,##0"))</f>
        <v/>
      </c>
      <c r="E26" t="str">
        <f>IF(f2_22=0,"",TEXT(f2_22,"#,##0;-#,##0"))</f>
        <v/>
      </c>
    </row>
    <row r="27" spans="1:5">
      <c r="A27" t="str">
        <f>IF(m_23=0,"",TEXT(m_23,"#,##0;-#,##0"))</f>
        <v/>
      </c>
      <c r="C27" t="str">
        <f>IF(f1_23=0,"",TEXT(f1_23,"#,##0;-#,##0"))</f>
        <v/>
      </c>
      <c r="E27" t="str">
        <f>IF(f2_23=0,"",TEXT(f2_23,"#,##0;-#,##0"))</f>
        <v/>
      </c>
    </row>
    <row r="28" spans="1:5">
      <c r="A28" t="str">
        <f>IF(m_24=0,"",TEXT(m_24,"#,##0;-#,##0"))</f>
        <v/>
      </c>
      <c r="C28" t="str">
        <f>IF(f1_24=0,"",TEXT(f1_24,"#,##0;-#,##0"))</f>
        <v/>
      </c>
      <c r="E28" t="str">
        <f>IF(f2_24=0,"",TEXT(f2_24,"0.00000000"))</f>
        <v/>
      </c>
    </row>
    <row r="29" spans="1:5">
      <c r="A29" t="str">
        <f>IF(m_25=0,"",TEXT(m_25,"#,##0;-#,##0"))</f>
        <v/>
      </c>
      <c r="C29" t="str">
        <f>IF(f1_25=0,"",TEXT(f1_25,"#,##0;-#,##0"))</f>
        <v/>
      </c>
      <c r="E29" t="str">
        <f>IF(f2_25=0,"",TEXT(f2_25,"#,##0;-#,##0"))</f>
        <v/>
      </c>
    </row>
    <row r="30" spans="1:5">
      <c r="A30" t="str">
        <f>IF(m_26=0,"",TEXT(m_26,"#,##0;-#,##0"))</f>
        <v/>
      </c>
      <c r="C30" t="str">
        <f>IF(f1_26=0,"",TEXT(f1_26,"#,##0;-#,##0"))</f>
        <v/>
      </c>
      <c r="E30" t="str">
        <f>IF(f2_26=0,"",TEXT(f2_26,"#,##0;-#,##0"))</f>
        <v/>
      </c>
    </row>
    <row r="31" spans="1:5">
      <c r="A31" t="str">
        <f>IF(m_27=0,"",TEXT(m_27,"#,##0;-#,##0"))</f>
        <v/>
      </c>
      <c r="C31" t="str">
        <f>IF(f1_27=0,"",TEXT(f1_27,"#,##0;-#,##0"))</f>
        <v/>
      </c>
    </row>
    <row r="32" spans="1:5">
      <c r="A32" t="str">
        <f>IF(m_28=0,"",TEXT(m_28,"#,##0;-#,##0"))</f>
        <v/>
      </c>
      <c r="C32" t="str">
        <f>IF(f1_28=0,"",TEXT(f1_28,"#,##0;-#,##0"))</f>
        <v/>
      </c>
    </row>
    <row r="33" spans="3:3">
      <c r="C33" t="str">
        <f>IF(f1_29=0,"",TEXT(f1_29,"#,##0;-#,##0"))</f>
        <v/>
      </c>
    </row>
    <row r="34" spans="3:3">
      <c r="C34" t="str">
        <f>IF(f1_30=0,"",TEXT(f1_30,"#,##0;-#,##0"))</f>
        <v/>
      </c>
    </row>
    <row r="35" spans="3:3">
      <c r="C35" t="str">
        <f>IF(f1_31=0,"",TEXT(f1_31,"#,##0;-#,##0"))</f>
        <v/>
      </c>
    </row>
    <row r="36" spans="3:3">
      <c r="C36" t="str">
        <f>IF(f1_32=0,"",TEXT(f1_32,"#,##0;-#,##0"))</f>
        <v/>
      </c>
    </row>
    <row r="37" spans="3:3">
      <c r="C37" t="str">
        <f>IF(f1_33=0,"",TEXT(f1_33,"#,##0;-#,##0"))</f>
        <v/>
      </c>
    </row>
    <row r="38" spans="3:3">
      <c r="C38" t="str">
        <f>IF(f1_34=0,"",TEXT(f1_34,"#,##0;-#,##0"))</f>
        <v>20,000,000</v>
      </c>
    </row>
  </sheetData>
  <sheetProtection sheet="1" objects="1" scenarios="1"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10</vt:i4>
      </vt:variant>
      <vt:variant>
        <vt:lpstr>名前付き一覧</vt:lpstr>
      </vt:variant>
      <vt:variant>
        <vt:i4>175</vt:i4>
      </vt:variant>
    </vt:vector>
  </HeadingPairs>
  <TitlesOfParts>
    <vt:vector size="185" baseType="lpstr">
      <vt:lpstr>使い方</vt:lpstr>
      <vt:lpstr>入力</vt:lpstr>
      <vt:lpstr>別表三一_計算</vt:lpstr>
      <vt:lpstr>付表一_計算</vt:lpstr>
      <vt:lpstr>付表二_計算</vt:lpstr>
      <vt:lpstr>別表三(一)</vt:lpstr>
      <vt:lpstr>別表三(一)付表一</vt:lpstr>
      <vt:lpstr>別表三(一)付表二</vt:lpstr>
      <vt:lpstr>検算</vt:lpstr>
      <vt:lpstr>根拠・出典</vt:lpstr>
      <vt:lpstr>cfg_applicable</vt:lpstr>
      <vt:lpstr>cfg_donation_rate</vt:lpstr>
      <vt:lpstr>cfg_f2_input_valid</vt:lpstr>
      <vt:lpstr>cfg_resident_rate</vt:lpstr>
      <vt:lpstr>f1_01</vt:lpstr>
      <vt:lpstr>f1_02</vt:lpstr>
      <vt:lpstr>f1_03</vt:lpstr>
      <vt:lpstr>f1_04</vt:lpstr>
      <vt:lpstr>f1_05</vt:lpstr>
      <vt:lpstr>f1_06</vt:lpstr>
      <vt:lpstr>f1_07</vt:lpstr>
      <vt:lpstr>f1_08</vt:lpstr>
      <vt:lpstr>f1_09</vt:lpstr>
      <vt:lpstr>f1_10</vt:lpstr>
      <vt:lpstr>f1_11</vt:lpstr>
      <vt:lpstr>f1_12</vt:lpstr>
      <vt:lpstr>f1_13</vt:lpstr>
      <vt:lpstr>f1_14</vt:lpstr>
      <vt:lpstr>f1_15</vt:lpstr>
      <vt:lpstr>f1_16</vt:lpstr>
      <vt:lpstr>f1_17</vt:lpstr>
      <vt:lpstr>f1_18</vt:lpstr>
      <vt:lpstr>f1_19</vt:lpstr>
      <vt:lpstr>f1_20</vt:lpstr>
      <vt:lpstr>f1_21</vt:lpstr>
      <vt:lpstr>f1_22</vt:lpstr>
      <vt:lpstr>f1_23</vt:lpstr>
      <vt:lpstr>f1_24</vt:lpstr>
      <vt:lpstr>f1_25</vt:lpstr>
      <vt:lpstr>f1_26</vt:lpstr>
      <vt:lpstr>f1_27</vt:lpstr>
      <vt:lpstr>f1_28</vt:lpstr>
      <vt:lpstr>f1_29</vt:lpstr>
      <vt:lpstr>f1_30</vt:lpstr>
      <vt:lpstr>f1_31</vt:lpstr>
      <vt:lpstr>f1_32</vt:lpstr>
      <vt:lpstr>f1_33</vt:lpstr>
      <vt:lpstr>f1_34</vt:lpstr>
      <vt:lpstr>f2_01</vt:lpstr>
      <vt:lpstr>f2_02</vt:lpstr>
      <vt:lpstr>f2_03</vt:lpstr>
      <vt:lpstr>f2_04</vt:lpstr>
      <vt:lpstr>f2_05</vt:lpstr>
      <vt:lpstr>f2_06</vt:lpstr>
      <vt:lpstr>f2_07</vt:lpstr>
      <vt:lpstr>f2_08</vt:lpstr>
      <vt:lpstr>f2_09</vt:lpstr>
      <vt:lpstr>f2_10</vt:lpstr>
      <vt:lpstr>f2_11</vt:lpstr>
      <vt:lpstr>f2_12</vt:lpstr>
      <vt:lpstr>f2_13</vt:lpstr>
      <vt:lpstr>f2_14</vt:lpstr>
      <vt:lpstr>f2_15</vt:lpstr>
      <vt:lpstr>f2_16</vt:lpstr>
      <vt:lpstr>f2_17</vt:lpstr>
      <vt:lpstr>f2_18</vt:lpstr>
      <vt:lpstr>f2_19</vt:lpstr>
      <vt:lpstr>f2_20</vt:lpstr>
      <vt:lpstr>f2_21</vt:lpstr>
      <vt:lpstr>f2_22</vt:lpstr>
      <vt:lpstr>f2_23</vt:lpstr>
      <vt:lpstr>f2_24</vt:lpstr>
      <vt:lpstr>f2_25</vt:lpstr>
      <vt:lpstr>f2_26</vt:lpstr>
      <vt:lpstr>inp_adjust_local_credit</vt:lpstr>
      <vt:lpstr>inp_b1_11</vt:lpstr>
      <vt:lpstr>inp_b1_17</vt:lpstr>
      <vt:lpstr>inp_b1_18</vt:lpstr>
      <vt:lpstr>inp_b1_2</vt:lpstr>
      <vt:lpstr>inp_b1_3</vt:lpstr>
      <vt:lpstr>inp_b1_31</vt:lpstr>
      <vt:lpstr>inp_b1_32</vt:lpstr>
      <vt:lpstr>inp_b1_36</vt:lpstr>
      <vt:lpstr>inp_b1_4</vt:lpstr>
      <vt:lpstr>inp_b1_6</vt:lpstr>
      <vt:lpstr>inp_b1_65</vt:lpstr>
      <vt:lpstr>inp_b1_9out</vt:lpstr>
      <vt:lpstr>inp_b6_5_2_5_3</vt:lpstr>
      <vt:lpstr>inp_class</vt:lpstr>
      <vt:lpstr>inp_corp</vt:lpstr>
      <vt:lpstr>inp_curr_div</vt:lpstr>
      <vt:lpstr>inp_end</vt:lpstr>
      <vt:lpstr>inp_f1_09</vt:lpstr>
      <vt:lpstr>inp_f1_10</vt:lpstr>
      <vt:lpstr>inp_f1_11</vt:lpstr>
      <vt:lpstr>inp_f1_12</vt:lpstr>
      <vt:lpstr>inp_f1_13</vt:lpstr>
      <vt:lpstr>inp_f1_14</vt:lpstr>
      <vt:lpstr>inp_f1_15</vt:lpstr>
      <vt:lpstr>inp_f1_16</vt:lpstr>
      <vt:lpstr>inp_f1_19</vt:lpstr>
      <vt:lpstr>inp_f1_20</vt:lpstr>
      <vt:lpstr>inp_f1_21</vt:lpstr>
      <vt:lpstr>inp_f1_22</vt:lpstr>
      <vt:lpstr>inp_f1_23</vt:lpstr>
      <vt:lpstr>inp_f1_24</vt:lpstr>
      <vt:lpstr>inp_f1_25</vt:lpstr>
      <vt:lpstr>inp_f1_26</vt:lpstr>
      <vt:lpstr>inp_f1_27</vt:lpstr>
      <vt:lpstr>inp_f1_28</vt:lpstr>
      <vt:lpstr>inp_f1_29</vt:lpstr>
      <vt:lpstr>inp_f1_30</vt:lpstr>
      <vt:lpstr>inp_f1_31</vt:lpstr>
      <vt:lpstr>inp_f1_capital</vt:lpstr>
      <vt:lpstr>inp_f1_merger_inc</vt:lpstr>
      <vt:lpstr>inp_f1_opening_profit</vt:lpstr>
      <vt:lpstr>inp_f1_split_dec</vt:lpstr>
      <vt:lpstr>inp_f2_01</vt:lpstr>
      <vt:lpstr>inp_f2_02</vt:lpstr>
      <vt:lpstr>inp_f2_03</vt:lpstr>
      <vt:lpstr>inp_f2_04</vt:lpstr>
      <vt:lpstr>inp_f2_06</vt:lpstr>
      <vt:lpstr>inp_f2_07</vt:lpstr>
      <vt:lpstr>inp_f2_08</vt:lpstr>
      <vt:lpstr>inp_f2_12</vt:lpstr>
      <vt:lpstr>inp_f2_15</vt:lpstr>
      <vt:lpstr>inp_f2_16</vt:lpstr>
      <vt:lpstr>inp_f2_21</vt:lpstr>
      <vt:lpstr>inp_f2_23</vt:lpstr>
      <vt:lpstr>inp_group</vt:lpstr>
      <vt:lpstr>inp_m14_foreign</vt:lpstr>
      <vt:lpstr>inp_m22_b1_4_adjust</vt:lpstr>
      <vt:lpstr>inp_m22_credits</vt:lpstr>
      <vt:lpstr>inp_m23_b1_4_adjust</vt:lpstr>
      <vt:lpstr>inp_m23_credits</vt:lpstr>
      <vt:lpstr>inp_m9_base</vt:lpstr>
      <vt:lpstr>inp_m9_extra</vt:lpstr>
      <vt:lpstr>inp_m9_inner</vt:lpstr>
      <vt:lpstr>inp_months</vt:lpstr>
      <vt:lpstr>inp_prev_div</vt:lpstr>
      <vt:lpstr>inp_special</vt:lpstr>
      <vt:lpstr>inp_specific_donation_total</vt:lpstr>
      <vt:lpstr>inp_start</vt:lpstr>
      <vt:lpstr>m_01</vt:lpstr>
      <vt:lpstr>m_02</vt:lpstr>
      <vt:lpstr>m_03</vt:lpstr>
      <vt:lpstr>m_04</vt:lpstr>
      <vt:lpstr>m_05</vt:lpstr>
      <vt:lpstr>m_06</vt:lpstr>
      <vt:lpstr>m_07</vt:lpstr>
      <vt:lpstr>m_08</vt:lpstr>
      <vt:lpstr>m_09</vt:lpstr>
      <vt:lpstr>m_10</vt:lpstr>
      <vt:lpstr>m_11</vt:lpstr>
      <vt:lpstr>m_12</vt:lpstr>
      <vt:lpstr>m_13</vt:lpstr>
      <vt:lpstr>m_14</vt:lpstr>
      <vt:lpstr>m_15</vt:lpstr>
      <vt:lpstr>m_16</vt:lpstr>
      <vt:lpstr>m_17</vt:lpstr>
      <vt:lpstr>m_18</vt:lpstr>
      <vt:lpstr>m_19</vt:lpstr>
      <vt:lpstr>m_20</vt:lpstr>
      <vt:lpstr>m_21</vt:lpstr>
      <vt:lpstr>m_22</vt:lpstr>
      <vt:lpstr>m_23</vt:lpstr>
      <vt:lpstr>m_24</vt:lpstr>
      <vt:lpstr>m_25</vt:lpstr>
      <vt:lpstr>m_26</vt:lpstr>
      <vt:lpstr>m_27</vt:lpstr>
      <vt:lpstr>m_28</vt:lpstr>
      <vt:lpstr>out_municipal_tax</vt:lpstr>
      <vt:lpstr>out_retained_tax</vt:lpstr>
      <vt:lpstr>out_retention_allowance</vt:lpstr>
      <vt:lpstr>out_taxable_retained</vt:lpstr>
      <vt:lpstr>検算!Print_Area</vt:lpstr>
      <vt:lpstr>根拠・出典!Print_Area</vt:lpstr>
      <vt:lpstr>使い方!Print_Area</vt:lpstr>
      <vt:lpstr>入力!Print_Area</vt:lpstr>
      <vt:lpstr>付表一_計算!Print_Area</vt:lpstr>
      <vt:lpstr>付表二_計算!Print_Area</vt:lpstr>
      <vt:lpstr>'別表三(一)'!Print_Area</vt:lpstr>
      <vt:lpstr>'別表三(一)付表一'!Print_Area</vt:lpstr>
      <vt:lpstr>'別表三(一)付表二'!Print_Area</vt:lpstr>
      <vt:lpstr>別表三一_計算!Print_Area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jplawdb4</dc:creator>
  <cp:lastModifiedBy>jplawdb4</cp:lastModifiedBy>
</cp:coreProperties>
</file>