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bookViews>
    <workbookView xWindow="-108" yWindow="-108" windowWidth="23256" windowHeight="12456"/>
  </bookViews>
  <sheets>
    <sheet name="使い方" sheetId="1" r:id="rId1"/>
    <sheet name="入力" sheetId="2" r:id="rId2"/>
    <sheet name="別表三一_計算" sheetId="3" r:id="rId3"/>
    <sheet name="付表_計算" sheetId="4" r:id="rId4"/>
    <sheet name="別表三(一)" sheetId="5" r:id="rId5"/>
    <sheet name="別表三(一)付表" sheetId="6" r:id="rId6"/>
    <sheet name="検算" sheetId="7" r:id="rId7"/>
    <sheet name="根拠・出典" sheetId="8" r:id="rId8"/>
    <sheet name="印字値" sheetId="9" state="veryHidden" r:id="rId9"/>
  </sheets>
  <definedNames>
    <definedName name="cfg_applicable">入力!$H$5</definedName>
    <definedName name="cfg_donation_rate">入力!$H$7</definedName>
    <definedName name="cfg_resident_rate">入力!$H$6</definedName>
    <definedName name="f1_01">付表_計算!$D$5</definedName>
    <definedName name="f1_02">付表_計算!$D$6</definedName>
    <definedName name="f1_03">付表_計算!$D$7</definedName>
    <definedName name="f1_04">付表_計算!$D$8</definedName>
    <definedName name="f1_05">付表_計算!$D$9</definedName>
    <definedName name="f1_06">付表_計算!$D$10</definedName>
    <definedName name="f1_07">付表_計算!$D$11</definedName>
    <definedName name="f1_08">付表_計算!$D$12</definedName>
    <definedName name="f1_09">付表_計算!$D$13</definedName>
    <definedName name="f1_10">付表_計算!$D$14</definedName>
    <definedName name="f1_11">付表_計算!$D$15</definedName>
    <definedName name="f1_12">付表_計算!$D$16</definedName>
    <definedName name="f1_13">付表_計算!$D$17</definedName>
    <definedName name="f1_14">付表_計算!$D$18</definedName>
    <definedName name="f1_15">付表_計算!$D$19</definedName>
    <definedName name="f1_16">付表_計算!$D$20</definedName>
    <definedName name="f1_17">付表_計算!$D$21</definedName>
    <definedName name="f1_18">付表_計算!$D$22</definedName>
    <definedName name="f1_19">付表_計算!$D$23</definedName>
    <definedName name="f1_20">付表_計算!$D$24</definedName>
    <definedName name="f1_21">付表_計算!$D$25</definedName>
    <definedName name="f1_22">付表_計算!$D$26</definedName>
    <definedName name="f1_23">付表_計算!$D$27</definedName>
    <definedName name="f1_24">付表_計算!$D$28</definedName>
    <definedName name="f1_25">付表_計算!$D$29</definedName>
    <definedName name="f1_26">付表_計算!$D$30</definedName>
    <definedName name="f1_27">付表_計算!$D$31</definedName>
    <definedName name="f1_28">付表_計算!$D$32</definedName>
    <definedName name="f1_29">付表_計算!$D$33</definedName>
    <definedName name="f1_30">付表_計算!$D$34</definedName>
    <definedName name="f1_31">付表_計算!$D$35</definedName>
    <definedName name="f1_32">付表_計算!$D$36</definedName>
    <definedName name="inp_b1_10out">入力!$D$27</definedName>
    <definedName name="inp_b1_12">入力!$D$28</definedName>
    <definedName name="inp_b1_18">入力!$D$29</definedName>
    <definedName name="inp_b1_19">入力!$D$30</definedName>
    <definedName name="inp_b1_2">入力!$D$23</definedName>
    <definedName name="inp_b1_36">入力!$D$31</definedName>
    <definedName name="inp_b1_4">入力!$D$24</definedName>
    <definedName name="inp_b1_40">入力!$D$32</definedName>
    <definedName name="inp_b1_41">入力!$D$33</definedName>
    <definedName name="inp_b1_5">入力!$D$25</definedName>
    <definedName name="inp_b1_7">入力!$D$26</definedName>
    <definedName name="inp_b6_5_2_5_3">入力!$D$34</definedName>
    <definedName name="inp_class">入力!$D$9</definedName>
    <definedName name="inp_corp">入力!$D$5</definedName>
    <definedName name="inp_curr_div">入力!$D$19</definedName>
    <definedName name="inp_end">入力!$D$7</definedName>
    <definedName name="inp_f1_09">入力!$D$46</definedName>
    <definedName name="inp_f1_10">入力!$D$47</definedName>
    <definedName name="inp_f1_11">入力!$D$48</definedName>
    <definedName name="inp_f1_12">入力!$D$49</definedName>
    <definedName name="inp_f1_13">入力!$D$50</definedName>
    <definedName name="inp_f1_14">入力!$D$51</definedName>
    <definedName name="inp_f1_15">入力!$D$52</definedName>
    <definedName name="inp_f1_16">入力!$D$53</definedName>
    <definedName name="inp_f1_17">入力!$D$54</definedName>
    <definedName name="inp_f1_18">入力!$D$55</definedName>
    <definedName name="inp_f1_19">入力!$D$56</definedName>
    <definedName name="inp_f1_20">入力!$D$57</definedName>
    <definedName name="inp_f1_21">入力!$D$58</definedName>
    <definedName name="inp_f1_22">入力!$D$59</definedName>
    <definedName name="inp_f1_23">入力!$D$60</definedName>
    <definedName name="inp_f1_24">入力!$D$61</definedName>
    <definedName name="inp_f1_25">入力!$D$62</definedName>
    <definedName name="inp_f1_26">入力!$D$63</definedName>
    <definedName name="inp_f1_27">入力!$D$64</definedName>
    <definedName name="inp_f1_28">入力!$D$65</definedName>
    <definedName name="inp_f1_29">入力!$D$66</definedName>
    <definedName name="inp_f1_capital">入力!$D$42</definedName>
    <definedName name="inp_f1_merger_inc">入力!$D$44</definedName>
    <definedName name="inp_f1_opening_profit">入力!$D$43</definedName>
    <definedName name="inp_f1_split_dec">入力!$D$45</definedName>
    <definedName name="inp_group">入力!$D$10</definedName>
    <definedName name="inp_m14_foreign">入力!$D$37</definedName>
    <definedName name="inp_m16">入力!$D$20</definedName>
    <definedName name="inp_m17">入力!$D$21</definedName>
    <definedName name="inp_m18">入力!$D$22</definedName>
    <definedName name="inp_m22_credits">入力!$D$35</definedName>
    <definedName name="inp_m23_credits">入力!$D$36</definedName>
    <definedName name="inp_m9_base">入力!$D$15</definedName>
    <definedName name="inp_m9_extra">入力!$D$16</definedName>
    <definedName name="inp_m9_inner">入力!$D$17</definedName>
    <definedName name="inp_months">入力!$D$8</definedName>
    <definedName name="inp_prev_div">入力!$D$18</definedName>
    <definedName name="inp_special">入力!$D$11</definedName>
    <definedName name="inp_specific_donation_total">入力!$D$38</definedName>
    <definedName name="inp_start">入力!$D$6</definedName>
    <definedName name="m_01">別表三一_計算!$D$5</definedName>
    <definedName name="m_02">別表三一_計算!$D$6</definedName>
    <definedName name="m_03">別表三一_計算!$D$7</definedName>
    <definedName name="m_04">別表三一_計算!$D$8</definedName>
    <definedName name="m_05">別表三一_計算!$D$9</definedName>
    <definedName name="m_06">別表三一_計算!$D$10</definedName>
    <definedName name="m_07">別表三一_計算!$D$11</definedName>
    <definedName name="m_08">別表三一_計算!$D$12</definedName>
    <definedName name="m_09">別表三一_計算!$D$13</definedName>
    <definedName name="m_10">別表三一_計算!$D$14</definedName>
    <definedName name="m_11">別表三一_計算!$D$15</definedName>
    <definedName name="m_12">別表三一_計算!$D$16</definedName>
    <definedName name="m_13">別表三一_計算!$D$17</definedName>
    <definedName name="m_14">別表三一_計算!$D$18</definedName>
    <definedName name="m_15">別表三一_計算!$D$19</definedName>
    <definedName name="m_16">別表三一_計算!$D$20</definedName>
    <definedName name="m_17">別表三一_計算!$D$21</definedName>
    <definedName name="m_18">別表三一_計算!$D$22</definedName>
    <definedName name="m_19">別表三一_計算!$D$23</definedName>
    <definedName name="m_20">別表三一_計算!$D$24</definedName>
    <definedName name="m_21">別表三一_計算!$D$25</definedName>
    <definedName name="m_22">別表三一_計算!$D$26</definedName>
    <definedName name="m_23">別表三一_計算!$D$27</definedName>
    <definedName name="m_24">別表三一_計算!$D$28</definedName>
    <definedName name="m_25">別表三一_計算!$D$29</definedName>
    <definedName name="m_26">別表三一_計算!$D$30</definedName>
    <definedName name="m_27">別表三一_計算!$D$31</definedName>
    <definedName name="m_28">別表三一_計算!$D$32</definedName>
    <definedName name="out_municipal_tax">別表三一_計算!$D$32</definedName>
    <definedName name="out_retained_tax">別表三一_計算!$D$12</definedName>
    <definedName name="out_retention_allowance">付表_計算!$D$36</definedName>
    <definedName name="out_taxable_retained">別表三一_計算!$D$25</definedName>
    <definedName name="_xlnm.Print_Area" localSheetId="6">検算!$A$1:$D$20</definedName>
    <definedName name="_xlnm.Print_Area" localSheetId="7">根拠・出典!$A$1:$E$13</definedName>
    <definedName name="_xlnm.Print_Area" localSheetId="0">使い方!$A$1:$H$40</definedName>
    <definedName name="_xlnm.Print_Area" localSheetId="1">入力!$A$1:$H$66</definedName>
    <definedName name="_xlnm.Print_Area" localSheetId="3">付表_計算!$A$1:$E$36</definedName>
    <definedName name="_xlnm.Print_Area" localSheetId="4">'別表三(一)'!$A$1:$L$3</definedName>
    <definedName name="_xlnm.Print_Area" localSheetId="5">'別表三(一)付表'!$A$1:$L$3</definedName>
    <definedName name="_xlnm.Print_Area" localSheetId="2">別表三一_計算!$A$1:$G$32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9" l="1"/>
  <c r="A2" i="9"/>
  <c r="A1" i="9"/>
  <c r="F13" i="1"/>
  <c r="F12" i="1"/>
  <c r="D27" i="3"/>
  <c r="A27" i="9" s="1"/>
  <c r="D26" i="3"/>
  <c r="A26" i="9" s="1"/>
  <c r="D22" i="3"/>
  <c r="A22" i="9" s="1"/>
  <c r="D21" i="3"/>
  <c r="A21" i="9" s="1"/>
  <c r="D20" i="3"/>
  <c r="A20" i="9" s="1"/>
  <c r="D18" i="3"/>
  <c r="A18" i="9" s="1"/>
  <c r="D16" i="3"/>
  <c r="A16" i="9" s="1"/>
  <c r="D15" i="3"/>
  <c r="A15" i="9" s="1"/>
  <c r="D14" i="3"/>
  <c r="A14" i="9" s="1"/>
  <c r="D13" i="3"/>
  <c r="A13" i="9" s="1"/>
  <c r="D33" i="4"/>
  <c r="C33" i="9" s="1"/>
  <c r="D32" i="4"/>
  <c r="C32" i="9" s="1"/>
  <c r="D31" i="4"/>
  <c r="C31" i="9" s="1"/>
  <c r="D30" i="4"/>
  <c r="C30" i="9" s="1"/>
  <c r="D29" i="4"/>
  <c r="C29" i="9" s="1"/>
  <c r="D28" i="4"/>
  <c r="C28" i="9" s="1"/>
  <c r="D27" i="4"/>
  <c r="C27" i="9" s="1"/>
  <c r="D26" i="4"/>
  <c r="C26" i="9" s="1"/>
  <c r="D25" i="4"/>
  <c r="C25" i="9" s="1"/>
  <c r="D24" i="4"/>
  <c r="C24" i="9" s="1"/>
  <c r="D23" i="4"/>
  <c r="C23" i="9" s="1"/>
  <c r="D22" i="4"/>
  <c r="C22" i="9" s="1"/>
  <c r="D21" i="4"/>
  <c r="C21" i="9" s="1"/>
  <c r="D20" i="4"/>
  <c r="C20" i="9" s="1"/>
  <c r="D19" i="4"/>
  <c r="D18" i="4"/>
  <c r="C18" i="9" s="1"/>
  <c r="D17" i="4"/>
  <c r="C17" i="9" s="1"/>
  <c r="D16" i="4"/>
  <c r="C16" i="9" s="1"/>
  <c r="D15" i="4"/>
  <c r="C15" i="9" s="1"/>
  <c r="D14" i="4"/>
  <c r="C14" i="9" s="1"/>
  <c r="D13" i="4"/>
  <c r="C13" i="9" s="1"/>
  <c r="D9" i="4"/>
  <c r="C9" i="9" s="1"/>
  <c r="D8" i="4"/>
  <c r="C8" i="9" s="1"/>
  <c r="D7" i="4"/>
  <c r="C7" i="9" s="1"/>
  <c r="D5" i="4"/>
  <c r="C5" i="9" s="1"/>
  <c r="H7" i="2"/>
  <c r="D29" i="3" s="1"/>
  <c r="H6" i="2"/>
  <c r="H5" i="2"/>
  <c r="F11" i="1" s="1"/>
  <c r="D8" i="2"/>
  <c r="G7" i="3" s="1"/>
  <c r="D6" i="4" l="1"/>
  <c r="C6" i="9" s="1"/>
  <c r="D34" i="4"/>
  <c r="D35" i="4" s="1"/>
  <c r="C35" i="9" s="1"/>
  <c r="C19" i="9"/>
  <c r="D10" i="4"/>
  <c r="C10" i="9" s="1"/>
  <c r="D28" i="3"/>
  <c r="A28" i="9" s="1"/>
  <c r="A29" i="9"/>
  <c r="D12" i="4"/>
  <c r="F14" i="1"/>
  <c r="C34" i="9" l="1"/>
  <c r="D30" i="3"/>
  <c r="D11" i="4"/>
  <c r="C11" i="9" s="1"/>
  <c r="C12" i="9"/>
  <c r="D36" i="4" l="1"/>
  <c r="D24" i="3" s="1"/>
  <c r="A24" i="9" s="1"/>
  <c r="A30" i="9"/>
  <c r="D31" i="3"/>
  <c r="F7" i="1" l="1"/>
  <c r="C36" i="9"/>
  <c r="A31" i="9"/>
  <c r="D32" i="3"/>
  <c r="F8" i="1" l="1"/>
  <c r="A32" i="9"/>
  <c r="D17" i="3"/>
  <c r="D19" i="3" l="1"/>
  <c r="A17" i="9"/>
  <c r="D23" i="3" l="1"/>
  <c r="A19" i="9"/>
  <c r="A23" i="9" l="1"/>
  <c r="G5" i="3"/>
  <c r="D25" i="3"/>
  <c r="A25" i="9" l="1"/>
  <c r="F6" i="1"/>
  <c r="D5" i="3"/>
  <c r="G6" i="3"/>
  <c r="A5" i="9" l="1"/>
  <c r="D9" i="3"/>
  <c r="A9" i="9" s="1"/>
  <c r="G8" i="3"/>
  <c r="G9" i="3" s="1"/>
  <c r="G10" i="3" s="1"/>
  <c r="D6" i="3" s="1"/>
  <c r="A6" i="9" l="1"/>
  <c r="D10" i="3"/>
  <c r="A10" i="9" s="1"/>
  <c r="D7" i="3"/>
  <c r="D11" i="3" l="1"/>
  <c r="A7" i="9"/>
  <c r="D8" i="3"/>
  <c r="A8" i="9" s="1"/>
  <c r="A11" i="9" l="1"/>
  <c r="D12" i="3"/>
  <c r="A12" i="9" l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jplawdb4</author>
  </authors>
  <commentList>
    <comment ref="D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法人税法67条7項・国税通則法10条に従い、応当日がない月は月末を満了日とし、1月未満の端数を1月に切り上げます。</t>
        </r>
      </text>
    </comment>
    <comment ref="D1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別表四「48の②」
別表四の留保所得金額又は欠損金額を符号付きで転記（欠損は負数可）</t>
        </r>
      </text>
    </comment>
    <comment ref="D1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別表十(六)「12」
該当がなければ0</t>
        </r>
      </text>
    </comment>
    <comment ref="D1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別表四「17」
当期留保金額で主表9から減算</t>
        </r>
      </text>
    </comment>
    <comment ref="D1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前期の別表三(一)「11」</t>
        </r>
      </text>
    </comment>
    <comment ref="D1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法人税法67条4項</t>
        </r>
      </text>
    </comment>
    <comment ref="D2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連結法人間配当等</t>
        </r>
      </text>
    </comment>
    <comment ref="D2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連結法人間配当等</t>
        </r>
      </text>
    </comment>
    <comment ref="D2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旧付表「18」</t>
        </r>
      </text>
    </comment>
    <comment ref="D2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別表一「2」</t>
        </r>
      </text>
    </comment>
    <comment ref="D2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別表一「4」</t>
        </r>
      </text>
    </comment>
    <comment ref="D2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別表一「5」</t>
        </r>
      </text>
    </comment>
    <comment ref="D2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別表一「7」</t>
        </r>
      </text>
    </comment>
    <comment ref="D2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別表一「10の外書」</t>
        </r>
      </text>
    </comment>
    <comment ref="D2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別表一「12」</t>
        </r>
      </text>
    </comment>
    <comment ref="D2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別表一「18」</t>
        </r>
      </text>
    </comment>
    <comment ref="D3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別表一「19」</t>
        </r>
      </text>
    </comment>
    <comment ref="D3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別表一「36」</t>
        </r>
      </text>
    </comment>
    <comment ref="D3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別表一「40」</t>
        </r>
      </text>
    </comment>
    <comment ref="D3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別表一「41」</t>
        </r>
      </text>
    </comment>
    <comment ref="D3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別表六(五の二)「5の③」</t>
        </r>
      </text>
    </comment>
    <comment ref="D3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別表六(十二)6、(十三)17、(十四)22、(十五)24、(二十二)22、(二十三)23、(二十九)28、(三十)13の合計</t>
        </r>
      </text>
    </comment>
    <comment ref="D3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別表六(九)20、(十一)11、(十二)6、(十三)17、(十四)22、(十五)24、(十八)19、(十九)18、(二十)39、(二十二)22、(二十三)23、(二十四)24、(二十五)21、(二十七)16、(二十八)22、(二十九)28、(三十)13の合計</t>
        </r>
      </text>
    </comment>
    <comment ref="D3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別表十七(三の十二)「1」</t>
        </r>
      </text>
    </comment>
    <comment ref="D3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法人税法施行令139条の10第1項
損金算入される額のみ</t>
        </r>
      </text>
    </comment>
    <comment ref="D4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期末資本金又は出資金</t>
        </r>
      </text>
    </comment>
    <comment ref="D4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別表五(一)の該当欄
利益積立金額がマイナスの場合は負数可</t>
        </r>
      </text>
    </comment>
    <comment ref="D4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適格合併等</t>
        </r>
      </text>
    </comment>
    <comment ref="D4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適格分割型分割等</t>
        </r>
      </text>
    </comment>
    <comment ref="D4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別表四「48の①」
別表四の所得金額又は欠損金額を符号付きで転記（欠損は負数可）</t>
        </r>
      </text>
    </comment>
    <comment ref="D4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別表四「38」
譲渡損失額はマイナス入力可</t>
        </r>
      </text>
    </comment>
    <comment ref="D4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別表八(一)「13」又は「26」から連結法人間配当等を除いた額</t>
        </r>
      </text>
    </comment>
    <comment ref="D4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別表八(二)「26」＋別表十七(三の七)「27の計」</t>
        </r>
      </text>
    </comment>
    <comment ref="D5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別表四「16」</t>
        </r>
      </text>
    </comment>
    <comment ref="D5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別表四「19」＋益金不算入附帯税（利子税を除く。）</t>
        </r>
      </text>
    </comment>
    <comment ref="D5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別表七の当該年版様式列挙額</t>
        </r>
      </text>
    </comment>
    <comment ref="D5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別表四「26」</t>
        </r>
      </text>
    </comment>
    <comment ref="D5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別表四「37」</t>
        </r>
      </text>
    </comment>
    <comment ref="D5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別表八(三)「13」の合計額</t>
        </r>
      </text>
    </comment>
    <comment ref="D5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別表十(三)「43」</t>
        </r>
      </text>
    </comment>
    <comment ref="D5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別表十(四)「20」</t>
        </r>
      </text>
    </comment>
    <comment ref="D58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別表十(四)「21」又は「23」</t>
        </r>
      </text>
    </comment>
    <comment ref="D5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別表十(一)「9」又は「13」</t>
        </r>
      </text>
    </comment>
    <comment ref="D6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別表十(二)「8」</t>
        </r>
      </text>
    </comment>
    <comment ref="D6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別表十(五)「22+37+42+47+52」</t>
        </r>
      </text>
    </comment>
    <comment ref="D6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別表十(六)「11」</t>
        </r>
      </text>
    </comment>
    <comment ref="D6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別表十(六)「13」</t>
        </r>
      </text>
    </comment>
    <comment ref="D6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別表十(七)「22」</t>
        </r>
      </text>
    </comment>
    <comment ref="D6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別表十七(二の三)「10」</t>
        </r>
      </text>
    </comment>
    <comment ref="D66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別表十七の様式列挙額（当該年版）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jplawdb4</author>
  </authors>
  <commentList>
    <comment ref="G10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法人税基本通達16-1-8(2)の短期事業年度における1億円相当額の端数判定。</t>
        </r>
      </text>
    </comment>
  </commentList>
</comments>
</file>

<file path=xl/sharedStrings.xml><?xml version="1.0" encoding="utf-8"?>
<sst xmlns="http://schemas.openxmlformats.org/spreadsheetml/2006/main" count="510" uniqueCount="383">
  <si>
    <t>特定同族会社の留保金課税 - 入力（令和2年版）</t>
  </si>
  <si>
    <t>黄色セルだけを入力してください。青色セルと国税庁様式帳票は自動計算・自動転記です。</t>
  </si>
  <si>
    <t>法人名</t>
  </si>
  <si>
    <t>事業年度開始日</t>
  </si>
  <si>
    <t>事業年度終了日</t>
  </si>
  <si>
    <t>事業年度月数（自動）</t>
  </si>
  <si>
    <t>中小企業者等該当性（住民税計算用）</t>
  </si>
  <si>
    <t>通算法人</t>
  </si>
  <si>
    <t>別表二の判定結果：特定同族会社</t>
  </si>
  <si>
    <t>基本情報</t>
    <phoneticPr fontId="2"/>
  </si>
  <si>
    <t>年度版チェック</t>
  </si>
  <si>
    <t>事業年度が対象範囲内</t>
  </si>
  <si>
    <t>住民税率</t>
  </si>
  <si>
    <t>特定寄附金控除率</t>
  </si>
  <si>
    <t>令和2年4月1日から令和3年3月31日までに終了する事業年度の年次版</t>
  </si>
  <si>
    <t>別表三(一)・住民税額計算の入力</t>
  </si>
  <si>
    <t>入力ID</t>
  </si>
  <si>
    <t>転記元</t>
  </si>
  <si>
    <t>内容</t>
  </si>
  <si>
    <t>入力額</t>
  </si>
  <si>
    <t>備考</t>
  </si>
  <si>
    <t>m9_base</t>
  </si>
  <si>
    <t>別表四「48の②」</t>
  </si>
  <si>
    <t>留保所得金額（主表9）の基礎額</t>
  </si>
  <si>
    <t>別表四の留保所得金額又は欠損金額を符号付きで転記（欠損は負数可）</t>
  </si>
  <si>
    <t>m9_extra</t>
  </si>
  <si>
    <t>別表十(六)「12」</t>
  </si>
  <si>
    <t>留保所得金額（主表9）に含める記載要領上の追加額</t>
  </si>
  <si>
    <t>該当がなければ0</t>
  </si>
  <si>
    <t>m9_inner</t>
  </si>
  <si>
    <t>別表四「17」</t>
  </si>
  <si>
    <t>留保所得金額（主表9）の内書額</t>
  </si>
  <si>
    <t>当期留保金額で主表9から減算</t>
  </si>
  <si>
    <t>prev_div</t>
  </si>
  <si>
    <t>前期の別表三(一)「11」</t>
  </si>
  <si>
    <t>前期末配当等の額</t>
  </si>
  <si>
    <t>curr_div</t>
  </si>
  <si>
    <t>法人税法67条4項</t>
  </si>
  <si>
    <t>当期末配当等の額</t>
  </si>
  <si>
    <t>m16</t>
  </si>
  <si>
    <t>連結法人間配当等</t>
  </si>
  <si>
    <t>主表16：当期支払額</t>
  </si>
  <si>
    <t>m17</t>
  </si>
  <si>
    <t>主表17：当期受取額</t>
  </si>
  <si>
    <t>m18</t>
  </si>
  <si>
    <t>旧付表「18」</t>
  </si>
  <si>
    <t>主表18：他法人株式等の帳簿価額から減算される金額</t>
  </si>
  <si>
    <t>b1_2</t>
  </si>
  <si>
    <t>別表一「2」</t>
  </si>
  <si>
    <t>主表12・住民税計算用：別表一「2」</t>
  </si>
  <si>
    <t>b1_4</t>
  </si>
  <si>
    <t>別表一「4」</t>
  </si>
  <si>
    <t>主表12・住民税計算用：別表一「4」</t>
  </si>
  <si>
    <t>b1_5</t>
  </si>
  <si>
    <t>別表一「5」</t>
  </si>
  <si>
    <t>主表12・住民税計算用：別表一「5」</t>
  </si>
  <si>
    <t>b1_7</t>
  </si>
  <si>
    <t>別表一「7」</t>
  </si>
  <si>
    <t>主表12・住民税計算用：別表一「7」</t>
  </si>
  <si>
    <t>b1_10out</t>
  </si>
  <si>
    <t>別表一「10の外書」</t>
  </si>
  <si>
    <t>主表12・住民税計算用：別表一「10の外書」</t>
  </si>
  <si>
    <t>b1_12</t>
  </si>
  <si>
    <t>別表一「12」</t>
  </si>
  <si>
    <t>主表12・住民税計算用：別表一「12」</t>
  </si>
  <si>
    <t>b1_18</t>
  </si>
  <si>
    <t>別表一「18」</t>
  </si>
  <si>
    <t>主表12・住民税計算用：別表一「18」</t>
  </si>
  <si>
    <t>b1_19</t>
  </si>
  <si>
    <t>別表一「19」</t>
  </si>
  <si>
    <t>主表12・住民税計算用：別表一「19」</t>
  </si>
  <si>
    <t>b1_36</t>
  </si>
  <si>
    <t>別表一「36」</t>
  </si>
  <si>
    <t>主表12・住民税計算用：別表一「36」</t>
  </si>
  <si>
    <t>b1_40</t>
  </si>
  <si>
    <t>別表一「40」</t>
  </si>
  <si>
    <t>主表12・住民税計算用：別表一「40」</t>
  </si>
  <si>
    <t>b1_41</t>
  </si>
  <si>
    <t>別表一「41」</t>
  </si>
  <si>
    <t>主表12・住民税計算用：別表一「41」</t>
  </si>
  <si>
    <t>b6_5_2_5_3</t>
  </si>
  <si>
    <t>別表六(五の二)「5の③」</t>
  </si>
  <si>
    <t>主表12の分配時調整外国税相当額</t>
  </si>
  <si>
    <t>m22_credits</t>
  </si>
  <si>
    <t>別表六(十二)6、(十三)17、(十四)22、(十五)24、(二十二)22、(二十三)23、(二十九)28、(三十)13の合計</t>
  </si>
  <si>
    <t>主表22で差し引く税額控除等の合計</t>
  </si>
  <si>
    <t>m23_credits</t>
  </si>
  <si>
    <t>別表六(九)20、(十一)11、(十二)6、(十三)17、(十四)22、(十五)24、(十八)19、(十九)18、(二十)39、(二十二)22、(二十三)23、(二十四)24、(二十五)21、(二十七)16、(二十八)22、(二十九)28、(三十)13の合計</t>
  </si>
  <si>
    <t>主表23で差し引く税額控除等の合計</t>
  </si>
  <si>
    <t>m14_foreign</t>
  </si>
  <si>
    <t>別表十七(三の十二)「1」</t>
  </si>
  <si>
    <t>主表14：外国関係会社等に係る控除対象所得税額等相当額</t>
  </si>
  <si>
    <t>specific_donation_total</t>
  </si>
  <si>
    <t>法人税法施行令139条の10第1項</t>
  </si>
  <si>
    <t>主表の特定寄附金控除額の基礎となる合計額</t>
  </si>
  <si>
    <t>損金算入される額のみ</t>
  </si>
  <si>
    <t>留保控除額（付表・付表一）の入力</t>
  </si>
  <si>
    <t>f1_capital</t>
  </si>
  <si>
    <t>期末資本金又は出資金</t>
  </si>
  <si>
    <t>付表1欄：期末資本金の額又は出資金の額</t>
  </si>
  <si>
    <t>f1_opening_profit</t>
  </si>
  <si>
    <t>別表五(一)の該当欄</t>
  </si>
  <si>
    <t>期首利益積立金額の基礎額（主表10控除前）</t>
  </si>
  <si>
    <t>利益積立金額がマイナスの場合は負数可</t>
  </si>
  <si>
    <t>f1_merger_inc</t>
  </si>
  <si>
    <t>適格合併等</t>
  </si>
  <si>
    <t>適格合併等により増加した利益積立金額</t>
  </si>
  <si>
    <t>f1_split_dec</t>
  </si>
  <si>
    <t>適格分割型分割等</t>
  </si>
  <si>
    <t>適格分割型分割等により減少した利益積立金額</t>
  </si>
  <si>
    <t>f1_09</t>
  </si>
  <si>
    <t>別表四「48の①」</t>
  </si>
  <si>
    <t>付表の9欄：所得金額</t>
  </si>
  <si>
    <t>別表四の所得金額又は欠損金額を符号付きで転記（欠損は負数可）</t>
  </si>
  <si>
    <t>f1_10</t>
  </si>
  <si>
    <t>別表四「38」</t>
  </si>
  <si>
    <t>付表の10欄：非適格合併による移転資産等の譲渡利益額又は譲渡損失額</t>
  </si>
  <si>
    <t>譲渡損失額はマイナス入力可</t>
  </si>
  <si>
    <t>f1_11</t>
  </si>
  <si>
    <t>別表八(一)「13」又は「26」から連結法人間配当等を除いた額</t>
  </si>
  <si>
    <t>付表の11欄：受取配当等の益金不算入額</t>
  </si>
  <si>
    <t>f1_12</t>
  </si>
  <si>
    <t>別表八(二)「26」＋別表十七(三の七)「27の計」</t>
  </si>
  <si>
    <t>付表の12欄：外国子会社等から受ける剰余金の配当等の益金不算入額</t>
  </si>
  <si>
    <t>f1_13</t>
  </si>
  <si>
    <t>別表四「16」</t>
  </si>
  <si>
    <t>付表の13欄：受贈益の益金不算入額</t>
  </si>
  <si>
    <t>f1_14</t>
  </si>
  <si>
    <t>別表四「19」＋益金不算入附帯税（利子税を除く。）</t>
  </si>
  <si>
    <t>付表の14欄：法人税額の還付金等</t>
  </si>
  <si>
    <t>f1_15</t>
  </si>
  <si>
    <t>別表七の当該年版様式列挙額</t>
  </si>
  <si>
    <t>付表の15欄：欠損金又は災害損失金等の当期控除額</t>
  </si>
  <si>
    <t>f1_16</t>
  </si>
  <si>
    <t>別表四「26」</t>
  </si>
  <si>
    <t>付表の16欄：被合併法人等の最終事業年度の欠損金の損金算入額</t>
  </si>
  <si>
    <t>f1_17</t>
  </si>
  <si>
    <t>別表四「37」</t>
  </si>
  <si>
    <t>付表の17欄：災害損失欠損金額の益金算入額</t>
  </si>
  <si>
    <t>f1_18</t>
  </si>
  <si>
    <t>別表八(三)「13」の合計額</t>
  </si>
  <si>
    <t>付表の18欄：他法人株式等の帳簿価額から減算される金額</t>
  </si>
  <si>
    <t>f1_19</t>
  </si>
  <si>
    <t>別表十(三)「43」</t>
  </si>
  <si>
    <t>付表の19欄：新鉱床探鉱費又は海外新鉱床探鉱費の特別控除額</t>
  </si>
  <si>
    <t>f1_20</t>
  </si>
  <si>
    <t>別表十(四)「20」</t>
  </si>
  <si>
    <t>付表の20欄：日本船舶による収入金額に係る所得の損金算入額</t>
  </si>
  <si>
    <t>f1_21</t>
  </si>
  <si>
    <t>別表十(四)「21」又は「23」</t>
  </si>
  <si>
    <t>付表の21欄：日本船舶による収入金額に係る所得の益金算入額</t>
  </si>
  <si>
    <t>f1_22</t>
  </si>
  <si>
    <t>別表十(一)「9」又は「13」</t>
  </si>
  <si>
    <t>付表の22欄：沖縄の認定法人の所得の特別控除額</t>
  </si>
  <si>
    <t>f1_23</t>
  </si>
  <si>
    <t>別表十(二)「8」</t>
  </si>
  <si>
    <t>付表の23欄：国家戦略特別区域の指定法人の所得の特別控除額</t>
  </si>
  <si>
    <t>f1_24</t>
  </si>
  <si>
    <t>別表十(五)「22+37+42+47+52」</t>
  </si>
  <si>
    <t>付表の24欄：収用等の場合等の所得の特別控除額</t>
  </si>
  <si>
    <t>f1_25</t>
  </si>
  <si>
    <t>別表十(六)「11」</t>
  </si>
  <si>
    <t>付表の25欄：特別新事業開拓事業者関係の特別勘定繰入額</t>
  </si>
  <si>
    <t>f1_26</t>
  </si>
  <si>
    <t>別表十(六)「13」</t>
  </si>
  <si>
    <t>付表の26欄：特別新事業開拓事業者関係の特別勘定取崩額</t>
  </si>
  <si>
    <t>f1_27</t>
  </si>
  <si>
    <t>別表十(七)「22」</t>
  </si>
  <si>
    <t>付表の27欄：肉用牛の売却に係る所得の特別控除額</t>
  </si>
  <si>
    <t>f1_28</t>
  </si>
  <si>
    <t>別表十七(二の三)「10」</t>
  </si>
  <si>
    <t>付表の28欄：超過利子額の損金算入額</t>
  </si>
  <si>
    <t>f1_29</t>
  </si>
  <si>
    <t>別表十七の様式列挙額（当該年版）</t>
  </si>
  <si>
    <t>付表の29欄：課税対象金額等の益金算入額</t>
  </si>
  <si>
    <t>別表三(一) - 留保金額に対する税額の計算</t>
  </si>
  <si>
    <t>令和2年版 国税庁様式。青色セルは自動計算、黄色セルは入力シートで入力します。</t>
  </si>
  <si>
    <t>番号</t>
  </si>
  <si>
    <t>項目</t>
  </si>
  <si>
    <t>計算式・転記元</t>
  </si>
  <si>
    <t>金額</t>
  </si>
  <si>
    <t>注記</t>
  </si>
  <si>
    <t>年3,000万円相当額以下の金額</t>
  </si>
  <si>
    <t>MIN((21),3,000万円×月数/12)</t>
  </si>
  <si>
    <t>1,000円単位</t>
  </si>
  <si>
    <t>年3,000万円相当額超・年1億円相当額以下</t>
  </si>
  <si>
    <t>基本通達16-1-8(2)の端数判定</t>
  </si>
  <si>
    <t>特殊な切上げ・切捨て</t>
  </si>
  <si>
    <t>年1億円相当額を超える金額</t>
  </si>
  <si>
    <t>(21)-(1)-(2)</t>
  </si>
  <si>
    <t>課税留保金額 計</t>
  </si>
  <si>
    <t>(1)+(2)+(3)</t>
  </si>
  <si>
    <t>主表(21)と一致</t>
  </si>
  <si>
    <t>(1)の10％相当額</t>
  </si>
  <si>
    <t>(1)×10％</t>
  </si>
  <si>
    <t/>
  </si>
  <si>
    <t>(2)の15％相当額</t>
  </si>
  <si>
    <t>(2)×15％</t>
  </si>
  <si>
    <t>(3)の20％相当額</t>
  </si>
  <si>
    <t>(3)×20％</t>
  </si>
  <si>
    <t>留保金額に対する税額 計</t>
  </si>
  <si>
    <t>(5)+(6)+(7)</t>
  </si>
  <si>
    <t>別表一へ転記</t>
  </si>
  <si>
    <t>留保所得金額</t>
  </si>
  <si>
    <t>別表四48②＋記載要領上の追加額</t>
  </si>
  <si>
    <t>内書額は別入力</t>
  </si>
  <si>
    <t>前期の主表11</t>
  </si>
  <si>
    <t>法人税額及び地方法人税額の合計額</t>
  </si>
  <si>
    <t>R2公式様式算式</t>
  </si>
  <si>
    <t>マイナスは0</t>
  </si>
  <si>
    <t>住民税額</t>
  </si>
  <si>
    <t>主表28</t>
  </si>
  <si>
    <t>外国関係会社等に係る控除対象所得税額等相当額</t>
  </si>
  <si>
    <t>法人税額等の合計額</t>
  </si>
  <si>
    <t>MAX((12)+(13)-(14),0)</t>
  </si>
  <si>
    <t>連結法人間配当等の当期支払額</t>
  </si>
  <si>
    <t>入力値</t>
  </si>
  <si>
    <t>連結法人間配当等の当期受取額</t>
  </si>
  <si>
    <t>他法人株式等の帳簿価額から減算される金額</t>
  </si>
  <si>
    <t>旧付表18</t>
  </si>
  <si>
    <t>当期留保金額</t>
  </si>
  <si>
    <t>(9)-9内書+(10)-(11)-(15)+(16)-(17)-(18)</t>
  </si>
  <si>
    <t>留保控除額</t>
  </si>
  <si>
    <t>付表32</t>
  </si>
  <si>
    <t>課税留保金額</t>
  </si>
  <si>
    <t>MAX((19)-(20),0)、1,000円未満切捨て</t>
  </si>
  <si>
    <t>基本通達16-1-8(1)</t>
  </si>
  <si>
    <t>住民税計算の基礎となる法人税額（中小企業者等以外）</t>
  </si>
  <si>
    <t>R2様式列挙額</t>
  </si>
  <si>
    <t>住民税計算の基礎となる法人税額（中小企業者等）</t>
  </si>
  <si>
    <t>選択した(22)又は(23)×適用率</t>
  </si>
  <si>
    <t>特定寄附金の額の合計額に係る控除額</t>
  </si>
  <si>
    <t>特定寄附金合計×適用率</t>
  </si>
  <si>
    <t>調整地方税額に係る控除額</t>
  </si>
  <si>
    <t>((24)+(別表一12+18)×適用率)×20％</t>
  </si>
  <si>
    <t>住民税額から控除される金額</t>
  </si>
  <si>
    <t>(25)又は(26)の少ない金額</t>
  </si>
  <si>
    <t>(24)-(27)</t>
  </si>
  <si>
    <t>主表13へ</t>
  </si>
  <si>
    <t>別表三(一)付表 - 留保控除額の計算</t>
  </si>
  <si>
    <t>期末資本金の額又は出資金の額</t>
  </si>
  <si>
    <t>同上の25％相当額</t>
  </si>
  <si>
    <t>(1)×25％</t>
  </si>
  <si>
    <t>1円未満切捨て</t>
  </si>
  <si>
    <t>期首利益積立金額</t>
  </si>
  <si>
    <t>別表五(一)該当欄－主表(10)</t>
  </si>
  <si>
    <t>期末利益積立金額</t>
  </si>
  <si>
    <t>(3)+(4)-(5)</t>
  </si>
  <si>
    <t>積立金基準額</t>
  </si>
  <si>
    <t>MAX((2)-(6),0)</t>
  </si>
  <si>
    <t>負数は0。期末利益積立金額が負ならその正数分だけ増加</t>
  </si>
  <si>
    <t>定額基準額</t>
  </si>
  <si>
    <t>2,000万円×当期月数/12</t>
  </si>
  <si>
    <t>所得金額</t>
  </si>
  <si>
    <t>非適格合併による移転資産等の譲渡利益額又は譲渡損失額</t>
  </si>
  <si>
    <t>受取配当等の益金不算入額</t>
  </si>
  <si>
    <t>外国子会社等から受ける剰余金の配当等の益金不算入額</t>
  </si>
  <si>
    <t>受贈益の益金不算入額</t>
  </si>
  <si>
    <t>法人税額の還付金等</t>
  </si>
  <si>
    <t>欠損金又は災害損失金等の当期控除額</t>
  </si>
  <si>
    <t>被合併法人等の最終事業年度の欠損金の損金算入額</t>
  </si>
  <si>
    <t>災害損失欠損金額の益金算入額</t>
  </si>
  <si>
    <t>新鉱床探鉱費又は海外新鉱床探鉱費の特別控除額</t>
  </si>
  <si>
    <t>日本船舶による収入金額に係る所得の損金算入額</t>
  </si>
  <si>
    <t>日本船舶による収入金額に係る所得の益金算入額</t>
  </si>
  <si>
    <t>沖縄の認定法人の所得の特別控除額</t>
  </si>
  <si>
    <t>国家戦略特別区域の指定法人の所得の特別控除額</t>
  </si>
  <si>
    <t>収用等の場合等の所得の特別控除額</t>
  </si>
  <si>
    <t>特別新事業開拓事業者関係の特別勘定繰入額</t>
  </si>
  <si>
    <t>特別新事業開拓事業者関係の特別勘定取崩額</t>
  </si>
  <si>
    <t>肉用牛の売却に係る所得の特別控除額</t>
  </si>
  <si>
    <t>超過利子額の損金算入額</t>
  </si>
  <si>
    <t>課税対象金額等の益金算入額</t>
  </si>
  <si>
    <t>所得等の金額</t>
  </si>
  <si>
    <t>(9)-(10)+(11)+(12)+(13)+(14)+(15)+(16)-(17)-(18)+(19)+(20)-(21)+(22)+(23)+(24)+(25)-(26)+(27)+(28)-(29)</t>
  </si>
  <si>
    <t>所得基準額</t>
  </si>
  <si>
    <t>(30)×40％</t>
  </si>
  <si>
    <t>(7)、(8)、(31)のいずれか多い金額</t>
  </si>
  <si>
    <t>主表20へ</t>
  </si>
  <si>
    <t>端数処理ヘルパー</t>
  </si>
  <si>
    <t>値</t>
  </si>
  <si>
    <t>課税留保金額（切捨前）</t>
  </si>
  <si>
    <t>主表(21)で切り捨てた端数</t>
  </si>
  <si>
    <t>年1億円相当額（生額）</t>
  </si>
  <si>
    <t>主表(2)の丸め前金額</t>
  </si>
  <si>
    <t>主表(2)の1,000円未満端数</t>
  </si>
  <si>
    <t>主表(2)の丸め後金額</t>
  </si>
  <si>
    <t>特定同族会社の留保金課税 計算シート（令和2年版）</t>
  </si>
  <si>
    <t>令和2年4月1日から令和3年3月31日までに終了する事業年度の年次版／国税庁の当該年公式別表を背景として再現</t>
  </si>
  <si>
    <t>最終結果</t>
  </si>
  <si>
    <t>留保金額に対する税額（別表三(一)「8」）</t>
  </si>
  <si>
    <t>課税留保金額（同「21」）</t>
  </si>
  <si>
    <t>留保控除額（別表三(一)付表「32」）</t>
  </si>
  <si>
    <t>住民税額（別表三(一)「28」）</t>
  </si>
  <si>
    <t>適用・入力チェック</t>
  </si>
  <si>
    <t>年度版の適用期間</t>
  </si>
  <si>
    <t>特定同族会社の判定</t>
  </si>
  <si>
    <t>通算法人付表二</t>
  </si>
  <si>
    <t>事業年度月数</t>
  </si>
  <si>
    <t>操作手順</t>
  </si>
  <si>
    <t>1. 「入力」シートの黄色セルへ、各別表から円単位で入力します。負数を許容する4項目は備考・コメントに明記しています。</t>
  </si>
  <si>
    <t>2. 青色の計算シートで主表・付表の算式と転記元を確認します。</t>
  </si>
  <si>
    <t>3. 緑色タブの国税庁様式に自動転記された金額を確認し、申告用データと突合します。</t>
  </si>
  <si>
    <t>4. このブックは計算補助です。提出前に最新の法令・記載要領・電子申告仕様を必ず確認してください。</t>
  </si>
  <si>
    <t>シート移動</t>
  </si>
  <si>
    <t>入力</t>
  </si>
  <si>
    <t>主表計算</t>
  </si>
  <si>
    <t>付表_計算</t>
  </si>
  <si>
    <t>公式様式</t>
  </si>
  <si>
    <t>検算</t>
  </si>
  <si>
    <t>根拠・出典</t>
  </si>
  <si>
    <t>令和2年版 根拠・出典・ファイル同一性</t>
  </si>
  <si>
    <t>種別</t>
  </si>
  <si>
    <t>資料名</t>
  </si>
  <si>
    <t>URL</t>
  </si>
  <si>
    <t>SHA-256</t>
  </si>
  <si>
    <t>用途</t>
  </si>
  <si>
    <t>国税庁</t>
  </si>
  <si>
    <t>令和2年 法人税各種別表一覧</t>
  </si>
  <si>
    <t>https://www.nta.go.jp/taxes/tetsuzuki/shinsei/annai/hojin/shinkoku/itiran2020/01.htm</t>
  </si>
  <si>
    <t>年度版・適用様式の確認</t>
  </si>
  <si>
    <t>別表三(一) 公式様式</t>
  </si>
  <si>
    <t>https://www.nta.go.jp/taxes/tetsuzuki/shinsei/annai/hojin/shinkoku/itiran2020/pdf/03%2801%29.pdf</t>
  </si>
  <si>
    <t>BFD6CD11760CF8910AFCB658C1FEF03654CD4090CF99B88E97CB29099A3926E7</t>
  </si>
  <si>
    <t>公式様式・算式・記載要領</t>
  </si>
  <si>
    <t>別表三(一) 記載要領</t>
  </si>
  <si>
    <t>https://www.nta.go.jp/publication/pamph/hojin/tebiki2020/pdf/03-03.pdf</t>
  </si>
  <si>
    <t>BB2DBBCFFAEBC62C84A97DE6E14F727AE44A465EF9410236A31316672F67C75B</t>
  </si>
  <si>
    <t>別表三(一)付表（付表一）公式様式</t>
  </si>
  <si>
    <t>https://www.nta.go.jp/taxes/tetsuzuki/shinsei/annai/hojin/shinkoku/itiran2020/pdf/03%2801%29-f.pdf</t>
  </si>
  <si>
    <t>E3881BA685CB6E87DA21DAF09CE7BDF62951669D23EAD91091DFA9551A52F6D9</t>
  </si>
  <si>
    <t>別表三(一)付表（付表一）記載要領</t>
  </si>
  <si>
    <t>https://www.nta.go.jp/publication/pamph/hojin/tebiki2020/pdf/03-04.pdf</t>
  </si>
  <si>
    <t>5F29B4899B1218D6EDA9109CB77C6DAA24511906BC935D9D3E9A6BDA7C2FE144</t>
  </si>
  <si>
    <t>法人税基本通達16-1-8</t>
  </si>
  <si>
    <t>https://www.nta.go.jp/law/tsutatsu/kihon/hojin/16/16_01_02.htm</t>
  </si>
  <si>
    <t>課税留保金額の1,000円端数処理</t>
  </si>
  <si>
    <t>e-Gov</t>
  </si>
  <si>
    <t>法人税法67条</t>
  </si>
  <si>
    <t>https://laws.e-gov.go.jp/law/340AC0000000034#Mp-At_67</t>
  </si>
  <si>
    <t>特定同族会社の特別税率・留保控除</t>
  </si>
  <si>
    <t>国税通則法10条</t>
  </si>
  <si>
    <t>https://laws.e-gov.go.jp/law/337AC0000000066#Mp-At_10</t>
  </si>
  <si>
    <t>暦による月数計算</t>
  </si>
  <si>
    <t>計算</t>
  </si>
  <si>
    <t>端数処理：法人税基本通達16-1-8。月数：法人税法67条7項・国税通則法10条。留保控除：積立金・定額・所得の三基準の最大額。</t>
  </si>
  <si>
    <t>いいえ</t>
    <phoneticPr fontId="2"/>
  </si>
  <si>
    <t>該当</t>
    <phoneticPr fontId="2"/>
  </si>
  <si>
    <t>はい</t>
    <phoneticPr fontId="2"/>
  </si>
  <si>
    <t>令和2年版 組込検算・構造QA</t>
  </si>
  <si>
    <t>テスト</t>
  </si>
  <si>
    <t>期待値</t>
  </si>
  <si>
    <t>実測値</t>
  </si>
  <si>
    <t>結果</t>
  </si>
  <si>
    <t>12か月・3段階税率</t>
  </si>
  <si>
    <t>課税留保180,000,000 / 税額29,500,000</t>
  </si>
  <si>
    <t>180,000,000 / 29,500,000</t>
  </si>
  <si>
    <t>PASS</t>
  </si>
  <si>
    <t>5か月・通達端数切上げ</t>
  </si>
  <si>
    <t>(2)=29,167,000</t>
  </si>
  <si>
    <t>5か月・通達端数切捨て</t>
  </si>
  <si>
    <t>(2)=29,166,000</t>
  </si>
  <si>
    <t>月数・平年月末</t>
  </si>
  <si>
    <t>月数=1</t>
  </si>
  <si>
    <t>月数・閏年月末</t>
  </si>
  <si>
    <t>月数・応当日前日</t>
  </si>
  <si>
    <t>月数・1か月と1日</t>
  </si>
  <si>
    <t>月数=2</t>
  </si>
  <si>
    <t>入力規則・符号分類</t>
  </si>
  <si>
    <t>資本金の負数を拒否／利益積立金の負数を受理</t>
  </si>
  <si>
    <t>資本金拒否=True／利益積立金受理=True</t>
  </si>
  <si>
    <t>R2税率・旧率</t>
  </si>
  <si>
    <t>住民税16.3% / 寄附20%</t>
  </si>
  <si>
    <t>16.3% / 20%</t>
  </si>
  <si>
    <t>R2税率・新率</t>
  </si>
  <si>
    <t>住民税10.4% / 寄附40%</t>
  </si>
  <si>
    <t>10.4% / 40%</t>
  </si>
  <si>
    <t>構造検査</t>
  </si>
  <si>
    <t>数式エラー</t>
  </si>
  <si>
    <t>主表行数</t>
  </si>
  <si>
    <t>付表行数</t>
  </si>
  <si>
    <t>付表二行数</t>
  </si>
  <si>
    <t>年度版適用期間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</si>
</sst>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9" formatCode="yyyy/mm/dd"/>
    <numFmt numFmtId="180" formatCode="[=0]&quot;OK&quot;;[=0]&quot;要確認&quot;"/>
    <numFmt numFmtId="181" formatCode="0.0%"/>
    <numFmt numFmtId="182" formatCode="#,##0;\-#,##0;0"/>
    <numFmt numFmtId="183" formatCode="#,##0&quot; 円&quot;"/>
  </numFmts>
  <fonts count="14">
    <font>
      <sz val="11"/>
      <color theme="1"/>
      <name val="游ゴシック"/>
      <family val="2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6"/>
      <color rgb="FFFFFFFF"/>
      <name val="Yu Gothic"/>
      <family val="3"/>
      <charset val="128"/>
    </font>
    <font>
      <sz val="11"/>
      <color theme="1"/>
      <name val="Yu Gothic"/>
      <family val="3"/>
      <charset val="128"/>
    </font>
    <font>
      <sz val="11"/>
      <color rgb="FF595959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11"/>
      <color theme="1"/>
      <name val="Yu 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8"/>
      <color rgb="FFFFFFFF"/>
      <name val="Yu Gothic"/>
      <family val="3"/>
      <charset val="128"/>
    </font>
    <font>
      <u/>
      <sz val="11"/>
      <color rgb="FF2F75B5"/>
      <name val="Yu Gothic"/>
      <family val="3"/>
      <charset val="128"/>
    </font>
    <font>
      <b/>
      <sz val="11"/>
      <color rgb="FF548235"/>
      <name val="Yu Gothic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4FB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80" fontId="5" fillId="0" borderId="1" xfId="0" applyNumberFormat="1" applyFont="1" applyBorder="1" applyAlignment="1">
      <alignment vertical="center"/>
    </xf>
    <xf numFmtId="181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8" fillId="6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" fontId="5" fillId="4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182" fontId="5" fillId="4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182" fontId="9" fillId="7" borderId="1" xfId="0" applyNumberFormat="1" applyFont="1" applyFill="1" applyBorder="1" applyAlignment="1">
      <alignment horizontal="right" vertical="center"/>
    </xf>
    <xf numFmtId="0" fontId="11" fillId="2" borderId="0" xfId="0" applyFont="1" applyFill="1">
      <alignment vertical="center"/>
    </xf>
    <xf numFmtId="0" fontId="9" fillId="8" borderId="0" xfId="0" applyFont="1" applyFill="1">
      <alignment vertical="center"/>
    </xf>
    <xf numFmtId="183" fontId="9" fillId="7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 wrapText="1"/>
    </xf>
    <xf numFmtId="0" fontId="12" fillId="0" borderId="0" xfId="1" applyFont="1">
      <alignment vertical="center"/>
    </xf>
    <xf numFmtId="0" fontId="12" fillId="0" borderId="1" xfId="1" applyFont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vertical="center" wrapText="1"/>
    </xf>
    <xf numFmtId="182" fontId="5" fillId="3" borderId="1" xfId="0" applyNumberFormat="1" applyFont="1" applyFill="1" applyBorder="1" applyAlignment="1" applyProtection="1">
      <alignment horizontal="right" vertical="center"/>
      <protection locked="0"/>
    </xf>
    <xf numFmtId="49" fontId="5" fillId="3" borderId="1" xfId="0" applyNumberFormat="1" applyFont="1" applyFill="1" applyBorder="1" applyAlignment="1" applyProtection="1">
      <alignment horizontal="right" vertical="center"/>
      <protection locked="0"/>
    </xf>
    <xf numFmtId="179" fontId="5" fillId="3" borderId="1" xfId="0" applyNumberFormat="1" applyFont="1" applyFill="1" applyBorder="1" applyAlignment="1" applyProtection="1">
      <alignment horizontal="right" vertical="center"/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0</xdr:colOff>
      <xdr:row>3</xdr:row>
      <xdr:rowOff>13716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F94BA158-E992-979C-08A0-B1ECD2EDA3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9336"/>
        </a:xfrm>
        <a:prstGeom prst="rect">
          <a:avLst/>
        </a:prstGeom>
      </xdr:spPr>
    </xdr:pic>
    <xdr:clientData/>
  </xdr:twoCellAnchor>
  <xdr:twoCellAnchor editAs="absolute">
    <xdr:from>
      <xdr:col>6</xdr:col>
      <xdr:colOff>414401</xdr:colOff>
      <xdr:row>0</xdr:row>
      <xdr:rowOff>452628</xdr:rowOff>
    </xdr:from>
    <xdr:to>
      <xdr:col>8</xdr:col>
      <xdr:colOff>381</xdr:colOff>
      <xdr:row>0</xdr:row>
      <xdr:rowOff>871728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D698C2F8-20A1-9172-F602-EF6E171A47E1}"/>
            </a:ext>
          </a:extLst>
        </xdr:cNvPr>
        <xdr:cNvSpPr txBox="1"/>
      </xdr:nvSpPr>
      <xdr:spPr>
        <a:xfrm>
          <a:off x="4209161" y="452628"/>
          <a:ext cx="850900" cy="4191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8BA99C04-4518-4280-80FA-93F67F85D804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2020.4.1
2021.3.31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475742</xdr:colOff>
      <xdr:row>0</xdr:row>
      <xdr:rowOff>452628</xdr:rowOff>
    </xdr:from>
    <xdr:to>
      <xdr:col>10</xdr:col>
      <xdr:colOff>493522</xdr:colOff>
      <xdr:row>0</xdr:row>
      <xdr:rowOff>871728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CFDF6671-1828-E3AC-BFAC-3AB8794B3185}"/>
            </a:ext>
          </a:extLst>
        </xdr:cNvPr>
        <xdr:cNvSpPr txBox="1"/>
      </xdr:nvSpPr>
      <xdr:spPr>
        <a:xfrm>
          <a:off x="5535422" y="452628"/>
          <a:ext cx="1282700" cy="419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22C4F6AA-13A0-4522-9080-63634EF6DC61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0</xdr:row>
      <xdr:rowOff>1279398</xdr:rowOff>
    </xdr:from>
    <xdr:to>
      <xdr:col>5</xdr:col>
      <xdr:colOff>342011</xdr:colOff>
      <xdr:row>0</xdr:row>
      <xdr:rowOff>1685798</xdr:rowOff>
    </xdr:to>
    <xdr:sp macro="" textlink="印字値!$A$5">
      <xdr:nvSpPr>
        <xdr:cNvPr id="6" name="主表01">
          <a:extLst>
            <a:ext uri="{FF2B5EF4-FFF2-40B4-BE49-F238E27FC236}">
              <a16:creationId xmlns:a16="http://schemas.microsoft.com/office/drawing/2014/main" id="{BC314D66-3580-C312-E2C8-8F572932F46A}"/>
            </a:ext>
          </a:extLst>
        </xdr:cNvPr>
        <xdr:cNvSpPr txBox="1"/>
      </xdr:nvSpPr>
      <xdr:spPr>
        <a:xfrm>
          <a:off x="3085211" y="1279398"/>
          <a:ext cx="4191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1F2AE67-DAAF-48EB-BA25-D196683A8AD8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0</xdr:row>
      <xdr:rowOff>1797558</xdr:rowOff>
    </xdr:from>
    <xdr:to>
      <xdr:col>5</xdr:col>
      <xdr:colOff>342011</xdr:colOff>
      <xdr:row>0</xdr:row>
      <xdr:rowOff>2203958</xdr:rowOff>
    </xdr:to>
    <xdr:sp macro="" textlink="印字値!$A$6">
      <xdr:nvSpPr>
        <xdr:cNvPr id="7" name="主表02">
          <a:extLst>
            <a:ext uri="{FF2B5EF4-FFF2-40B4-BE49-F238E27FC236}">
              <a16:creationId xmlns:a16="http://schemas.microsoft.com/office/drawing/2014/main" id="{44411657-3E31-BA59-98CE-93C5B2B87B6D}"/>
            </a:ext>
          </a:extLst>
        </xdr:cNvPr>
        <xdr:cNvSpPr txBox="1"/>
      </xdr:nvSpPr>
      <xdr:spPr>
        <a:xfrm>
          <a:off x="3085211" y="1797558"/>
          <a:ext cx="4191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ACA8A72-AE6F-49E2-9D93-A4E476CFE22E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0</xdr:row>
      <xdr:rowOff>2315972</xdr:rowOff>
    </xdr:from>
    <xdr:to>
      <xdr:col>5</xdr:col>
      <xdr:colOff>342011</xdr:colOff>
      <xdr:row>0</xdr:row>
      <xdr:rowOff>2722372</xdr:rowOff>
    </xdr:to>
    <xdr:sp macro="" textlink="印字値!$A$7">
      <xdr:nvSpPr>
        <xdr:cNvPr id="8" name="主表03">
          <a:extLst>
            <a:ext uri="{FF2B5EF4-FFF2-40B4-BE49-F238E27FC236}">
              <a16:creationId xmlns:a16="http://schemas.microsoft.com/office/drawing/2014/main" id="{2533BF4E-F702-0C8C-546F-15DEB0EFC663}"/>
            </a:ext>
          </a:extLst>
        </xdr:cNvPr>
        <xdr:cNvSpPr txBox="1"/>
      </xdr:nvSpPr>
      <xdr:spPr>
        <a:xfrm>
          <a:off x="3085211" y="2315972"/>
          <a:ext cx="4191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28A9980-1E4E-405E-B6CF-7AB5F211FEC7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0</xdr:row>
      <xdr:rowOff>2834132</xdr:rowOff>
    </xdr:from>
    <xdr:to>
      <xdr:col>5</xdr:col>
      <xdr:colOff>342011</xdr:colOff>
      <xdr:row>0</xdr:row>
      <xdr:rowOff>3240532</xdr:rowOff>
    </xdr:to>
    <xdr:sp macro="" textlink="印字値!$A$8">
      <xdr:nvSpPr>
        <xdr:cNvPr id="9" name="主表04">
          <a:extLst>
            <a:ext uri="{FF2B5EF4-FFF2-40B4-BE49-F238E27FC236}">
              <a16:creationId xmlns:a16="http://schemas.microsoft.com/office/drawing/2014/main" id="{9DFC9B25-CDDE-44FC-1CCE-24D6A05DF72A}"/>
            </a:ext>
          </a:extLst>
        </xdr:cNvPr>
        <xdr:cNvSpPr txBox="1"/>
      </xdr:nvSpPr>
      <xdr:spPr>
        <a:xfrm>
          <a:off x="3085211" y="2834132"/>
          <a:ext cx="4191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7C2063C-7B48-4C24-AFD3-7A7E8482B21F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0</xdr:row>
      <xdr:rowOff>1279398</xdr:rowOff>
    </xdr:from>
    <xdr:to>
      <xdr:col>10</xdr:col>
      <xdr:colOff>464566</xdr:colOff>
      <xdr:row>0</xdr:row>
      <xdr:rowOff>1685798</xdr:rowOff>
    </xdr:to>
    <xdr:sp macro="" textlink="印字値!$A$9">
      <xdr:nvSpPr>
        <xdr:cNvPr id="10" name="主表05">
          <a:extLst>
            <a:ext uri="{FF2B5EF4-FFF2-40B4-BE49-F238E27FC236}">
              <a16:creationId xmlns:a16="http://schemas.microsoft.com/office/drawing/2014/main" id="{207529EC-45D4-25C2-7E4E-4C676CAF49BC}"/>
            </a:ext>
          </a:extLst>
        </xdr:cNvPr>
        <xdr:cNvSpPr txBox="1"/>
      </xdr:nvSpPr>
      <xdr:spPr>
        <a:xfrm>
          <a:off x="6179566" y="1279398"/>
          <a:ext cx="6096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FF8BB6E-B50F-447D-9977-AD687E8A9FE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0</xdr:row>
      <xdr:rowOff>1797558</xdr:rowOff>
    </xdr:from>
    <xdr:to>
      <xdr:col>10</xdr:col>
      <xdr:colOff>464566</xdr:colOff>
      <xdr:row>0</xdr:row>
      <xdr:rowOff>2203958</xdr:rowOff>
    </xdr:to>
    <xdr:sp macro="" textlink="印字値!$A$10">
      <xdr:nvSpPr>
        <xdr:cNvPr id="11" name="主表06">
          <a:extLst>
            <a:ext uri="{FF2B5EF4-FFF2-40B4-BE49-F238E27FC236}">
              <a16:creationId xmlns:a16="http://schemas.microsoft.com/office/drawing/2014/main" id="{AA564F97-93C8-0312-DAA1-111C4B2B976F}"/>
            </a:ext>
          </a:extLst>
        </xdr:cNvPr>
        <xdr:cNvSpPr txBox="1"/>
      </xdr:nvSpPr>
      <xdr:spPr>
        <a:xfrm>
          <a:off x="6179566" y="1797558"/>
          <a:ext cx="6096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BB2A660-4A05-410F-8284-4D3EBE3E830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0</xdr:row>
      <xdr:rowOff>2315972</xdr:rowOff>
    </xdr:from>
    <xdr:to>
      <xdr:col>10</xdr:col>
      <xdr:colOff>464566</xdr:colOff>
      <xdr:row>0</xdr:row>
      <xdr:rowOff>2722372</xdr:rowOff>
    </xdr:to>
    <xdr:sp macro="" textlink="印字値!$A$11">
      <xdr:nvSpPr>
        <xdr:cNvPr id="12" name="主表07">
          <a:extLst>
            <a:ext uri="{FF2B5EF4-FFF2-40B4-BE49-F238E27FC236}">
              <a16:creationId xmlns:a16="http://schemas.microsoft.com/office/drawing/2014/main" id="{F90252F4-425E-B714-57C9-27809684F9FF}"/>
            </a:ext>
          </a:extLst>
        </xdr:cNvPr>
        <xdr:cNvSpPr txBox="1"/>
      </xdr:nvSpPr>
      <xdr:spPr>
        <a:xfrm>
          <a:off x="6179566" y="2315972"/>
          <a:ext cx="6096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DA31B99-65FF-4BF8-91F5-8EF1D3EAE27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0</xdr:row>
      <xdr:rowOff>2834132</xdr:rowOff>
    </xdr:from>
    <xdr:to>
      <xdr:col>10</xdr:col>
      <xdr:colOff>464566</xdr:colOff>
      <xdr:row>0</xdr:row>
      <xdr:rowOff>3240532</xdr:rowOff>
    </xdr:to>
    <xdr:sp macro="" textlink="印字値!$A$12">
      <xdr:nvSpPr>
        <xdr:cNvPr id="13" name="主表08">
          <a:extLst>
            <a:ext uri="{FF2B5EF4-FFF2-40B4-BE49-F238E27FC236}">
              <a16:creationId xmlns:a16="http://schemas.microsoft.com/office/drawing/2014/main" id="{D1A2F7CC-1963-87DF-B43E-33B0EAA65E27}"/>
            </a:ext>
          </a:extLst>
        </xdr:cNvPr>
        <xdr:cNvSpPr txBox="1"/>
      </xdr:nvSpPr>
      <xdr:spPr>
        <a:xfrm>
          <a:off x="6179566" y="2834132"/>
          <a:ext cx="6096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F2B1960-577E-4699-841E-2E696C1B712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0</xdr:row>
      <xdr:rowOff>3522980</xdr:rowOff>
    </xdr:from>
    <xdr:to>
      <xdr:col>5</xdr:col>
      <xdr:colOff>545211</xdr:colOff>
      <xdr:row>1</xdr:row>
      <xdr:rowOff>269240</xdr:rowOff>
    </xdr:to>
    <xdr:sp macro="" textlink="印字値!$A$13">
      <xdr:nvSpPr>
        <xdr:cNvPr id="14" name="主表09">
          <a:extLst>
            <a:ext uri="{FF2B5EF4-FFF2-40B4-BE49-F238E27FC236}">
              <a16:creationId xmlns:a16="http://schemas.microsoft.com/office/drawing/2014/main" id="{12D3D0C3-8410-CC76-10CF-B86814A64828}"/>
            </a:ext>
          </a:extLst>
        </xdr:cNvPr>
        <xdr:cNvSpPr txBox="1"/>
      </xdr:nvSpPr>
      <xdr:spPr>
        <a:xfrm>
          <a:off x="3085211" y="3522980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9F6BD55-3489-4E1F-8FB6-F1514D44DF5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1</xdr:row>
      <xdr:rowOff>379349</xdr:rowOff>
    </xdr:from>
    <xdr:to>
      <xdr:col>5</xdr:col>
      <xdr:colOff>545211</xdr:colOff>
      <xdr:row>1</xdr:row>
      <xdr:rowOff>684149</xdr:rowOff>
    </xdr:to>
    <xdr:sp macro="" textlink="印字値!$A$14">
      <xdr:nvSpPr>
        <xdr:cNvPr id="15" name="主表10">
          <a:extLst>
            <a:ext uri="{FF2B5EF4-FFF2-40B4-BE49-F238E27FC236}">
              <a16:creationId xmlns:a16="http://schemas.microsoft.com/office/drawing/2014/main" id="{57523700-6EE2-63D2-54A4-B889A79C5C96}"/>
            </a:ext>
          </a:extLst>
        </xdr:cNvPr>
        <xdr:cNvSpPr txBox="1"/>
      </xdr:nvSpPr>
      <xdr:spPr>
        <a:xfrm>
          <a:off x="3085211" y="3937889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4A06BBD-C51E-4F3B-92DC-D595F6FDD22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1</xdr:row>
      <xdr:rowOff>793877</xdr:rowOff>
    </xdr:from>
    <xdr:to>
      <xdr:col>5</xdr:col>
      <xdr:colOff>545211</xdr:colOff>
      <xdr:row>1</xdr:row>
      <xdr:rowOff>1098677</xdr:rowOff>
    </xdr:to>
    <xdr:sp macro="" textlink="印字値!$A$15">
      <xdr:nvSpPr>
        <xdr:cNvPr id="16" name="主表11">
          <a:extLst>
            <a:ext uri="{FF2B5EF4-FFF2-40B4-BE49-F238E27FC236}">
              <a16:creationId xmlns:a16="http://schemas.microsoft.com/office/drawing/2014/main" id="{D13897E3-9C23-63C2-95FB-572604DA6972}"/>
            </a:ext>
          </a:extLst>
        </xdr:cNvPr>
        <xdr:cNvSpPr txBox="1"/>
      </xdr:nvSpPr>
      <xdr:spPr>
        <a:xfrm>
          <a:off x="3085211" y="4352417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12B949B-1CC5-4014-B2F9-9DD8A1EDC6D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1</xdr:row>
      <xdr:rowOff>1208405</xdr:rowOff>
    </xdr:from>
    <xdr:to>
      <xdr:col>5</xdr:col>
      <xdr:colOff>545211</xdr:colOff>
      <xdr:row>1</xdr:row>
      <xdr:rowOff>1932305</xdr:rowOff>
    </xdr:to>
    <xdr:sp macro="" textlink="印字値!$A$16">
      <xdr:nvSpPr>
        <xdr:cNvPr id="17" name="主表12">
          <a:extLst>
            <a:ext uri="{FF2B5EF4-FFF2-40B4-BE49-F238E27FC236}">
              <a16:creationId xmlns:a16="http://schemas.microsoft.com/office/drawing/2014/main" id="{43E81AA6-1251-A20A-539C-BA5444FABB0E}"/>
            </a:ext>
          </a:extLst>
        </xdr:cNvPr>
        <xdr:cNvSpPr txBox="1"/>
      </xdr:nvSpPr>
      <xdr:spPr>
        <a:xfrm>
          <a:off x="3085211" y="4766945"/>
          <a:ext cx="622300" cy="723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7C32853-CCAC-43D3-8C9F-09CBEB8FD59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1</xdr:row>
      <xdr:rowOff>2037461</xdr:rowOff>
    </xdr:from>
    <xdr:to>
      <xdr:col>5</xdr:col>
      <xdr:colOff>545211</xdr:colOff>
      <xdr:row>1</xdr:row>
      <xdr:rowOff>2240661</xdr:rowOff>
    </xdr:to>
    <xdr:sp macro="" textlink="印字値!$A$17">
      <xdr:nvSpPr>
        <xdr:cNvPr id="18" name="主表13">
          <a:extLst>
            <a:ext uri="{FF2B5EF4-FFF2-40B4-BE49-F238E27FC236}">
              <a16:creationId xmlns:a16="http://schemas.microsoft.com/office/drawing/2014/main" id="{19FE76D6-0A9D-8744-E036-84092292F481}"/>
            </a:ext>
          </a:extLst>
        </xdr:cNvPr>
        <xdr:cNvSpPr txBox="1"/>
      </xdr:nvSpPr>
      <xdr:spPr>
        <a:xfrm>
          <a:off x="3085211" y="5596001"/>
          <a:ext cx="6223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12F236C-309E-4E93-B90B-602A4FEF59A1}" type="TxLink">
            <a:rPr kumimoji="1" lang="en-US" altLang="en-US" sz="56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6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1</xdr:row>
      <xdr:rowOff>2348611</xdr:rowOff>
    </xdr:from>
    <xdr:to>
      <xdr:col>5</xdr:col>
      <xdr:colOff>545211</xdr:colOff>
      <xdr:row>1</xdr:row>
      <xdr:rowOff>2653411</xdr:rowOff>
    </xdr:to>
    <xdr:sp macro="" textlink="印字値!$A$18">
      <xdr:nvSpPr>
        <xdr:cNvPr id="19" name="主表14">
          <a:extLst>
            <a:ext uri="{FF2B5EF4-FFF2-40B4-BE49-F238E27FC236}">
              <a16:creationId xmlns:a16="http://schemas.microsoft.com/office/drawing/2014/main" id="{DC840E81-4A00-7AB3-C0F4-70DCA3C5C986}"/>
            </a:ext>
          </a:extLst>
        </xdr:cNvPr>
        <xdr:cNvSpPr txBox="1"/>
      </xdr:nvSpPr>
      <xdr:spPr>
        <a:xfrm>
          <a:off x="3085211" y="5907151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599D209-F746-4FE8-AA42-62B6C3F4A26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1</xdr:row>
      <xdr:rowOff>2763139</xdr:rowOff>
    </xdr:from>
    <xdr:to>
      <xdr:col>5</xdr:col>
      <xdr:colOff>545211</xdr:colOff>
      <xdr:row>1</xdr:row>
      <xdr:rowOff>3169539</xdr:rowOff>
    </xdr:to>
    <xdr:sp macro="" textlink="印字値!$A$19">
      <xdr:nvSpPr>
        <xdr:cNvPr id="20" name="主表15">
          <a:extLst>
            <a:ext uri="{FF2B5EF4-FFF2-40B4-BE49-F238E27FC236}">
              <a16:creationId xmlns:a16="http://schemas.microsoft.com/office/drawing/2014/main" id="{9D28A877-AAD3-7DD6-061F-2AA69FADBD84}"/>
            </a:ext>
          </a:extLst>
        </xdr:cNvPr>
        <xdr:cNvSpPr txBox="1"/>
      </xdr:nvSpPr>
      <xdr:spPr>
        <a:xfrm>
          <a:off x="3085211" y="6321679"/>
          <a:ext cx="6223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06B9773-90B8-4F22-BCCA-45879989F14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1</xdr:row>
      <xdr:rowOff>3281299</xdr:rowOff>
    </xdr:from>
    <xdr:to>
      <xdr:col>5</xdr:col>
      <xdr:colOff>545211</xdr:colOff>
      <xdr:row>2</xdr:row>
      <xdr:rowOff>27559</xdr:rowOff>
    </xdr:to>
    <xdr:sp macro="" textlink="印字値!$A$20">
      <xdr:nvSpPr>
        <xdr:cNvPr id="21" name="主表16">
          <a:extLst>
            <a:ext uri="{FF2B5EF4-FFF2-40B4-BE49-F238E27FC236}">
              <a16:creationId xmlns:a16="http://schemas.microsoft.com/office/drawing/2014/main" id="{77D2D166-F51A-C001-F159-33FF66465698}"/>
            </a:ext>
          </a:extLst>
        </xdr:cNvPr>
        <xdr:cNvSpPr txBox="1"/>
      </xdr:nvSpPr>
      <xdr:spPr>
        <a:xfrm>
          <a:off x="3085211" y="6839839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CA89AC3-BA4B-415D-B369-1407DF99E2E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2</xdr:row>
      <xdr:rowOff>137287</xdr:rowOff>
    </xdr:from>
    <xdr:to>
      <xdr:col>5</xdr:col>
      <xdr:colOff>545211</xdr:colOff>
      <xdr:row>2</xdr:row>
      <xdr:rowOff>442087</xdr:rowOff>
    </xdr:to>
    <xdr:sp macro="" textlink="印字値!$A$21">
      <xdr:nvSpPr>
        <xdr:cNvPr id="22" name="主表17">
          <a:extLst>
            <a:ext uri="{FF2B5EF4-FFF2-40B4-BE49-F238E27FC236}">
              <a16:creationId xmlns:a16="http://schemas.microsoft.com/office/drawing/2014/main" id="{32B1A929-D0F2-A587-3544-1E3EAD244081}"/>
            </a:ext>
          </a:extLst>
        </xdr:cNvPr>
        <xdr:cNvSpPr txBox="1"/>
      </xdr:nvSpPr>
      <xdr:spPr>
        <a:xfrm>
          <a:off x="3085211" y="7254367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14C840E-3818-4849-9689-41FB9F023E2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2</xdr:row>
      <xdr:rowOff>552196</xdr:rowOff>
    </xdr:from>
    <xdr:to>
      <xdr:col>5</xdr:col>
      <xdr:colOff>545211</xdr:colOff>
      <xdr:row>2</xdr:row>
      <xdr:rowOff>856996</xdr:rowOff>
    </xdr:to>
    <xdr:sp macro="" textlink="印字値!$A$22">
      <xdr:nvSpPr>
        <xdr:cNvPr id="23" name="主表18">
          <a:extLst>
            <a:ext uri="{FF2B5EF4-FFF2-40B4-BE49-F238E27FC236}">
              <a16:creationId xmlns:a16="http://schemas.microsoft.com/office/drawing/2014/main" id="{5DAFC5D9-504A-B320-17AE-ABF10A378A6F}"/>
            </a:ext>
          </a:extLst>
        </xdr:cNvPr>
        <xdr:cNvSpPr txBox="1"/>
      </xdr:nvSpPr>
      <xdr:spPr>
        <a:xfrm>
          <a:off x="3085211" y="7669276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B4220BF-29BC-46F5-B515-FCF95120A4F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2</xdr:row>
      <xdr:rowOff>966724</xdr:rowOff>
    </xdr:from>
    <xdr:to>
      <xdr:col>5</xdr:col>
      <xdr:colOff>545211</xdr:colOff>
      <xdr:row>2</xdr:row>
      <xdr:rowOff>1271524</xdr:rowOff>
    </xdr:to>
    <xdr:sp macro="" textlink="印字値!$A$23">
      <xdr:nvSpPr>
        <xdr:cNvPr id="24" name="主表19">
          <a:extLst>
            <a:ext uri="{FF2B5EF4-FFF2-40B4-BE49-F238E27FC236}">
              <a16:creationId xmlns:a16="http://schemas.microsoft.com/office/drawing/2014/main" id="{61AE49AD-968C-9606-7D24-ADFC0F53AC90}"/>
            </a:ext>
          </a:extLst>
        </xdr:cNvPr>
        <xdr:cNvSpPr txBox="1"/>
      </xdr:nvSpPr>
      <xdr:spPr>
        <a:xfrm>
          <a:off x="3085211" y="8083804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66C0B58-FEEF-45BE-B655-0844CFFAC81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2</xdr:row>
      <xdr:rowOff>1381252</xdr:rowOff>
    </xdr:from>
    <xdr:to>
      <xdr:col>5</xdr:col>
      <xdr:colOff>545211</xdr:colOff>
      <xdr:row>2</xdr:row>
      <xdr:rowOff>1686052</xdr:rowOff>
    </xdr:to>
    <xdr:sp macro="" textlink="印字値!$A$24">
      <xdr:nvSpPr>
        <xdr:cNvPr id="25" name="主表20">
          <a:extLst>
            <a:ext uri="{FF2B5EF4-FFF2-40B4-BE49-F238E27FC236}">
              <a16:creationId xmlns:a16="http://schemas.microsoft.com/office/drawing/2014/main" id="{F85DA7E6-6B48-3865-B288-4DC8807C672D}"/>
            </a:ext>
          </a:extLst>
        </xdr:cNvPr>
        <xdr:cNvSpPr txBox="1"/>
      </xdr:nvSpPr>
      <xdr:spPr>
        <a:xfrm>
          <a:off x="3085211" y="8498332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C091B84-E846-4879-B765-9FDD08A8041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20,000,000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2</xdr:row>
      <xdr:rowOff>1795780</xdr:rowOff>
    </xdr:from>
    <xdr:to>
      <xdr:col>5</xdr:col>
      <xdr:colOff>342011</xdr:colOff>
      <xdr:row>2</xdr:row>
      <xdr:rowOff>2100580</xdr:rowOff>
    </xdr:to>
    <xdr:sp macro="" textlink="印字値!$A$25">
      <xdr:nvSpPr>
        <xdr:cNvPr id="26" name="主表21">
          <a:extLst>
            <a:ext uri="{FF2B5EF4-FFF2-40B4-BE49-F238E27FC236}">
              <a16:creationId xmlns:a16="http://schemas.microsoft.com/office/drawing/2014/main" id="{DE2E032F-D2AA-3351-440C-362F0B4688E4}"/>
            </a:ext>
          </a:extLst>
        </xdr:cNvPr>
        <xdr:cNvSpPr txBox="1"/>
      </xdr:nvSpPr>
      <xdr:spPr>
        <a:xfrm>
          <a:off x="3085211" y="8912860"/>
          <a:ext cx="4191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431CDDB-6285-4F8F-B27A-CA606E749FDE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0</xdr:row>
      <xdr:rowOff>3522980</xdr:rowOff>
    </xdr:from>
    <xdr:to>
      <xdr:col>10</xdr:col>
      <xdr:colOff>464566</xdr:colOff>
      <xdr:row>1</xdr:row>
      <xdr:rowOff>789940</xdr:rowOff>
    </xdr:to>
    <xdr:sp macro="" textlink="印字値!$A$26">
      <xdr:nvSpPr>
        <xdr:cNvPr id="27" name="主表22">
          <a:extLst>
            <a:ext uri="{FF2B5EF4-FFF2-40B4-BE49-F238E27FC236}">
              <a16:creationId xmlns:a16="http://schemas.microsoft.com/office/drawing/2014/main" id="{D093878C-1ED9-C3E6-A192-AEC3D3474D9E}"/>
            </a:ext>
          </a:extLst>
        </xdr:cNvPr>
        <xdr:cNvSpPr txBox="1"/>
      </xdr:nvSpPr>
      <xdr:spPr>
        <a:xfrm>
          <a:off x="6179566" y="3522980"/>
          <a:ext cx="609600" cy="825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A3DCFB3-EE46-4152-A7C6-BBFAD656F4E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1</xdr:row>
      <xdr:rowOff>897509</xdr:rowOff>
    </xdr:from>
    <xdr:to>
      <xdr:col>10</xdr:col>
      <xdr:colOff>464566</xdr:colOff>
      <xdr:row>1</xdr:row>
      <xdr:rowOff>2142109</xdr:rowOff>
    </xdr:to>
    <xdr:sp macro="" textlink="印字値!$A$27">
      <xdr:nvSpPr>
        <xdr:cNvPr id="28" name="主表23">
          <a:extLst>
            <a:ext uri="{FF2B5EF4-FFF2-40B4-BE49-F238E27FC236}">
              <a16:creationId xmlns:a16="http://schemas.microsoft.com/office/drawing/2014/main" id="{8B6BF321-243B-4E45-225A-B513389397AE}"/>
            </a:ext>
          </a:extLst>
        </xdr:cNvPr>
        <xdr:cNvSpPr txBox="1"/>
      </xdr:nvSpPr>
      <xdr:spPr>
        <a:xfrm>
          <a:off x="6179566" y="4456049"/>
          <a:ext cx="609600" cy="1244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2C6287C-CCAE-469C-B13C-882DF58B1F0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1</xdr:row>
      <xdr:rowOff>2244979</xdr:rowOff>
    </xdr:from>
    <xdr:to>
      <xdr:col>10</xdr:col>
      <xdr:colOff>464566</xdr:colOff>
      <xdr:row>1</xdr:row>
      <xdr:rowOff>2867279</xdr:rowOff>
    </xdr:to>
    <xdr:sp macro="" textlink="印字値!$A$28">
      <xdr:nvSpPr>
        <xdr:cNvPr id="29" name="主表24">
          <a:extLst>
            <a:ext uri="{FF2B5EF4-FFF2-40B4-BE49-F238E27FC236}">
              <a16:creationId xmlns:a16="http://schemas.microsoft.com/office/drawing/2014/main" id="{969D45A8-3C82-C5C8-138B-642DC88F387F}"/>
            </a:ext>
          </a:extLst>
        </xdr:cNvPr>
        <xdr:cNvSpPr txBox="1"/>
      </xdr:nvSpPr>
      <xdr:spPr>
        <a:xfrm>
          <a:off x="6179566" y="5803519"/>
          <a:ext cx="609600" cy="622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95C2716-22E4-4B68-B339-1F3482E7D73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1</xdr:row>
      <xdr:rowOff>2970403</xdr:rowOff>
    </xdr:from>
    <xdr:to>
      <xdr:col>10</xdr:col>
      <xdr:colOff>464566</xdr:colOff>
      <xdr:row>2</xdr:row>
      <xdr:rowOff>34163</xdr:rowOff>
    </xdr:to>
    <xdr:sp macro="" textlink="印字値!$A$29">
      <xdr:nvSpPr>
        <xdr:cNvPr id="30" name="主表25">
          <a:extLst>
            <a:ext uri="{FF2B5EF4-FFF2-40B4-BE49-F238E27FC236}">
              <a16:creationId xmlns:a16="http://schemas.microsoft.com/office/drawing/2014/main" id="{A90B5C10-11EB-635E-740C-A3B0C3DACB0D}"/>
            </a:ext>
          </a:extLst>
        </xdr:cNvPr>
        <xdr:cNvSpPr txBox="1"/>
      </xdr:nvSpPr>
      <xdr:spPr>
        <a:xfrm>
          <a:off x="6179566" y="6528943"/>
          <a:ext cx="609600" cy="622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6C0AEFB-8776-42C5-90A9-30B73D7A1CF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2</xdr:row>
      <xdr:rowOff>137287</xdr:rowOff>
    </xdr:from>
    <xdr:to>
      <xdr:col>10</xdr:col>
      <xdr:colOff>464566</xdr:colOff>
      <xdr:row>2</xdr:row>
      <xdr:rowOff>759587</xdr:rowOff>
    </xdr:to>
    <xdr:sp macro="" textlink="印字値!$A$30">
      <xdr:nvSpPr>
        <xdr:cNvPr id="31" name="主表26">
          <a:extLst>
            <a:ext uri="{FF2B5EF4-FFF2-40B4-BE49-F238E27FC236}">
              <a16:creationId xmlns:a16="http://schemas.microsoft.com/office/drawing/2014/main" id="{5335A16D-9EAF-C5C5-F9A1-A4E514B66F8E}"/>
            </a:ext>
          </a:extLst>
        </xdr:cNvPr>
        <xdr:cNvSpPr txBox="1"/>
      </xdr:nvSpPr>
      <xdr:spPr>
        <a:xfrm>
          <a:off x="6179566" y="7254367"/>
          <a:ext cx="609600" cy="622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8DEB0B3-0B57-41BE-936F-6136F1DFB7C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2</xdr:row>
      <xdr:rowOff>863092</xdr:rowOff>
    </xdr:from>
    <xdr:to>
      <xdr:col>10</xdr:col>
      <xdr:colOff>464566</xdr:colOff>
      <xdr:row>2</xdr:row>
      <xdr:rowOff>1485392</xdr:rowOff>
    </xdr:to>
    <xdr:sp macro="" textlink="印字値!$A$31">
      <xdr:nvSpPr>
        <xdr:cNvPr id="32" name="主表27">
          <a:extLst>
            <a:ext uri="{FF2B5EF4-FFF2-40B4-BE49-F238E27FC236}">
              <a16:creationId xmlns:a16="http://schemas.microsoft.com/office/drawing/2014/main" id="{BBEBC6C1-027D-0333-B81B-8778C55CD984}"/>
            </a:ext>
          </a:extLst>
        </xdr:cNvPr>
        <xdr:cNvSpPr txBox="1"/>
      </xdr:nvSpPr>
      <xdr:spPr>
        <a:xfrm>
          <a:off x="6179566" y="7980172"/>
          <a:ext cx="609600" cy="622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2777119-7E4C-472B-92E9-AE44570C287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487426</xdr:colOff>
      <xdr:row>2</xdr:row>
      <xdr:rowOff>1588516</xdr:rowOff>
    </xdr:from>
    <xdr:to>
      <xdr:col>10</xdr:col>
      <xdr:colOff>464566</xdr:colOff>
      <xdr:row>2</xdr:row>
      <xdr:rowOff>2096516</xdr:rowOff>
    </xdr:to>
    <xdr:sp macro="" textlink="印字値!$A$32">
      <xdr:nvSpPr>
        <xdr:cNvPr id="33" name="主表28">
          <a:extLst>
            <a:ext uri="{FF2B5EF4-FFF2-40B4-BE49-F238E27FC236}">
              <a16:creationId xmlns:a16="http://schemas.microsoft.com/office/drawing/2014/main" id="{0FA52560-F66F-4283-AE80-1B10D44635DF}"/>
            </a:ext>
          </a:extLst>
        </xdr:cNvPr>
        <xdr:cNvSpPr txBox="1"/>
      </xdr:nvSpPr>
      <xdr:spPr>
        <a:xfrm>
          <a:off x="6179566" y="8705596"/>
          <a:ext cx="609600" cy="50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88C4623-4DDF-44DB-87F0-49758E1E059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555371</xdr:colOff>
      <xdr:row>0</xdr:row>
      <xdr:rowOff>3510280</xdr:rowOff>
    </xdr:from>
    <xdr:to>
      <xdr:col>5</xdr:col>
      <xdr:colOff>519811</xdr:colOff>
      <xdr:row>1</xdr:row>
      <xdr:rowOff>53340</xdr:rowOff>
    </xdr:to>
    <xdr:sp macro="" textlink="印字値!$B$5">
      <xdr:nvSpPr>
        <xdr:cNvPr id="34" name="主表09内書">
          <a:extLst>
            <a:ext uri="{FF2B5EF4-FFF2-40B4-BE49-F238E27FC236}">
              <a16:creationId xmlns:a16="http://schemas.microsoft.com/office/drawing/2014/main" id="{DFBBDAC8-D070-309F-600B-2FC7F160E995}"/>
            </a:ext>
          </a:extLst>
        </xdr:cNvPr>
        <xdr:cNvSpPr txBox="1"/>
      </xdr:nvSpPr>
      <xdr:spPr>
        <a:xfrm>
          <a:off x="3085211" y="3510280"/>
          <a:ext cx="596900" cy="101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rmAutofit/>
        </a:bodyPr>
        <a:lstStyle/>
        <a:p>
          <a:pPr algn="r"/>
          <a:fld id="{9038628C-B294-40D3-81A2-505D83CE7CE9}" type="TxLink">
            <a:rPr kumimoji="1" lang="en-US" altLang="en-US" sz="5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0</xdr:colOff>
      <xdr:row>3</xdr:row>
      <xdr:rowOff>13716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C351EF41-26B8-D64D-26E0-BCC532911C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9040" cy="10689336"/>
        </a:xfrm>
        <a:prstGeom prst="rect">
          <a:avLst/>
        </a:prstGeom>
      </xdr:spPr>
    </xdr:pic>
    <xdr:clientData/>
  </xdr:twoCellAnchor>
  <xdr:twoCellAnchor editAs="absolute">
    <xdr:from>
      <xdr:col>6</xdr:col>
      <xdr:colOff>464693</xdr:colOff>
      <xdr:row>0</xdr:row>
      <xdr:rowOff>460248</xdr:rowOff>
    </xdr:from>
    <xdr:to>
      <xdr:col>8</xdr:col>
      <xdr:colOff>50673</xdr:colOff>
      <xdr:row>0</xdr:row>
      <xdr:rowOff>892048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0596E15A-9F3C-80DF-6EBC-CF519FD51476}"/>
            </a:ext>
          </a:extLst>
        </xdr:cNvPr>
        <xdr:cNvSpPr txBox="1"/>
      </xdr:nvSpPr>
      <xdr:spPr>
        <a:xfrm>
          <a:off x="4259453" y="460248"/>
          <a:ext cx="850900" cy="4318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3B38C9E1-AB86-4555-9615-06B8AF96650F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2020.4.1
2021.3.31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526034</xdr:colOff>
      <xdr:row>0</xdr:row>
      <xdr:rowOff>460248</xdr:rowOff>
    </xdr:from>
    <xdr:to>
      <xdr:col>10</xdr:col>
      <xdr:colOff>454914</xdr:colOff>
      <xdr:row>0</xdr:row>
      <xdr:rowOff>892048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1B3C90CE-1166-0447-D49B-DD75333EA6B8}"/>
            </a:ext>
          </a:extLst>
        </xdr:cNvPr>
        <xdr:cNvSpPr txBox="1"/>
      </xdr:nvSpPr>
      <xdr:spPr>
        <a:xfrm>
          <a:off x="5585714" y="460248"/>
          <a:ext cx="1193800" cy="431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851DD6F9-63BE-4ED1-B3EF-DC0857A441FD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0</xdr:row>
      <xdr:rowOff>955421</xdr:rowOff>
    </xdr:from>
    <xdr:to>
      <xdr:col>5</xdr:col>
      <xdr:colOff>594995</xdr:colOff>
      <xdr:row>0</xdr:row>
      <xdr:rowOff>1336421</xdr:rowOff>
    </xdr:to>
    <xdr:sp macro="" textlink="印字値!$C$5">
      <xdr:nvSpPr>
        <xdr:cNvPr id="6" name="付表01">
          <a:extLst>
            <a:ext uri="{FF2B5EF4-FFF2-40B4-BE49-F238E27FC236}">
              <a16:creationId xmlns:a16="http://schemas.microsoft.com/office/drawing/2014/main" id="{7435AC48-178C-44C4-FBFF-7056D34369D7}"/>
            </a:ext>
          </a:extLst>
        </xdr:cNvPr>
        <xdr:cNvSpPr txBox="1"/>
      </xdr:nvSpPr>
      <xdr:spPr>
        <a:xfrm>
          <a:off x="3223895" y="955421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C4B2BDE-D207-46AC-BF75-B97828266A0D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0</xdr:row>
      <xdr:rowOff>1445514</xdr:rowOff>
    </xdr:from>
    <xdr:to>
      <xdr:col>5</xdr:col>
      <xdr:colOff>594995</xdr:colOff>
      <xdr:row>0</xdr:row>
      <xdr:rowOff>1826514</xdr:rowOff>
    </xdr:to>
    <xdr:sp macro="" textlink="印字値!$C$6">
      <xdr:nvSpPr>
        <xdr:cNvPr id="7" name="付表02">
          <a:extLst>
            <a:ext uri="{FF2B5EF4-FFF2-40B4-BE49-F238E27FC236}">
              <a16:creationId xmlns:a16="http://schemas.microsoft.com/office/drawing/2014/main" id="{08C4212A-5FB6-04BC-0811-02B7D79B9DCA}"/>
            </a:ext>
          </a:extLst>
        </xdr:cNvPr>
        <xdr:cNvSpPr txBox="1"/>
      </xdr:nvSpPr>
      <xdr:spPr>
        <a:xfrm>
          <a:off x="3223895" y="1445514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DE76D0A-28BE-4DA4-AAC2-249D245A9677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0</xdr:row>
      <xdr:rowOff>1927352</xdr:rowOff>
    </xdr:from>
    <xdr:to>
      <xdr:col>5</xdr:col>
      <xdr:colOff>594995</xdr:colOff>
      <xdr:row>0</xdr:row>
      <xdr:rowOff>2308352</xdr:rowOff>
    </xdr:to>
    <xdr:sp macro="" textlink="印字値!$C$7">
      <xdr:nvSpPr>
        <xdr:cNvPr id="8" name="付表03">
          <a:extLst>
            <a:ext uri="{FF2B5EF4-FFF2-40B4-BE49-F238E27FC236}">
              <a16:creationId xmlns:a16="http://schemas.microsoft.com/office/drawing/2014/main" id="{94EF21BE-0F9F-1697-9606-BA86D0ED828E}"/>
            </a:ext>
          </a:extLst>
        </xdr:cNvPr>
        <xdr:cNvSpPr txBox="1"/>
      </xdr:nvSpPr>
      <xdr:spPr>
        <a:xfrm>
          <a:off x="3223895" y="1927352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77B27FD-8B79-4A85-920C-0B51821C4ED2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0</xdr:row>
      <xdr:rowOff>2408936</xdr:rowOff>
    </xdr:from>
    <xdr:to>
      <xdr:col>5</xdr:col>
      <xdr:colOff>594995</xdr:colOff>
      <xdr:row>0</xdr:row>
      <xdr:rowOff>2789936</xdr:rowOff>
    </xdr:to>
    <xdr:sp macro="" textlink="印字値!$C$8">
      <xdr:nvSpPr>
        <xdr:cNvPr id="9" name="付表04">
          <a:extLst>
            <a:ext uri="{FF2B5EF4-FFF2-40B4-BE49-F238E27FC236}">
              <a16:creationId xmlns:a16="http://schemas.microsoft.com/office/drawing/2014/main" id="{8CAD4640-6EE1-DF87-C3AA-5C889991FC7B}"/>
            </a:ext>
          </a:extLst>
        </xdr:cNvPr>
        <xdr:cNvSpPr txBox="1"/>
      </xdr:nvSpPr>
      <xdr:spPr>
        <a:xfrm>
          <a:off x="3223895" y="2408936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42C1B18-9F66-4242-AE12-0E402461FE40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0</xdr:row>
      <xdr:rowOff>2890520</xdr:rowOff>
    </xdr:from>
    <xdr:to>
      <xdr:col>5</xdr:col>
      <xdr:colOff>594995</xdr:colOff>
      <xdr:row>0</xdr:row>
      <xdr:rowOff>3271520</xdr:rowOff>
    </xdr:to>
    <xdr:sp macro="" textlink="印字値!$C$9">
      <xdr:nvSpPr>
        <xdr:cNvPr id="10" name="付表05">
          <a:extLst>
            <a:ext uri="{FF2B5EF4-FFF2-40B4-BE49-F238E27FC236}">
              <a16:creationId xmlns:a16="http://schemas.microsoft.com/office/drawing/2014/main" id="{3C915567-8F34-9CFD-A042-A98861895086}"/>
            </a:ext>
          </a:extLst>
        </xdr:cNvPr>
        <xdr:cNvSpPr txBox="1"/>
      </xdr:nvSpPr>
      <xdr:spPr>
        <a:xfrm>
          <a:off x="3223895" y="2890520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151A3E7-3062-45C0-8A30-87A7B1E1FA2E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0</xdr:row>
      <xdr:rowOff>3372104</xdr:rowOff>
    </xdr:from>
    <xdr:to>
      <xdr:col>5</xdr:col>
      <xdr:colOff>594995</xdr:colOff>
      <xdr:row>1</xdr:row>
      <xdr:rowOff>194564</xdr:rowOff>
    </xdr:to>
    <xdr:sp macro="" textlink="印字値!$C$10">
      <xdr:nvSpPr>
        <xdr:cNvPr id="11" name="付表06">
          <a:extLst>
            <a:ext uri="{FF2B5EF4-FFF2-40B4-BE49-F238E27FC236}">
              <a16:creationId xmlns:a16="http://schemas.microsoft.com/office/drawing/2014/main" id="{C1A17693-1438-9C21-EEC6-2BA13B939CA8}"/>
            </a:ext>
          </a:extLst>
        </xdr:cNvPr>
        <xdr:cNvSpPr txBox="1"/>
      </xdr:nvSpPr>
      <xdr:spPr>
        <a:xfrm>
          <a:off x="3223895" y="3372104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FE444D8-5A20-4D28-9C50-A706F0920561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1</xdr:row>
      <xdr:rowOff>295529</xdr:rowOff>
    </xdr:from>
    <xdr:to>
      <xdr:col>5</xdr:col>
      <xdr:colOff>594995</xdr:colOff>
      <xdr:row>1</xdr:row>
      <xdr:rowOff>676529</xdr:rowOff>
    </xdr:to>
    <xdr:sp macro="" textlink="印字値!$C$11">
      <xdr:nvSpPr>
        <xdr:cNvPr id="12" name="付表07">
          <a:extLst>
            <a:ext uri="{FF2B5EF4-FFF2-40B4-BE49-F238E27FC236}">
              <a16:creationId xmlns:a16="http://schemas.microsoft.com/office/drawing/2014/main" id="{161AE236-485F-C133-F88D-AE321FF56F17}"/>
            </a:ext>
          </a:extLst>
        </xdr:cNvPr>
        <xdr:cNvSpPr txBox="1"/>
      </xdr:nvSpPr>
      <xdr:spPr>
        <a:xfrm>
          <a:off x="3223895" y="3854069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A2C12BE-1FF2-4E04-A783-9CD51380EFC1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1</xdr:row>
      <xdr:rowOff>777113</xdr:rowOff>
    </xdr:from>
    <xdr:to>
      <xdr:col>5</xdr:col>
      <xdr:colOff>594995</xdr:colOff>
      <xdr:row>1</xdr:row>
      <xdr:rowOff>1158113</xdr:rowOff>
    </xdr:to>
    <xdr:sp macro="" textlink="印字値!$C$12">
      <xdr:nvSpPr>
        <xdr:cNvPr id="13" name="付表08">
          <a:extLst>
            <a:ext uri="{FF2B5EF4-FFF2-40B4-BE49-F238E27FC236}">
              <a16:creationId xmlns:a16="http://schemas.microsoft.com/office/drawing/2014/main" id="{A4E25CF8-C24C-8D5A-D1EF-1313AB1826B7}"/>
            </a:ext>
          </a:extLst>
        </xdr:cNvPr>
        <xdr:cNvSpPr txBox="1"/>
      </xdr:nvSpPr>
      <xdr:spPr>
        <a:xfrm>
          <a:off x="3223895" y="4335653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9DB891D-C885-49FE-8665-E1BC927B0B48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20,000,000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1</xdr:row>
      <xdr:rowOff>1258697</xdr:rowOff>
    </xdr:from>
    <xdr:to>
      <xdr:col>5</xdr:col>
      <xdr:colOff>594995</xdr:colOff>
      <xdr:row>1</xdr:row>
      <xdr:rowOff>1639697</xdr:rowOff>
    </xdr:to>
    <xdr:sp macro="" textlink="印字値!$C$13">
      <xdr:nvSpPr>
        <xdr:cNvPr id="14" name="付表09">
          <a:extLst>
            <a:ext uri="{FF2B5EF4-FFF2-40B4-BE49-F238E27FC236}">
              <a16:creationId xmlns:a16="http://schemas.microsoft.com/office/drawing/2014/main" id="{5C934588-9CA2-7CC3-0A38-87F78D9C541F}"/>
            </a:ext>
          </a:extLst>
        </xdr:cNvPr>
        <xdr:cNvSpPr txBox="1"/>
      </xdr:nvSpPr>
      <xdr:spPr>
        <a:xfrm>
          <a:off x="3223895" y="4817237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6FC0C92-16EB-4C18-9D67-F8989D7BF952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1</xdr:row>
      <xdr:rowOff>1740281</xdr:rowOff>
    </xdr:from>
    <xdr:to>
      <xdr:col>5</xdr:col>
      <xdr:colOff>594995</xdr:colOff>
      <xdr:row>1</xdr:row>
      <xdr:rowOff>2121281</xdr:rowOff>
    </xdr:to>
    <xdr:sp macro="" textlink="印字値!$C$14">
      <xdr:nvSpPr>
        <xdr:cNvPr id="15" name="付表10">
          <a:extLst>
            <a:ext uri="{FF2B5EF4-FFF2-40B4-BE49-F238E27FC236}">
              <a16:creationId xmlns:a16="http://schemas.microsoft.com/office/drawing/2014/main" id="{0C28A764-0A54-3BFE-2B0E-A5CBB2A5B687}"/>
            </a:ext>
          </a:extLst>
        </xdr:cNvPr>
        <xdr:cNvSpPr txBox="1"/>
      </xdr:nvSpPr>
      <xdr:spPr>
        <a:xfrm>
          <a:off x="3223895" y="5298821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DD340DC-2F36-4F8F-BD61-0C4390F8E4BD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1</xdr:row>
      <xdr:rowOff>2222119</xdr:rowOff>
    </xdr:from>
    <xdr:to>
      <xdr:col>5</xdr:col>
      <xdr:colOff>594995</xdr:colOff>
      <xdr:row>1</xdr:row>
      <xdr:rowOff>2603119</xdr:rowOff>
    </xdr:to>
    <xdr:sp macro="" textlink="印字値!$C$15">
      <xdr:nvSpPr>
        <xdr:cNvPr id="16" name="付表11">
          <a:extLst>
            <a:ext uri="{FF2B5EF4-FFF2-40B4-BE49-F238E27FC236}">
              <a16:creationId xmlns:a16="http://schemas.microsoft.com/office/drawing/2014/main" id="{B3FD0AEF-B267-F030-F904-B67C1813F83F}"/>
            </a:ext>
          </a:extLst>
        </xdr:cNvPr>
        <xdr:cNvSpPr txBox="1"/>
      </xdr:nvSpPr>
      <xdr:spPr>
        <a:xfrm>
          <a:off x="3223895" y="5780659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84CB8BC-3449-4EC5-B9E0-31B9FC0F9805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1</xdr:row>
      <xdr:rowOff>2703703</xdr:rowOff>
    </xdr:from>
    <xdr:to>
      <xdr:col>5</xdr:col>
      <xdr:colOff>594995</xdr:colOff>
      <xdr:row>1</xdr:row>
      <xdr:rowOff>3084703</xdr:rowOff>
    </xdr:to>
    <xdr:sp macro="" textlink="印字値!$C$16">
      <xdr:nvSpPr>
        <xdr:cNvPr id="17" name="付表12">
          <a:extLst>
            <a:ext uri="{FF2B5EF4-FFF2-40B4-BE49-F238E27FC236}">
              <a16:creationId xmlns:a16="http://schemas.microsoft.com/office/drawing/2014/main" id="{4C133E0E-1F3A-3C73-0990-C25D4AD23349}"/>
            </a:ext>
          </a:extLst>
        </xdr:cNvPr>
        <xdr:cNvSpPr txBox="1"/>
      </xdr:nvSpPr>
      <xdr:spPr>
        <a:xfrm>
          <a:off x="3223895" y="6262243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3665298-FCA4-4020-A8DD-75DD70B6B890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1</xdr:row>
      <xdr:rowOff>3185287</xdr:rowOff>
    </xdr:from>
    <xdr:to>
      <xdr:col>5</xdr:col>
      <xdr:colOff>594995</xdr:colOff>
      <xdr:row>2</xdr:row>
      <xdr:rowOff>7747</xdr:rowOff>
    </xdr:to>
    <xdr:sp macro="" textlink="印字値!$C$17">
      <xdr:nvSpPr>
        <xdr:cNvPr id="18" name="付表13">
          <a:extLst>
            <a:ext uri="{FF2B5EF4-FFF2-40B4-BE49-F238E27FC236}">
              <a16:creationId xmlns:a16="http://schemas.microsoft.com/office/drawing/2014/main" id="{43A47FFA-805D-A649-AFEA-56DE9B61163D}"/>
            </a:ext>
          </a:extLst>
        </xdr:cNvPr>
        <xdr:cNvSpPr txBox="1"/>
      </xdr:nvSpPr>
      <xdr:spPr>
        <a:xfrm>
          <a:off x="3223895" y="6743827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640B175-AF1E-44E5-B790-E9E7AEDE9E34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2</xdr:row>
      <xdr:rowOff>108331</xdr:rowOff>
    </xdr:from>
    <xdr:to>
      <xdr:col>5</xdr:col>
      <xdr:colOff>594995</xdr:colOff>
      <xdr:row>2</xdr:row>
      <xdr:rowOff>489331</xdr:rowOff>
    </xdr:to>
    <xdr:sp macro="" textlink="印字値!$C$18">
      <xdr:nvSpPr>
        <xdr:cNvPr id="19" name="付表14">
          <a:extLst>
            <a:ext uri="{FF2B5EF4-FFF2-40B4-BE49-F238E27FC236}">
              <a16:creationId xmlns:a16="http://schemas.microsoft.com/office/drawing/2014/main" id="{39C9C64C-543F-1F84-8A5E-8EE1F4BA110D}"/>
            </a:ext>
          </a:extLst>
        </xdr:cNvPr>
        <xdr:cNvSpPr txBox="1"/>
      </xdr:nvSpPr>
      <xdr:spPr>
        <a:xfrm>
          <a:off x="3223895" y="7225411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7B47CF0-B408-4A63-BDD5-28524D547FF3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2</xdr:row>
      <xdr:rowOff>590296</xdr:rowOff>
    </xdr:from>
    <xdr:to>
      <xdr:col>5</xdr:col>
      <xdr:colOff>594995</xdr:colOff>
      <xdr:row>2</xdr:row>
      <xdr:rowOff>971296</xdr:rowOff>
    </xdr:to>
    <xdr:sp macro="" textlink="印字値!$C$19">
      <xdr:nvSpPr>
        <xdr:cNvPr id="20" name="付表15">
          <a:extLst>
            <a:ext uri="{FF2B5EF4-FFF2-40B4-BE49-F238E27FC236}">
              <a16:creationId xmlns:a16="http://schemas.microsoft.com/office/drawing/2014/main" id="{6C772AD9-5D30-16AE-AD30-5E94E3345194}"/>
            </a:ext>
          </a:extLst>
        </xdr:cNvPr>
        <xdr:cNvSpPr txBox="1"/>
      </xdr:nvSpPr>
      <xdr:spPr>
        <a:xfrm>
          <a:off x="3223895" y="7707376"/>
          <a:ext cx="5334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439DA40-26FD-4B7A-936D-AAA7AFE05B07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5</xdr:col>
      <xdr:colOff>61595</xdr:colOff>
      <xdr:row>2</xdr:row>
      <xdr:rowOff>1071880</xdr:rowOff>
    </xdr:from>
    <xdr:to>
      <xdr:col>5</xdr:col>
      <xdr:colOff>594995</xdr:colOff>
      <xdr:row>2</xdr:row>
      <xdr:rowOff>1440180</xdr:rowOff>
    </xdr:to>
    <xdr:sp macro="" textlink="印字値!$C$20">
      <xdr:nvSpPr>
        <xdr:cNvPr id="21" name="付表16">
          <a:extLst>
            <a:ext uri="{FF2B5EF4-FFF2-40B4-BE49-F238E27FC236}">
              <a16:creationId xmlns:a16="http://schemas.microsoft.com/office/drawing/2014/main" id="{9495B2F7-975E-2F7A-E29F-7A0DD0355727}"/>
            </a:ext>
          </a:extLst>
        </xdr:cNvPr>
        <xdr:cNvSpPr txBox="1"/>
      </xdr:nvSpPr>
      <xdr:spPr>
        <a:xfrm>
          <a:off x="3223895" y="8188960"/>
          <a:ext cx="5334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5F2C0D7-1727-4220-A3C2-5BFA661FE8F8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0</xdr:row>
      <xdr:rowOff>955421</xdr:rowOff>
    </xdr:from>
    <xdr:to>
      <xdr:col>10</xdr:col>
      <xdr:colOff>425958</xdr:colOff>
      <xdr:row>0</xdr:row>
      <xdr:rowOff>1336421</xdr:rowOff>
    </xdr:to>
    <xdr:sp macro="" textlink="印字値!$C$21">
      <xdr:nvSpPr>
        <xdr:cNvPr id="22" name="付表17">
          <a:extLst>
            <a:ext uri="{FF2B5EF4-FFF2-40B4-BE49-F238E27FC236}">
              <a16:creationId xmlns:a16="http://schemas.microsoft.com/office/drawing/2014/main" id="{31930E84-1F1F-11E8-0EEB-7373D36EE687}"/>
            </a:ext>
          </a:extLst>
        </xdr:cNvPr>
        <xdr:cNvSpPr txBox="1"/>
      </xdr:nvSpPr>
      <xdr:spPr>
        <a:xfrm>
          <a:off x="6229858" y="955421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A61B8C2-ED19-4C79-908F-EB9C7C5F5C85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0</xdr:row>
      <xdr:rowOff>1445514</xdr:rowOff>
    </xdr:from>
    <xdr:to>
      <xdr:col>10</xdr:col>
      <xdr:colOff>425958</xdr:colOff>
      <xdr:row>0</xdr:row>
      <xdr:rowOff>1826514</xdr:rowOff>
    </xdr:to>
    <xdr:sp macro="" textlink="印字値!$C$22">
      <xdr:nvSpPr>
        <xdr:cNvPr id="23" name="付表18">
          <a:extLst>
            <a:ext uri="{FF2B5EF4-FFF2-40B4-BE49-F238E27FC236}">
              <a16:creationId xmlns:a16="http://schemas.microsoft.com/office/drawing/2014/main" id="{5230C7BA-A74B-FB13-4548-27FF5A6BE8C0}"/>
            </a:ext>
          </a:extLst>
        </xdr:cNvPr>
        <xdr:cNvSpPr txBox="1"/>
      </xdr:nvSpPr>
      <xdr:spPr>
        <a:xfrm>
          <a:off x="6229858" y="1445514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32E2FC6-E93D-4AA4-ACA3-9ABBB6EC997D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0</xdr:row>
      <xdr:rowOff>1927352</xdr:rowOff>
    </xdr:from>
    <xdr:to>
      <xdr:col>10</xdr:col>
      <xdr:colOff>425958</xdr:colOff>
      <xdr:row>0</xdr:row>
      <xdr:rowOff>2308352</xdr:rowOff>
    </xdr:to>
    <xdr:sp macro="" textlink="印字値!$C$23">
      <xdr:nvSpPr>
        <xdr:cNvPr id="24" name="付表19">
          <a:extLst>
            <a:ext uri="{FF2B5EF4-FFF2-40B4-BE49-F238E27FC236}">
              <a16:creationId xmlns:a16="http://schemas.microsoft.com/office/drawing/2014/main" id="{3F3EEF29-BFC4-AC60-2550-7B421F5061E6}"/>
            </a:ext>
          </a:extLst>
        </xdr:cNvPr>
        <xdr:cNvSpPr txBox="1"/>
      </xdr:nvSpPr>
      <xdr:spPr>
        <a:xfrm>
          <a:off x="6229858" y="1927352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1D5FB93-EA21-4042-8D7B-5B2278B356CE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0</xdr:row>
      <xdr:rowOff>2408936</xdr:rowOff>
    </xdr:from>
    <xdr:to>
      <xdr:col>10</xdr:col>
      <xdr:colOff>425958</xdr:colOff>
      <xdr:row>0</xdr:row>
      <xdr:rowOff>2789936</xdr:rowOff>
    </xdr:to>
    <xdr:sp macro="" textlink="印字値!$C$24">
      <xdr:nvSpPr>
        <xdr:cNvPr id="25" name="付表20">
          <a:extLst>
            <a:ext uri="{FF2B5EF4-FFF2-40B4-BE49-F238E27FC236}">
              <a16:creationId xmlns:a16="http://schemas.microsoft.com/office/drawing/2014/main" id="{A6CBA4BE-DA5E-0D75-BC86-E3BD64475831}"/>
            </a:ext>
          </a:extLst>
        </xdr:cNvPr>
        <xdr:cNvSpPr txBox="1"/>
      </xdr:nvSpPr>
      <xdr:spPr>
        <a:xfrm>
          <a:off x="6229858" y="2408936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3D3EAFD-F129-4CBB-A043-0AC9FFAF5BFB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0</xdr:row>
      <xdr:rowOff>2890520</xdr:rowOff>
    </xdr:from>
    <xdr:to>
      <xdr:col>10</xdr:col>
      <xdr:colOff>425958</xdr:colOff>
      <xdr:row>0</xdr:row>
      <xdr:rowOff>3271520</xdr:rowOff>
    </xdr:to>
    <xdr:sp macro="" textlink="印字値!$C$25">
      <xdr:nvSpPr>
        <xdr:cNvPr id="26" name="付表21">
          <a:extLst>
            <a:ext uri="{FF2B5EF4-FFF2-40B4-BE49-F238E27FC236}">
              <a16:creationId xmlns:a16="http://schemas.microsoft.com/office/drawing/2014/main" id="{E8196E39-B0ED-C639-E938-70F3C4CA995D}"/>
            </a:ext>
          </a:extLst>
        </xdr:cNvPr>
        <xdr:cNvSpPr txBox="1"/>
      </xdr:nvSpPr>
      <xdr:spPr>
        <a:xfrm>
          <a:off x="6229858" y="2890520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CF6FE72-8455-4DB6-9675-648EE3037B4B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0</xdr:row>
      <xdr:rowOff>3372104</xdr:rowOff>
    </xdr:from>
    <xdr:to>
      <xdr:col>10</xdr:col>
      <xdr:colOff>425958</xdr:colOff>
      <xdr:row>1</xdr:row>
      <xdr:rowOff>194564</xdr:rowOff>
    </xdr:to>
    <xdr:sp macro="" textlink="印字値!$C$26">
      <xdr:nvSpPr>
        <xdr:cNvPr id="27" name="付表22">
          <a:extLst>
            <a:ext uri="{FF2B5EF4-FFF2-40B4-BE49-F238E27FC236}">
              <a16:creationId xmlns:a16="http://schemas.microsoft.com/office/drawing/2014/main" id="{EE382BD6-781A-A89B-0F98-7FA698B40D1D}"/>
            </a:ext>
          </a:extLst>
        </xdr:cNvPr>
        <xdr:cNvSpPr txBox="1"/>
      </xdr:nvSpPr>
      <xdr:spPr>
        <a:xfrm>
          <a:off x="6229858" y="3372104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A8E8A8F-70B3-4963-BF69-9CE2E8C63A8B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1</xdr:row>
      <xdr:rowOff>295529</xdr:rowOff>
    </xdr:from>
    <xdr:to>
      <xdr:col>10</xdr:col>
      <xdr:colOff>425958</xdr:colOff>
      <xdr:row>1</xdr:row>
      <xdr:rowOff>676529</xdr:rowOff>
    </xdr:to>
    <xdr:sp macro="" textlink="印字値!$C$27">
      <xdr:nvSpPr>
        <xdr:cNvPr id="28" name="付表23">
          <a:extLst>
            <a:ext uri="{FF2B5EF4-FFF2-40B4-BE49-F238E27FC236}">
              <a16:creationId xmlns:a16="http://schemas.microsoft.com/office/drawing/2014/main" id="{E07E72D3-251A-DC0A-21B9-FE91FA2F7F24}"/>
            </a:ext>
          </a:extLst>
        </xdr:cNvPr>
        <xdr:cNvSpPr txBox="1"/>
      </xdr:nvSpPr>
      <xdr:spPr>
        <a:xfrm>
          <a:off x="6229858" y="3854069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8F52CBA-637D-434F-B8A9-DFB583F79472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1</xdr:row>
      <xdr:rowOff>777113</xdr:rowOff>
    </xdr:from>
    <xdr:to>
      <xdr:col>10</xdr:col>
      <xdr:colOff>425958</xdr:colOff>
      <xdr:row>1</xdr:row>
      <xdr:rowOff>1158113</xdr:rowOff>
    </xdr:to>
    <xdr:sp macro="" textlink="印字値!$C$28">
      <xdr:nvSpPr>
        <xdr:cNvPr id="29" name="付表24">
          <a:extLst>
            <a:ext uri="{FF2B5EF4-FFF2-40B4-BE49-F238E27FC236}">
              <a16:creationId xmlns:a16="http://schemas.microsoft.com/office/drawing/2014/main" id="{716D5380-80C8-08AC-4039-2D738986A9A4}"/>
            </a:ext>
          </a:extLst>
        </xdr:cNvPr>
        <xdr:cNvSpPr txBox="1"/>
      </xdr:nvSpPr>
      <xdr:spPr>
        <a:xfrm>
          <a:off x="6229858" y="4335653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E4FD586-4EA7-4EE1-A7E5-9A34285190BE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1</xdr:row>
      <xdr:rowOff>1258697</xdr:rowOff>
    </xdr:from>
    <xdr:to>
      <xdr:col>10</xdr:col>
      <xdr:colOff>425958</xdr:colOff>
      <xdr:row>1</xdr:row>
      <xdr:rowOff>1639697</xdr:rowOff>
    </xdr:to>
    <xdr:sp macro="" textlink="印字値!$C$29">
      <xdr:nvSpPr>
        <xdr:cNvPr id="30" name="付表25">
          <a:extLst>
            <a:ext uri="{FF2B5EF4-FFF2-40B4-BE49-F238E27FC236}">
              <a16:creationId xmlns:a16="http://schemas.microsoft.com/office/drawing/2014/main" id="{C4795E1F-B02A-D2A5-1DAE-0BB55C59B3A6}"/>
            </a:ext>
          </a:extLst>
        </xdr:cNvPr>
        <xdr:cNvSpPr txBox="1"/>
      </xdr:nvSpPr>
      <xdr:spPr>
        <a:xfrm>
          <a:off x="6229858" y="4817237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9C2CAAB-B51B-49E7-A2E1-97C98223D758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1</xdr:row>
      <xdr:rowOff>1740281</xdr:rowOff>
    </xdr:from>
    <xdr:to>
      <xdr:col>10</xdr:col>
      <xdr:colOff>425958</xdr:colOff>
      <xdr:row>1</xdr:row>
      <xdr:rowOff>2121281</xdr:rowOff>
    </xdr:to>
    <xdr:sp macro="" textlink="印字値!$C$30">
      <xdr:nvSpPr>
        <xdr:cNvPr id="31" name="付表26">
          <a:extLst>
            <a:ext uri="{FF2B5EF4-FFF2-40B4-BE49-F238E27FC236}">
              <a16:creationId xmlns:a16="http://schemas.microsoft.com/office/drawing/2014/main" id="{38BA0250-BF6F-C830-33BD-74C506A5CE9A}"/>
            </a:ext>
          </a:extLst>
        </xdr:cNvPr>
        <xdr:cNvSpPr txBox="1"/>
      </xdr:nvSpPr>
      <xdr:spPr>
        <a:xfrm>
          <a:off x="6229858" y="5298821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9F9C7E0-A74F-4436-8DF4-DBC020CB3A6D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1</xdr:row>
      <xdr:rowOff>2222119</xdr:rowOff>
    </xdr:from>
    <xdr:to>
      <xdr:col>10</xdr:col>
      <xdr:colOff>425958</xdr:colOff>
      <xdr:row>1</xdr:row>
      <xdr:rowOff>2603119</xdr:rowOff>
    </xdr:to>
    <xdr:sp macro="" textlink="印字値!$C$31">
      <xdr:nvSpPr>
        <xdr:cNvPr id="32" name="付表27">
          <a:extLst>
            <a:ext uri="{FF2B5EF4-FFF2-40B4-BE49-F238E27FC236}">
              <a16:creationId xmlns:a16="http://schemas.microsoft.com/office/drawing/2014/main" id="{0A3EA95B-7CF4-4770-DAA5-51AAF5FBEEF4}"/>
            </a:ext>
          </a:extLst>
        </xdr:cNvPr>
        <xdr:cNvSpPr txBox="1"/>
      </xdr:nvSpPr>
      <xdr:spPr>
        <a:xfrm>
          <a:off x="6229858" y="5780659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A63B7CD-4C43-46DE-8166-9C5F1D046CE9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1</xdr:row>
      <xdr:rowOff>2703703</xdr:rowOff>
    </xdr:from>
    <xdr:to>
      <xdr:col>10</xdr:col>
      <xdr:colOff>425958</xdr:colOff>
      <xdr:row>1</xdr:row>
      <xdr:rowOff>3084703</xdr:rowOff>
    </xdr:to>
    <xdr:sp macro="" textlink="印字値!$C$32">
      <xdr:nvSpPr>
        <xdr:cNvPr id="33" name="付表28">
          <a:extLst>
            <a:ext uri="{FF2B5EF4-FFF2-40B4-BE49-F238E27FC236}">
              <a16:creationId xmlns:a16="http://schemas.microsoft.com/office/drawing/2014/main" id="{D5B68146-2BC6-E337-9FEE-DFCDB21C349A}"/>
            </a:ext>
          </a:extLst>
        </xdr:cNvPr>
        <xdr:cNvSpPr txBox="1"/>
      </xdr:nvSpPr>
      <xdr:spPr>
        <a:xfrm>
          <a:off x="6229858" y="6262243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336D48F-35B7-4324-83D7-C50E184A8920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1</xdr:row>
      <xdr:rowOff>3185287</xdr:rowOff>
    </xdr:from>
    <xdr:to>
      <xdr:col>10</xdr:col>
      <xdr:colOff>425958</xdr:colOff>
      <xdr:row>2</xdr:row>
      <xdr:rowOff>7747</xdr:rowOff>
    </xdr:to>
    <xdr:sp macro="" textlink="印字値!$C$33">
      <xdr:nvSpPr>
        <xdr:cNvPr id="34" name="付表29">
          <a:extLst>
            <a:ext uri="{FF2B5EF4-FFF2-40B4-BE49-F238E27FC236}">
              <a16:creationId xmlns:a16="http://schemas.microsoft.com/office/drawing/2014/main" id="{0096BD6A-7EF0-C7DB-4D07-8B091D0F807F}"/>
            </a:ext>
          </a:extLst>
        </xdr:cNvPr>
        <xdr:cNvSpPr txBox="1"/>
      </xdr:nvSpPr>
      <xdr:spPr>
        <a:xfrm>
          <a:off x="6229858" y="6743827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656221B-BF79-4097-883C-5BA8211EBD18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2</xdr:row>
      <xdr:rowOff>108331</xdr:rowOff>
    </xdr:from>
    <xdr:to>
      <xdr:col>10</xdr:col>
      <xdr:colOff>425958</xdr:colOff>
      <xdr:row>2</xdr:row>
      <xdr:rowOff>489331</xdr:rowOff>
    </xdr:to>
    <xdr:sp macro="" textlink="印字値!$C$34">
      <xdr:nvSpPr>
        <xdr:cNvPr id="35" name="付表30">
          <a:extLst>
            <a:ext uri="{FF2B5EF4-FFF2-40B4-BE49-F238E27FC236}">
              <a16:creationId xmlns:a16="http://schemas.microsoft.com/office/drawing/2014/main" id="{1E2AF842-5FCE-58CC-A0ED-CD85E8886A49}"/>
            </a:ext>
          </a:extLst>
        </xdr:cNvPr>
        <xdr:cNvSpPr txBox="1"/>
      </xdr:nvSpPr>
      <xdr:spPr>
        <a:xfrm>
          <a:off x="6229858" y="7225411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E01C255-1CB3-4294-A155-1E0B1981E8D1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2</xdr:row>
      <xdr:rowOff>590296</xdr:rowOff>
    </xdr:from>
    <xdr:to>
      <xdr:col>10</xdr:col>
      <xdr:colOff>425958</xdr:colOff>
      <xdr:row>2</xdr:row>
      <xdr:rowOff>971296</xdr:rowOff>
    </xdr:to>
    <xdr:sp macro="" textlink="印字値!$C$35">
      <xdr:nvSpPr>
        <xdr:cNvPr id="36" name="付表31">
          <a:extLst>
            <a:ext uri="{FF2B5EF4-FFF2-40B4-BE49-F238E27FC236}">
              <a16:creationId xmlns:a16="http://schemas.microsoft.com/office/drawing/2014/main" id="{A86987A1-C1E1-CC4E-19AD-1E493F6766C6}"/>
            </a:ext>
          </a:extLst>
        </xdr:cNvPr>
        <xdr:cNvSpPr txBox="1"/>
      </xdr:nvSpPr>
      <xdr:spPr>
        <a:xfrm>
          <a:off x="6229858" y="7707376"/>
          <a:ext cx="520700" cy="381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B05EE3C-36CC-41B9-AF10-7CA27ED04C11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537718</xdr:colOff>
      <xdr:row>2</xdr:row>
      <xdr:rowOff>1071880</xdr:rowOff>
    </xdr:from>
    <xdr:to>
      <xdr:col>10</xdr:col>
      <xdr:colOff>425958</xdr:colOff>
      <xdr:row>2</xdr:row>
      <xdr:rowOff>1440180</xdr:rowOff>
    </xdr:to>
    <xdr:sp macro="" textlink="印字値!$C$36">
      <xdr:nvSpPr>
        <xdr:cNvPr id="37" name="付表32">
          <a:extLst>
            <a:ext uri="{FF2B5EF4-FFF2-40B4-BE49-F238E27FC236}">
              <a16:creationId xmlns:a16="http://schemas.microsoft.com/office/drawing/2014/main" id="{BC69BC89-7401-E8A9-57C2-9C6307F3234E}"/>
            </a:ext>
          </a:extLst>
        </xdr:cNvPr>
        <xdr:cNvSpPr txBox="1"/>
      </xdr:nvSpPr>
      <xdr:spPr>
        <a:xfrm>
          <a:off x="6229858" y="8188960"/>
          <a:ext cx="520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7675164-381C-422D-8A58-C7E5C88A09A1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20,000,000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laws.e-gov.go.jp/law/337AC0000000066" TargetMode="External"/><Relationship Id="rId3" Type="http://schemas.openxmlformats.org/officeDocument/2006/relationships/hyperlink" Target="https://www.nta.go.jp/publication/pamph/hojin/tebiki2020/pdf/03-03.pdf" TargetMode="External"/><Relationship Id="rId7" Type="http://schemas.openxmlformats.org/officeDocument/2006/relationships/hyperlink" Target="https://laws.e-gov.go.jp/law/340AC0000000034" TargetMode="External"/><Relationship Id="rId2" Type="http://schemas.openxmlformats.org/officeDocument/2006/relationships/hyperlink" Target="https://www.nta.go.jp/taxes/tetsuzuki/shinsei/annai/hojin/shinkoku/itiran2020/pdf/03%2801%29.pdf" TargetMode="External"/><Relationship Id="rId1" Type="http://schemas.openxmlformats.org/officeDocument/2006/relationships/hyperlink" Target="https://www.nta.go.jp/taxes/tetsuzuki/shinsei/annai/hojin/shinkoku/itiran2020/01.htm" TargetMode="External"/><Relationship Id="rId6" Type="http://schemas.openxmlformats.org/officeDocument/2006/relationships/hyperlink" Target="https://www.nta.go.jp/law/tsutatsu/kihon/hojin/16/16_01_02.htm" TargetMode="External"/><Relationship Id="rId5" Type="http://schemas.openxmlformats.org/officeDocument/2006/relationships/hyperlink" Target="https://www.nta.go.jp/publication/pamph/hojin/tebiki2020/pdf/03-04.pdf" TargetMode="External"/><Relationship Id="rId4" Type="http://schemas.openxmlformats.org/officeDocument/2006/relationships/hyperlink" Target="https://www.nta.go.jp/taxes/tetsuzuki/shinsei/annai/hojin/shinkoku/itiran2020/pdf/03%2801%29-f.pdf" TargetMode="External"/><Relationship Id="rId9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299D-1EF4-4F40-A2DB-D237D82F6CAF}">
  <sheetPr>
    <tabColor rgb="FF17365D"/>
    <pageSetUpPr fitToPage="1"/>
  </sheetPr>
  <dimension ref="A1:H40"/>
  <sheetViews>
    <sheetView showGridLines="0" tabSelected="1" zoomScale="90" zoomScaleNormal="90" workbookViewId="0">
      <selection sqref="A1:H1"/>
    </sheetView>
  </sheetViews>
  <sheetFormatPr defaultRowHeight="18"/>
  <cols>
    <col min="1" max="8" width="15.69921875" customWidth="1"/>
  </cols>
  <sheetData>
    <row r="1" spans="1:8" ht="28.8">
      <c r="A1" s="31" t="s">
        <v>287</v>
      </c>
      <c r="B1" s="3"/>
      <c r="C1" s="3"/>
      <c r="D1" s="3"/>
      <c r="E1" s="3"/>
      <c r="F1" s="3"/>
      <c r="G1" s="3"/>
      <c r="H1" s="3"/>
    </row>
    <row r="2" spans="1:8">
      <c r="A2" s="32" t="s">
        <v>288</v>
      </c>
      <c r="B2" s="3"/>
      <c r="C2" s="3"/>
      <c r="D2" s="3"/>
      <c r="E2" s="3"/>
      <c r="F2" s="3"/>
      <c r="G2" s="3"/>
      <c r="H2" s="3"/>
    </row>
    <row r="3" spans="1:8">
      <c r="A3" s="5"/>
      <c r="B3" s="5"/>
      <c r="C3" s="5"/>
      <c r="D3" s="5"/>
      <c r="E3" s="5"/>
      <c r="F3" s="5"/>
      <c r="G3" s="5"/>
      <c r="H3" s="5"/>
    </row>
    <row r="4" spans="1:8" ht="22.95" customHeight="1">
      <c r="A4" s="6" t="s">
        <v>289</v>
      </c>
      <c r="B4" s="6"/>
      <c r="C4" s="6"/>
      <c r="D4" s="6"/>
      <c r="E4" s="6"/>
      <c r="F4" s="6"/>
      <c r="G4" s="6"/>
      <c r="H4" s="6"/>
    </row>
    <row r="5" spans="1:8">
      <c r="A5" s="8" t="s">
        <v>290</v>
      </c>
      <c r="B5" s="8"/>
      <c r="C5" s="8"/>
      <c r="D5" s="8"/>
      <c r="E5" s="8"/>
      <c r="F5" s="33">
        <f>out_retained_tax</f>
        <v>0</v>
      </c>
      <c r="G5" s="34"/>
      <c r="H5" s="34"/>
    </row>
    <row r="6" spans="1:8">
      <c r="A6" s="8" t="s">
        <v>291</v>
      </c>
      <c r="B6" s="8"/>
      <c r="C6" s="8"/>
      <c r="D6" s="8"/>
      <c r="E6" s="8"/>
      <c r="F6" s="33">
        <f>out_taxable_retained</f>
        <v>0</v>
      </c>
      <c r="G6" s="34"/>
      <c r="H6" s="34"/>
    </row>
    <row r="7" spans="1:8">
      <c r="A7" s="8" t="s">
        <v>292</v>
      </c>
      <c r="B7" s="8"/>
      <c r="C7" s="8"/>
      <c r="D7" s="8"/>
      <c r="E7" s="8"/>
      <c r="F7" s="33">
        <f>out_retention_allowance</f>
        <v>20000000</v>
      </c>
      <c r="G7" s="34"/>
      <c r="H7" s="34"/>
    </row>
    <row r="8" spans="1:8">
      <c r="A8" s="8" t="s">
        <v>293</v>
      </c>
      <c r="B8" s="8"/>
      <c r="C8" s="8"/>
      <c r="D8" s="8"/>
      <c r="E8" s="8"/>
      <c r="F8" s="33">
        <f>out_municipal_tax</f>
        <v>0</v>
      </c>
      <c r="G8" s="34"/>
      <c r="H8" s="34"/>
    </row>
    <row r="9" spans="1:8">
      <c r="A9" s="5"/>
      <c r="B9" s="5"/>
      <c r="C9" s="5"/>
      <c r="D9" s="5"/>
      <c r="E9" s="5"/>
      <c r="F9" s="5"/>
      <c r="G9" s="5"/>
      <c r="H9" s="5"/>
    </row>
    <row r="10" spans="1:8" ht="22.95" customHeight="1">
      <c r="A10" s="6" t="s">
        <v>294</v>
      </c>
      <c r="B10" s="6"/>
      <c r="C10" s="6"/>
      <c r="D10" s="6"/>
      <c r="E10" s="6"/>
      <c r="F10" s="6"/>
      <c r="G10" s="6"/>
      <c r="H10" s="6"/>
    </row>
    <row r="11" spans="1:8">
      <c r="A11" s="8" t="s">
        <v>295</v>
      </c>
      <c r="B11" s="8"/>
      <c r="C11" s="8"/>
      <c r="D11" s="8"/>
      <c r="E11" s="8"/>
      <c r="F11" s="12" t="str">
        <f>IF(cfg_applicable,"OK","要確認：開始日・終了日がこの年度版の対象外")</f>
        <v>OK</v>
      </c>
      <c r="G11" s="12"/>
      <c r="H11" s="12"/>
    </row>
    <row r="12" spans="1:8">
      <c r="A12" s="8" t="s">
        <v>296</v>
      </c>
      <c r="B12" s="8"/>
      <c r="C12" s="8"/>
      <c r="D12" s="8"/>
      <c r="E12" s="8"/>
      <c r="F12" s="12" t="str">
        <f>IF(inp_special="はい","OK","対象外：別表二の判定を確認")</f>
        <v>OK</v>
      </c>
      <c r="G12" s="12"/>
      <c r="H12" s="12"/>
    </row>
    <row r="13" spans="1:8">
      <c r="A13" s="8" t="s">
        <v>297</v>
      </c>
      <c r="B13" s="8"/>
      <c r="C13" s="8"/>
      <c r="D13" s="8"/>
      <c r="E13" s="8"/>
      <c r="F13" s="12" t="str">
        <f>"この年度版には付表二なし"</f>
        <v>この年度版には付表二なし</v>
      </c>
      <c r="G13" s="12"/>
      <c r="H13" s="12"/>
    </row>
    <row r="14" spans="1:8">
      <c r="A14" s="8" t="s">
        <v>298</v>
      </c>
      <c r="B14" s="8"/>
      <c r="C14" s="8"/>
      <c r="D14" s="8"/>
      <c r="E14" s="8"/>
      <c r="F14" s="12" t="str">
        <f>IF(AND(inp_months&gt;=1,inp_months&lt;=12),"OK："&amp;inp_months&amp;"か月","要確認")</f>
        <v>OK：12か月</v>
      </c>
      <c r="G14" s="12"/>
      <c r="H14" s="12"/>
    </row>
    <row r="15" spans="1:8">
      <c r="A15" s="5"/>
      <c r="B15" s="5"/>
      <c r="C15" s="5"/>
      <c r="D15" s="5"/>
      <c r="E15" s="5"/>
      <c r="F15" s="5"/>
      <c r="G15" s="5"/>
      <c r="H15" s="5"/>
    </row>
    <row r="16" spans="1:8" ht="22.95" customHeight="1">
      <c r="A16" s="35" t="s">
        <v>299</v>
      </c>
      <c r="B16" s="35"/>
      <c r="C16" s="35"/>
      <c r="D16" s="35"/>
      <c r="E16" s="35"/>
      <c r="F16" s="35"/>
      <c r="G16" s="35"/>
      <c r="H16" s="35"/>
    </row>
    <row r="17" spans="1:8" ht="28.05" customHeight="1">
      <c r="A17" s="36" t="s">
        <v>300</v>
      </c>
      <c r="B17" s="36"/>
      <c r="C17" s="36"/>
      <c r="D17" s="36"/>
      <c r="E17" s="36"/>
      <c r="F17" s="36"/>
      <c r="G17" s="36"/>
      <c r="H17" s="36"/>
    </row>
    <row r="18" spans="1:8" ht="28.05" customHeight="1">
      <c r="A18" s="36" t="s">
        <v>301</v>
      </c>
      <c r="B18" s="36"/>
      <c r="C18" s="36"/>
      <c r="D18" s="36"/>
      <c r="E18" s="36"/>
      <c r="F18" s="36"/>
      <c r="G18" s="36"/>
      <c r="H18" s="36"/>
    </row>
    <row r="19" spans="1:8" ht="28.05" customHeight="1">
      <c r="A19" s="36" t="s">
        <v>302</v>
      </c>
      <c r="B19" s="36"/>
      <c r="C19" s="36"/>
      <c r="D19" s="36"/>
      <c r="E19" s="36"/>
      <c r="F19" s="36"/>
      <c r="G19" s="36"/>
      <c r="H19" s="36"/>
    </row>
    <row r="20" spans="1:8" ht="28.05" customHeight="1">
      <c r="A20" s="36" t="s">
        <v>303</v>
      </c>
      <c r="B20" s="36"/>
      <c r="C20" s="36"/>
      <c r="D20" s="36"/>
      <c r="E20" s="36"/>
      <c r="F20" s="36"/>
      <c r="G20" s="36"/>
      <c r="H20" s="36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 ht="22.95" customHeight="1">
      <c r="A22" s="35" t="s">
        <v>304</v>
      </c>
      <c r="B22" s="35"/>
      <c r="C22" s="35"/>
      <c r="D22" s="35"/>
      <c r="E22" s="35"/>
      <c r="F22" s="35"/>
      <c r="G22" s="35"/>
      <c r="H22" s="35"/>
    </row>
    <row r="23" spans="1:8">
      <c r="A23" s="37" t="s">
        <v>305</v>
      </c>
      <c r="B23" s="37" t="s">
        <v>306</v>
      </c>
      <c r="C23" s="37" t="s">
        <v>307</v>
      </c>
      <c r="D23" s="5"/>
      <c r="E23" s="37" t="s">
        <v>308</v>
      </c>
      <c r="F23" s="37" t="s">
        <v>309</v>
      </c>
      <c r="G23" s="37" t="s">
        <v>310</v>
      </c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5"/>
      <c r="B32" s="5"/>
      <c r="C32" s="5"/>
      <c r="D32" s="5"/>
      <c r="E32" s="5"/>
      <c r="F32" s="5"/>
      <c r="G32" s="5"/>
      <c r="H32" s="5"/>
    </row>
    <row r="33" spans="1:8">
      <c r="A33" s="5"/>
      <c r="B33" s="5"/>
      <c r="C33" s="5"/>
      <c r="D33" s="5"/>
      <c r="E33" s="5"/>
      <c r="F33" s="5"/>
      <c r="G33" s="5"/>
      <c r="H33" s="5"/>
    </row>
    <row r="34" spans="1:8">
      <c r="A34" s="5"/>
      <c r="B34" s="5"/>
      <c r="C34" s="5"/>
      <c r="D34" s="5"/>
      <c r="E34" s="5"/>
      <c r="F34" s="5"/>
      <c r="G34" s="5"/>
      <c r="H34" s="5"/>
    </row>
    <row r="35" spans="1:8">
      <c r="A35" s="5"/>
      <c r="B35" s="5"/>
      <c r="C35" s="5"/>
      <c r="D35" s="5"/>
      <c r="E35" s="5"/>
      <c r="F35" s="5"/>
      <c r="G35" s="5"/>
      <c r="H35" s="5"/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>
      <c r="A37" s="5"/>
      <c r="B37" s="5"/>
      <c r="C37" s="5"/>
      <c r="D37" s="5"/>
      <c r="E37" s="5"/>
      <c r="F37" s="5"/>
      <c r="G37" s="5"/>
      <c r="H37" s="5"/>
    </row>
    <row r="38" spans="1:8">
      <c r="A38" s="5"/>
      <c r="B38" s="5"/>
      <c r="C38" s="5"/>
      <c r="D38" s="5"/>
      <c r="E38" s="5"/>
      <c r="F38" s="5"/>
      <c r="G38" s="5"/>
      <c r="H38" s="5"/>
    </row>
    <row r="39" spans="1:8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</sheetData>
  <sheetProtection sheet="1" objects="1" scenarios="1"/>
  <mergeCells count="26">
    <mergeCell ref="A16:H16"/>
    <mergeCell ref="A17:H17"/>
    <mergeCell ref="A18:H18"/>
    <mergeCell ref="A19:H19"/>
    <mergeCell ref="A20:H20"/>
    <mergeCell ref="A22:H22"/>
    <mergeCell ref="A12:E12"/>
    <mergeCell ref="F12:H12"/>
    <mergeCell ref="A13:E13"/>
    <mergeCell ref="F13:H13"/>
    <mergeCell ref="A14:E14"/>
    <mergeCell ref="F14:H14"/>
    <mergeCell ref="A7:E7"/>
    <mergeCell ref="F7:H7"/>
    <mergeCell ref="A8:E8"/>
    <mergeCell ref="F8:H8"/>
    <mergeCell ref="A10:H10"/>
    <mergeCell ref="A11:E11"/>
    <mergeCell ref="F11:H11"/>
    <mergeCell ref="A1:H1"/>
    <mergeCell ref="A2:H2"/>
    <mergeCell ref="A4:H4"/>
    <mergeCell ref="A5:E5"/>
    <mergeCell ref="F5:H5"/>
    <mergeCell ref="A6:E6"/>
    <mergeCell ref="F6:H6"/>
  </mergeCells>
  <phoneticPr fontId="2"/>
  <hyperlinks>
    <hyperlink ref="A23" location="'入力'!A1" display="入力" xr:uid="{8745A3E0-F2CA-4CA0-B1A0-C76AC3B02B9B}"/>
    <hyperlink ref="B23" location="'別表三一_計算'!A1" display="主表計算" xr:uid="{2E1BE2C3-237E-4EE0-A999-572A784F4E84}"/>
    <hyperlink ref="C23" location="'付表_計算'!A1" display="付表_計算" xr:uid="{0CC835DE-E7FA-4085-970F-BCFEB44A9C24}"/>
    <hyperlink ref="E23" location="'別表三(一)'!A1" display="公式様式" xr:uid="{9838E3C7-12FE-43AF-8A09-EAC9E79DC044}"/>
    <hyperlink ref="F23" location="'検算'!A1" display="検算" xr:uid="{76C18067-1480-4685-AD75-26E674A239D9}"/>
    <hyperlink ref="G23" location="'根拠・出典'!A1" display="根拠・出典" xr:uid="{D9498164-B6D4-4C51-AD3B-E68667E68234}"/>
  </hyperlinks>
  <pageMargins left="0.7" right="0.7" top="0.75" bottom="0.75" header="0.3" footer="0.3"/>
  <pageSetup paperSize="9" fitToHeight="9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635C-A11A-4C48-A7C5-ED1EF344B488}">
  <sheetPr>
    <tabColor rgb="FFFFF2CC"/>
    <pageSetUpPr fitToPage="1"/>
  </sheetPr>
  <dimension ref="A1:H66"/>
  <sheetViews>
    <sheetView showGridLines="0" zoomScale="90" zoomScaleNormal="90" workbookViewId="0">
      <pane ySplit="13" topLeftCell="A14" activePane="bottomLeft" state="frozenSplit"/>
      <selection pane="bottomLeft" sqref="A1:H1"/>
    </sheetView>
  </sheetViews>
  <sheetFormatPr defaultRowHeight="18"/>
  <cols>
    <col min="1" max="1" width="29.69921875" customWidth="1"/>
    <col min="2" max="2" width="32.69921875" customWidth="1"/>
    <col min="3" max="3" width="48.69921875" customWidth="1"/>
    <col min="4" max="4" width="19.69921875" customWidth="1"/>
    <col min="5" max="5" width="29.69921875" customWidth="1"/>
    <col min="6" max="6" width="18.69921875" customWidth="1"/>
    <col min="7" max="7" width="14.69921875" customWidth="1"/>
    <col min="8" max="8" width="16.69921875" customWidth="1"/>
  </cols>
  <sheetData>
    <row r="1" spans="1:8" ht="26.4">
      <c r="A1" s="20" t="s">
        <v>0</v>
      </c>
      <c r="B1" s="21"/>
      <c r="C1" s="21"/>
      <c r="D1" s="21"/>
      <c r="E1" s="21"/>
      <c r="F1" s="21"/>
      <c r="G1" s="21"/>
      <c r="H1" s="21"/>
    </row>
    <row r="2" spans="1:8">
      <c r="A2" s="22" t="s">
        <v>1</v>
      </c>
      <c r="B2" s="21"/>
      <c r="C2" s="21"/>
      <c r="D2" s="21"/>
      <c r="E2" s="21"/>
      <c r="F2" s="21"/>
      <c r="G2" s="21"/>
      <c r="H2" s="21"/>
    </row>
    <row r="3" spans="1:8">
      <c r="A3" s="23"/>
      <c r="B3" s="23"/>
      <c r="C3" s="23"/>
      <c r="D3" s="23"/>
      <c r="E3" s="23"/>
      <c r="F3" s="23"/>
      <c r="G3" s="23"/>
      <c r="H3" s="23"/>
    </row>
    <row r="4" spans="1:8" ht="22.95" customHeight="1">
      <c r="A4" s="6" t="s">
        <v>9</v>
      </c>
      <c r="B4" s="6"/>
      <c r="C4" s="6"/>
      <c r="D4" s="6"/>
      <c r="E4" s="6"/>
      <c r="F4" s="7" t="s">
        <v>10</v>
      </c>
      <c r="G4" s="8"/>
      <c r="H4" s="8"/>
    </row>
    <row r="5" spans="1:8">
      <c r="A5" s="8" t="s">
        <v>2</v>
      </c>
      <c r="B5" s="8"/>
      <c r="C5" s="8"/>
      <c r="D5" s="46"/>
      <c r="E5" s="9"/>
      <c r="F5" s="8" t="s">
        <v>11</v>
      </c>
      <c r="G5" s="8"/>
      <c r="H5" s="10" t="b">
        <f>AND(inp_end&gt;=DATE(2020,4,1),inp_end&lt;DATE(2021,4,1))</f>
        <v>1</v>
      </c>
    </row>
    <row r="6" spans="1:8">
      <c r="A6" s="8" t="s">
        <v>3</v>
      </c>
      <c r="B6" s="8"/>
      <c r="C6" s="8"/>
      <c r="D6" s="47">
        <v>43922</v>
      </c>
      <c r="E6" s="9"/>
      <c r="F6" s="8" t="s">
        <v>12</v>
      </c>
      <c r="G6" s="8"/>
      <c r="H6" s="11">
        <f>IF(inp_start&lt;DATE(2019,10,1),16.3%,10.4%)</f>
        <v>0.10400000000000001</v>
      </c>
    </row>
    <row r="7" spans="1:8">
      <c r="A7" s="8" t="s">
        <v>4</v>
      </c>
      <c r="B7" s="8"/>
      <c r="C7" s="8"/>
      <c r="D7" s="47">
        <v>44286</v>
      </c>
      <c r="E7" s="9"/>
      <c r="F7" s="8" t="s">
        <v>13</v>
      </c>
      <c r="G7" s="8"/>
      <c r="H7" s="11">
        <f>IF(inp_start&lt;DATE(2020,4,1),20%,40%)</f>
        <v>0.4</v>
      </c>
    </row>
    <row r="8" spans="1:8">
      <c r="A8" s="8" t="s">
        <v>5</v>
      </c>
      <c r="B8" s="8"/>
      <c r="C8" s="8"/>
      <c r="D8" s="15">
        <f>IF(OR(D6="",D7="",D7&lt;D6),"",MAX(1,MIN(12,1+--(D7&gt;IF(DAY(EDATE(D6,1))&lt;DAY(D6),EDATE(D6,1),EDATE(D6,1)-1))+--(D7&gt;IF(DAY(EDATE(D6,2))&lt;DAY(D6),EDATE(D6,2),EDATE(D6,2)-1))+--(D7&gt;IF(DAY(EDATE(D6,3))&lt;DAY(D6),EDATE(D6,3),EDATE(D6,3)-1))+--(D7&gt;IF(DAY(EDATE(D6,4))&lt;DAY(D6),EDATE(D6,4),EDATE(D6,4)-1))+--(D7&gt;IF(DAY(EDATE(D6,5))&lt;DAY(D6),EDATE(D6,5),EDATE(D6,5)-1))+--(D7&gt;IF(DAY(EDATE(D6,6))&lt;DAY(D6),EDATE(D6,6),EDATE(D6,6)-1))+--(D7&gt;IF(DAY(EDATE(D6,7))&lt;DAY(D6),EDATE(D6,7),EDATE(D6,7)-1))+--(D7&gt;IF(DAY(EDATE(D6,8))&lt;DAY(D6),EDATE(D6,8),EDATE(D6,8)-1))+--(D7&gt;IF(DAY(EDATE(D6,9))&lt;DAY(D6),EDATE(D6,9),EDATE(D6,9)-1))+--(D7&gt;IF(DAY(EDATE(D6,10))&lt;DAY(D6),EDATE(D6,10),EDATE(D6,10)-1))+--(D7&gt;IF(DAY(EDATE(D6,11))&lt;DAY(D6),EDATE(D6,11),EDATE(D6,11)-1)))))</f>
        <v>12</v>
      </c>
      <c r="E8" s="9"/>
      <c r="F8" s="12" t="s">
        <v>14</v>
      </c>
      <c r="G8" s="12"/>
      <c r="H8" s="12"/>
    </row>
    <row r="9" spans="1:8">
      <c r="A9" s="8" t="s">
        <v>6</v>
      </c>
      <c r="B9" s="8"/>
      <c r="C9" s="8"/>
      <c r="D9" s="46" t="s">
        <v>347</v>
      </c>
      <c r="E9" s="9"/>
      <c r="F9" s="12"/>
      <c r="G9" s="12"/>
      <c r="H9" s="12"/>
    </row>
    <row r="10" spans="1:8">
      <c r="A10" s="8" t="s">
        <v>7</v>
      </c>
      <c r="B10" s="8"/>
      <c r="C10" s="8"/>
      <c r="D10" s="46" t="s">
        <v>346</v>
      </c>
      <c r="E10" s="9"/>
      <c r="F10" s="12"/>
      <c r="G10" s="12"/>
      <c r="H10" s="12"/>
    </row>
    <row r="11" spans="1:8">
      <c r="A11" s="8" t="s">
        <v>8</v>
      </c>
      <c r="B11" s="8"/>
      <c r="C11" s="8"/>
      <c r="D11" s="46" t="s">
        <v>348</v>
      </c>
      <c r="E11" s="9"/>
      <c r="F11" s="23"/>
      <c r="G11" s="23"/>
      <c r="H11" s="23"/>
    </row>
    <row r="12" spans="1:8">
      <c r="A12" s="23"/>
      <c r="B12" s="23"/>
      <c r="C12" s="23"/>
      <c r="D12" s="16"/>
      <c r="E12" s="23"/>
      <c r="F12" s="23"/>
      <c r="G12" s="23"/>
      <c r="H12" s="23"/>
    </row>
    <row r="13" spans="1:8" ht="22.95" customHeight="1">
      <c r="A13" s="6" t="s">
        <v>15</v>
      </c>
      <c r="B13" s="6"/>
      <c r="C13" s="6"/>
      <c r="D13" s="17"/>
      <c r="E13" s="6"/>
      <c r="F13" s="23"/>
      <c r="G13" s="23"/>
      <c r="H13" s="23"/>
    </row>
    <row r="14" spans="1:8">
      <c r="A14" s="13" t="s">
        <v>16</v>
      </c>
      <c r="B14" s="13" t="s">
        <v>17</v>
      </c>
      <c r="C14" s="13" t="s">
        <v>18</v>
      </c>
      <c r="D14" s="18" t="s">
        <v>19</v>
      </c>
      <c r="E14" s="13" t="s">
        <v>20</v>
      </c>
      <c r="F14" s="23"/>
      <c r="G14" s="23"/>
      <c r="H14" s="23"/>
    </row>
    <row r="15" spans="1:8" ht="31.95" customHeight="1">
      <c r="A15" s="9" t="s">
        <v>21</v>
      </c>
      <c r="B15" s="14" t="s">
        <v>22</v>
      </c>
      <c r="C15" s="14" t="s">
        <v>23</v>
      </c>
      <c r="D15" s="45">
        <v>0</v>
      </c>
      <c r="E15" s="14" t="s">
        <v>24</v>
      </c>
      <c r="F15" s="23"/>
      <c r="G15" s="23"/>
      <c r="H15" s="23"/>
    </row>
    <row r="16" spans="1:8" ht="31.95" customHeight="1">
      <c r="A16" s="9" t="s">
        <v>25</v>
      </c>
      <c r="B16" s="14" t="s">
        <v>26</v>
      </c>
      <c r="C16" s="14" t="s">
        <v>27</v>
      </c>
      <c r="D16" s="45">
        <v>0</v>
      </c>
      <c r="E16" s="14" t="s">
        <v>28</v>
      </c>
      <c r="F16" s="23"/>
      <c r="G16" s="23"/>
      <c r="H16" s="23"/>
    </row>
    <row r="17" spans="1:8" ht="31.95" customHeight="1">
      <c r="A17" s="9" t="s">
        <v>29</v>
      </c>
      <c r="B17" s="14" t="s">
        <v>30</v>
      </c>
      <c r="C17" s="14" t="s">
        <v>31</v>
      </c>
      <c r="D17" s="45">
        <v>0</v>
      </c>
      <c r="E17" s="14" t="s">
        <v>32</v>
      </c>
      <c r="F17" s="23"/>
      <c r="G17" s="23"/>
      <c r="H17" s="23"/>
    </row>
    <row r="18" spans="1:8" ht="31.95" customHeight="1">
      <c r="A18" s="9" t="s">
        <v>33</v>
      </c>
      <c r="B18" s="14" t="s">
        <v>34</v>
      </c>
      <c r="C18" s="14" t="s">
        <v>35</v>
      </c>
      <c r="D18" s="45">
        <v>0</v>
      </c>
      <c r="E18" s="14"/>
      <c r="F18" s="23"/>
      <c r="G18" s="23"/>
      <c r="H18" s="23"/>
    </row>
    <row r="19" spans="1:8" ht="31.95" customHeight="1">
      <c r="A19" s="9" t="s">
        <v>36</v>
      </c>
      <c r="B19" s="14" t="s">
        <v>37</v>
      </c>
      <c r="C19" s="14" t="s">
        <v>38</v>
      </c>
      <c r="D19" s="45">
        <v>0</v>
      </c>
      <c r="E19" s="14"/>
      <c r="F19" s="23"/>
      <c r="G19" s="23"/>
      <c r="H19" s="23"/>
    </row>
    <row r="20" spans="1:8" ht="31.95" customHeight="1">
      <c r="A20" s="9" t="s">
        <v>39</v>
      </c>
      <c r="B20" s="14" t="s">
        <v>40</v>
      </c>
      <c r="C20" s="14" t="s">
        <v>41</v>
      </c>
      <c r="D20" s="45">
        <v>0</v>
      </c>
      <c r="E20" s="14"/>
      <c r="F20" s="23"/>
      <c r="G20" s="23"/>
      <c r="H20" s="23"/>
    </row>
    <row r="21" spans="1:8" ht="31.95" customHeight="1">
      <c r="A21" s="9" t="s">
        <v>42</v>
      </c>
      <c r="B21" s="14" t="s">
        <v>40</v>
      </c>
      <c r="C21" s="14" t="s">
        <v>43</v>
      </c>
      <c r="D21" s="45">
        <v>0</v>
      </c>
      <c r="E21" s="14"/>
      <c r="F21" s="23"/>
      <c r="G21" s="23"/>
      <c r="H21" s="23"/>
    </row>
    <row r="22" spans="1:8" ht="31.95" customHeight="1">
      <c r="A22" s="9" t="s">
        <v>44</v>
      </c>
      <c r="B22" s="14" t="s">
        <v>45</v>
      </c>
      <c r="C22" s="14" t="s">
        <v>46</v>
      </c>
      <c r="D22" s="45">
        <v>0</v>
      </c>
      <c r="E22" s="14"/>
      <c r="F22" s="23"/>
      <c r="G22" s="23"/>
      <c r="H22" s="23"/>
    </row>
    <row r="23" spans="1:8" ht="31.95" customHeight="1">
      <c r="A23" s="9" t="s">
        <v>47</v>
      </c>
      <c r="B23" s="14" t="s">
        <v>48</v>
      </c>
      <c r="C23" s="14" t="s">
        <v>49</v>
      </c>
      <c r="D23" s="45">
        <v>0</v>
      </c>
      <c r="E23" s="14"/>
      <c r="F23" s="23"/>
      <c r="G23" s="23"/>
      <c r="H23" s="23"/>
    </row>
    <row r="24" spans="1:8" ht="31.95" customHeight="1">
      <c r="A24" s="9" t="s">
        <v>50</v>
      </c>
      <c r="B24" s="14" t="s">
        <v>51</v>
      </c>
      <c r="C24" s="14" t="s">
        <v>52</v>
      </c>
      <c r="D24" s="45">
        <v>0</v>
      </c>
      <c r="E24" s="14"/>
      <c r="F24" s="23"/>
      <c r="G24" s="23"/>
      <c r="H24" s="23"/>
    </row>
    <row r="25" spans="1:8" ht="31.95" customHeight="1">
      <c r="A25" s="9" t="s">
        <v>53</v>
      </c>
      <c r="B25" s="14" t="s">
        <v>54</v>
      </c>
      <c r="C25" s="14" t="s">
        <v>55</v>
      </c>
      <c r="D25" s="45">
        <v>0</v>
      </c>
      <c r="E25" s="14"/>
      <c r="F25" s="23"/>
      <c r="G25" s="23"/>
      <c r="H25" s="23"/>
    </row>
    <row r="26" spans="1:8" ht="31.95" customHeight="1">
      <c r="A26" s="9" t="s">
        <v>56</v>
      </c>
      <c r="B26" s="14" t="s">
        <v>57</v>
      </c>
      <c r="C26" s="14" t="s">
        <v>58</v>
      </c>
      <c r="D26" s="45">
        <v>0</v>
      </c>
      <c r="E26" s="14"/>
      <c r="F26" s="23"/>
      <c r="G26" s="23"/>
      <c r="H26" s="23"/>
    </row>
    <row r="27" spans="1:8" ht="31.95" customHeight="1">
      <c r="A27" s="9" t="s">
        <v>59</v>
      </c>
      <c r="B27" s="14" t="s">
        <v>60</v>
      </c>
      <c r="C27" s="14" t="s">
        <v>61</v>
      </c>
      <c r="D27" s="45">
        <v>0</v>
      </c>
      <c r="E27" s="14"/>
      <c r="F27" s="23"/>
      <c r="G27" s="23"/>
      <c r="H27" s="23"/>
    </row>
    <row r="28" spans="1:8" ht="31.95" customHeight="1">
      <c r="A28" s="9" t="s">
        <v>62</v>
      </c>
      <c r="B28" s="14" t="s">
        <v>63</v>
      </c>
      <c r="C28" s="14" t="s">
        <v>64</v>
      </c>
      <c r="D28" s="45">
        <v>0</v>
      </c>
      <c r="E28" s="14"/>
      <c r="F28" s="23"/>
      <c r="G28" s="23"/>
      <c r="H28" s="23"/>
    </row>
    <row r="29" spans="1:8" ht="31.95" customHeight="1">
      <c r="A29" s="9" t="s">
        <v>65</v>
      </c>
      <c r="B29" s="14" t="s">
        <v>66</v>
      </c>
      <c r="C29" s="14" t="s">
        <v>67</v>
      </c>
      <c r="D29" s="45">
        <v>0</v>
      </c>
      <c r="E29" s="14"/>
      <c r="F29" s="23"/>
      <c r="G29" s="23"/>
      <c r="H29" s="23"/>
    </row>
    <row r="30" spans="1:8" ht="31.95" customHeight="1">
      <c r="A30" s="9" t="s">
        <v>68</v>
      </c>
      <c r="B30" s="14" t="s">
        <v>69</v>
      </c>
      <c r="C30" s="14" t="s">
        <v>70</v>
      </c>
      <c r="D30" s="45">
        <v>0</v>
      </c>
      <c r="E30" s="14"/>
      <c r="F30" s="23"/>
      <c r="G30" s="23"/>
      <c r="H30" s="23"/>
    </row>
    <row r="31" spans="1:8" ht="31.95" customHeight="1">
      <c r="A31" s="9" t="s">
        <v>71</v>
      </c>
      <c r="B31" s="14" t="s">
        <v>72</v>
      </c>
      <c r="C31" s="14" t="s">
        <v>73</v>
      </c>
      <c r="D31" s="45">
        <v>0</v>
      </c>
      <c r="E31" s="14"/>
      <c r="F31" s="23"/>
      <c r="G31" s="23"/>
      <c r="H31" s="23"/>
    </row>
    <row r="32" spans="1:8" ht="31.95" customHeight="1">
      <c r="A32" s="9" t="s">
        <v>74</v>
      </c>
      <c r="B32" s="14" t="s">
        <v>75</v>
      </c>
      <c r="C32" s="14" t="s">
        <v>76</v>
      </c>
      <c r="D32" s="45">
        <v>0</v>
      </c>
      <c r="E32" s="14"/>
      <c r="F32" s="23"/>
      <c r="G32" s="23"/>
      <c r="H32" s="23"/>
    </row>
    <row r="33" spans="1:8" ht="31.95" customHeight="1">
      <c r="A33" s="9" t="s">
        <v>77</v>
      </c>
      <c r="B33" s="14" t="s">
        <v>78</v>
      </c>
      <c r="C33" s="14" t="s">
        <v>79</v>
      </c>
      <c r="D33" s="45">
        <v>0</v>
      </c>
      <c r="E33" s="14"/>
      <c r="F33" s="23"/>
      <c r="G33" s="23"/>
      <c r="H33" s="23"/>
    </row>
    <row r="34" spans="1:8" ht="31.95" customHeight="1">
      <c r="A34" s="9" t="s">
        <v>80</v>
      </c>
      <c r="B34" s="14" t="s">
        <v>81</v>
      </c>
      <c r="C34" s="14" t="s">
        <v>82</v>
      </c>
      <c r="D34" s="45">
        <v>0</v>
      </c>
      <c r="E34" s="14"/>
      <c r="F34" s="23"/>
      <c r="G34" s="23"/>
      <c r="H34" s="23"/>
    </row>
    <row r="35" spans="1:8" ht="31.95" customHeight="1">
      <c r="A35" s="9" t="s">
        <v>83</v>
      </c>
      <c r="B35" s="14" t="s">
        <v>84</v>
      </c>
      <c r="C35" s="14" t="s">
        <v>85</v>
      </c>
      <c r="D35" s="45">
        <v>0</v>
      </c>
      <c r="E35" s="14"/>
      <c r="F35" s="23"/>
      <c r="G35" s="23"/>
      <c r="H35" s="23"/>
    </row>
    <row r="36" spans="1:8" ht="31.95" customHeight="1">
      <c r="A36" s="9" t="s">
        <v>86</v>
      </c>
      <c r="B36" s="14" t="s">
        <v>87</v>
      </c>
      <c r="C36" s="14" t="s">
        <v>88</v>
      </c>
      <c r="D36" s="45">
        <v>0</v>
      </c>
      <c r="E36" s="14"/>
      <c r="F36" s="23"/>
      <c r="G36" s="23"/>
      <c r="H36" s="23"/>
    </row>
    <row r="37" spans="1:8" ht="31.95" customHeight="1">
      <c r="A37" s="9" t="s">
        <v>89</v>
      </c>
      <c r="B37" s="14" t="s">
        <v>90</v>
      </c>
      <c r="C37" s="14" t="s">
        <v>91</v>
      </c>
      <c r="D37" s="45">
        <v>0</v>
      </c>
      <c r="E37" s="14"/>
      <c r="F37" s="23"/>
      <c r="G37" s="23"/>
      <c r="H37" s="23"/>
    </row>
    <row r="38" spans="1:8" ht="31.95" customHeight="1">
      <c r="A38" s="9" t="s">
        <v>92</v>
      </c>
      <c r="B38" s="14" t="s">
        <v>93</v>
      </c>
      <c r="C38" s="14" t="s">
        <v>94</v>
      </c>
      <c r="D38" s="45">
        <v>0</v>
      </c>
      <c r="E38" s="14" t="s">
        <v>95</v>
      </c>
      <c r="F38" s="23"/>
      <c r="G38" s="23"/>
      <c r="H38" s="23"/>
    </row>
    <row r="39" spans="1:8">
      <c r="A39" s="9"/>
      <c r="B39" s="9"/>
      <c r="C39" s="9"/>
      <c r="D39" s="19"/>
      <c r="E39" s="9"/>
      <c r="F39" s="23"/>
      <c r="G39" s="23"/>
      <c r="H39" s="23"/>
    </row>
    <row r="40" spans="1:8" ht="22.95" customHeight="1">
      <c r="A40" s="6" t="s">
        <v>96</v>
      </c>
      <c r="B40" s="6"/>
      <c r="C40" s="6"/>
      <c r="D40" s="17"/>
      <c r="E40" s="6"/>
      <c r="F40" s="23"/>
      <c r="G40" s="23"/>
      <c r="H40" s="23"/>
    </row>
    <row r="41" spans="1:8">
      <c r="A41" s="13" t="s">
        <v>16</v>
      </c>
      <c r="B41" s="13" t="s">
        <v>17</v>
      </c>
      <c r="C41" s="13" t="s">
        <v>18</v>
      </c>
      <c r="D41" s="18" t="s">
        <v>19</v>
      </c>
      <c r="E41" s="13" t="s">
        <v>20</v>
      </c>
      <c r="F41" s="23"/>
      <c r="G41" s="23"/>
      <c r="H41" s="23"/>
    </row>
    <row r="42" spans="1:8" ht="31.95" customHeight="1">
      <c r="A42" s="9" t="s">
        <v>97</v>
      </c>
      <c r="B42" s="14" t="s">
        <v>98</v>
      </c>
      <c r="C42" s="14" t="s">
        <v>99</v>
      </c>
      <c r="D42" s="45">
        <v>0</v>
      </c>
      <c r="E42" s="14"/>
      <c r="F42" s="23"/>
      <c r="G42" s="23"/>
      <c r="H42" s="23"/>
    </row>
    <row r="43" spans="1:8" ht="31.95" customHeight="1">
      <c r="A43" s="9" t="s">
        <v>100</v>
      </c>
      <c r="B43" s="14" t="s">
        <v>101</v>
      </c>
      <c r="C43" s="14" t="s">
        <v>102</v>
      </c>
      <c r="D43" s="45">
        <v>0</v>
      </c>
      <c r="E43" s="14" t="s">
        <v>103</v>
      </c>
      <c r="F43" s="23"/>
      <c r="G43" s="23"/>
      <c r="H43" s="23"/>
    </row>
    <row r="44" spans="1:8" ht="31.95" customHeight="1">
      <c r="A44" s="9" t="s">
        <v>104</v>
      </c>
      <c r="B44" s="14" t="s">
        <v>105</v>
      </c>
      <c r="C44" s="14" t="s">
        <v>106</v>
      </c>
      <c r="D44" s="45">
        <v>0</v>
      </c>
      <c r="E44" s="14"/>
      <c r="F44" s="23"/>
      <c r="G44" s="23"/>
      <c r="H44" s="23"/>
    </row>
    <row r="45" spans="1:8" ht="31.95" customHeight="1">
      <c r="A45" s="9" t="s">
        <v>107</v>
      </c>
      <c r="B45" s="14" t="s">
        <v>108</v>
      </c>
      <c r="C45" s="14" t="s">
        <v>109</v>
      </c>
      <c r="D45" s="45">
        <v>0</v>
      </c>
      <c r="E45" s="14"/>
      <c r="F45" s="23"/>
      <c r="G45" s="23"/>
      <c r="H45" s="23"/>
    </row>
    <row r="46" spans="1:8" ht="31.95" customHeight="1">
      <c r="A46" s="9" t="s">
        <v>110</v>
      </c>
      <c r="B46" s="14" t="s">
        <v>111</v>
      </c>
      <c r="C46" s="14" t="s">
        <v>112</v>
      </c>
      <c r="D46" s="45">
        <v>0</v>
      </c>
      <c r="E46" s="14" t="s">
        <v>113</v>
      </c>
      <c r="F46" s="23"/>
      <c r="G46" s="23"/>
      <c r="H46" s="23"/>
    </row>
    <row r="47" spans="1:8" ht="31.95" customHeight="1">
      <c r="A47" s="9" t="s">
        <v>114</v>
      </c>
      <c r="B47" s="14" t="s">
        <v>115</v>
      </c>
      <c r="C47" s="14" t="s">
        <v>116</v>
      </c>
      <c r="D47" s="45">
        <v>0</v>
      </c>
      <c r="E47" s="14" t="s">
        <v>117</v>
      </c>
      <c r="F47" s="23"/>
      <c r="G47" s="23"/>
      <c r="H47" s="23"/>
    </row>
    <row r="48" spans="1:8" ht="31.95" customHeight="1">
      <c r="A48" s="9" t="s">
        <v>118</v>
      </c>
      <c r="B48" s="14" t="s">
        <v>119</v>
      </c>
      <c r="C48" s="14" t="s">
        <v>120</v>
      </c>
      <c r="D48" s="45">
        <v>0</v>
      </c>
      <c r="E48" s="14"/>
      <c r="F48" s="23"/>
      <c r="G48" s="23"/>
      <c r="H48" s="23"/>
    </row>
    <row r="49" spans="1:8" ht="31.95" customHeight="1">
      <c r="A49" s="9" t="s">
        <v>121</v>
      </c>
      <c r="B49" s="14" t="s">
        <v>122</v>
      </c>
      <c r="C49" s="14" t="s">
        <v>123</v>
      </c>
      <c r="D49" s="45">
        <v>0</v>
      </c>
      <c r="E49" s="14"/>
      <c r="F49" s="23"/>
      <c r="G49" s="23"/>
      <c r="H49" s="23"/>
    </row>
    <row r="50" spans="1:8" ht="31.95" customHeight="1">
      <c r="A50" s="9" t="s">
        <v>124</v>
      </c>
      <c r="B50" s="14" t="s">
        <v>125</v>
      </c>
      <c r="C50" s="14" t="s">
        <v>126</v>
      </c>
      <c r="D50" s="45">
        <v>0</v>
      </c>
      <c r="E50" s="14"/>
      <c r="F50" s="23"/>
      <c r="G50" s="23"/>
      <c r="H50" s="23"/>
    </row>
    <row r="51" spans="1:8" ht="31.95" customHeight="1">
      <c r="A51" s="9" t="s">
        <v>127</v>
      </c>
      <c r="B51" s="14" t="s">
        <v>128</v>
      </c>
      <c r="C51" s="14" t="s">
        <v>129</v>
      </c>
      <c r="D51" s="45">
        <v>0</v>
      </c>
      <c r="E51" s="14"/>
      <c r="F51" s="23"/>
      <c r="G51" s="23"/>
      <c r="H51" s="23"/>
    </row>
    <row r="52" spans="1:8" ht="31.95" customHeight="1">
      <c r="A52" s="9" t="s">
        <v>130</v>
      </c>
      <c r="B52" s="14" t="s">
        <v>131</v>
      </c>
      <c r="C52" s="14" t="s">
        <v>132</v>
      </c>
      <c r="D52" s="45">
        <v>0</v>
      </c>
      <c r="E52" s="14"/>
      <c r="F52" s="23"/>
      <c r="G52" s="23"/>
      <c r="H52" s="23"/>
    </row>
    <row r="53" spans="1:8" ht="31.95" customHeight="1">
      <c r="A53" s="9" t="s">
        <v>133</v>
      </c>
      <c r="B53" s="14" t="s">
        <v>134</v>
      </c>
      <c r="C53" s="14" t="s">
        <v>135</v>
      </c>
      <c r="D53" s="45">
        <v>0</v>
      </c>
      <c r="E53" s="14"/>
      <c r="F53" s="23"/>
      <c r="G53" s="23"/>
      <c r="H53" s="23"/>
    </row>
    <row r="54" spans="1:8" ht="31.95" customHeight="1">
      <c r="A54" s="9" t="s">
        <v>136</v>
      </c>
      <c r="B54" s="14" t="s">
        <v>137</v>
      </c>
      <c r="C54" s="14" t="s">
        <v>138</v>
      </c>
      <c r="D54" s="45">
        <v>0</v>
      </c>
      <c r="E54" s="14"/>
      <c r="F54" s="23"/>
      <c r="G54" s="23"/>
      <c r="H54" s="23"/>
    </row>
    <row r="55" spans="1:8" ht="31.95" customHeight="1">
      <c r="A55" s="9" t="s">
        <v>139</v>
      </c>
      <c r="B55" s="14" t="s">
        <v>140</v>
      </c>
      <c r="C55" s="14" t="s">
        <v>141</v>
      </c>
      <c r="D55" s="45">
        <v>0</v>
      </c>
      <c r="E55" s="14"/>
      <c r="F55" s="23"/>
      <c r="G55" s="23"/>
      <c r="H55" s="23"/>
    </row>
    <row r="56" spans="1:8" ht="31.95" customHeight="1">
      <c r="A56" s="9" t="s">
        <v>142</v>
      </c>
      <c r="B56" s="14" t="s">
        <v>143</v>
      </c>
      <c r="C56" s="14" t="s">
        <v>144</v>
      </c>
      <c r="D56" s="45">
        <v>0</v>
      </c>
      <c r="E56" s="14"/>
      <c r="F56" s="23"/>
      <c r="G56" s="23"/>
      <c r="H56" s="23"/>
    </row>
    <row r="57" spans="1:8" ht="31.95" customHeight="1">
      <c r="A57" s="9" t="s">
        <v>145</v>
      </c>
      <c r="B57" s="14" t="s">
        <v>146</v>
      </c>
      <c r="C57" s="14" t="s">
        <v>147</v>
      </c>
      <c r="D57" s="45">
        <v>0</v>
      </c>
      <c r="E57" s="14"/>
      <c r="F57" s="23"/>
      <c r="G57" s="23"/>
      <c r="H57" s="23"/>
    </row>
    <row r="58" spans="1:8" ht="31.95" customHeight="1">
      <c r="A58" s="9" t="s">
        <v>148</v>
      </c>
      <c r="B58" s="14" t="s">
        <v>149</v>
      </c>
      <c r="C58" s="14" t="s">
        <v>150</v>
      </c>
      <c r="D58" s="45">
        <v>0</v>
      </c>
      <c r="E58" s="14"/>
      <c r="F58" s="23"/>
      <c r="G58" s="23"/>
      <c r="H58" s="23"/>
    </row>
    <row r="59" spans="1:8" ht="31.95" customHeight="1">
      <c r="A59" s="9" t="s">
        <v>151</v>
      </c>
      <c r="B59" s="14" t="s">
        <v>152</v>
      </c>
      <c r="C59" s="14" t="s">
        <v>153</v>
      </c>
      <c r="D59" s="45">
        <v>0</v>
      </c>
      <c r="E59" s="14"/>
      <c r="F59" s="23"/>
      <c r="G59" s="23"/>
      <c r="H59" s="23"/>
    </row>
    <row r="60" spans="1:8" ht="31.95" customHeight="1">
      <c r="A60" s="9" t="s">
        <v>154</v>
      </c>
      <c r="B60" s="14" t="s">
        <v>155</v>
      </c>
      <c r="C60" s="14" t="s">
        <v>156</v>
      </c>
      <c r="D60" s="45">
        <v>0</v>
      </c>
      <c r="E60" s="14"/>
      <c r="F60" s="23"/>
      <c r="G60" s="23"/>
      <c r="H60" s="23"/>
    </row>
    <row r="61" spans="1:8" ht="31.95" customHeight="1">
      <c r="A61" s="9" t="s">
        <v>157</v>
      </c>
      <c r="B61" s="14" t="s">
        <v>158</v>
      </c>
      <c r="C61" s="14" t="s">
        <v>159</v>
      </c>
      <c r="D61" s="45">
        <v>0</v>
      </c>
      <c r="E61" s="14"/>
      <c r="F61" s="23"/>
      <c r="G61" s="23"/>
      <c r="H61" s="23"/>
    </row>
    <row r="62" spans="1:8" ht="31.95" customHeight="1">
      <c r="A62" s="9" t="s">
        <v>160</v>
      </c>
      <c r="B62" s="14" t="s">
        <v>161</v>
      </c>
      <c r="C62" s="14" t="s">
        <v>162</v>
      </c>
      <c r="D62" s="45">
        <v>0</v>
      </c>
      <c r="E62" s="14"/>
      <c r="F62" s="23"/>
      <c r="G62" s="23"/>
      <c r="H62" s="23"/>
    </row>
    <row r="63" spans="1:8" ht="31.95" customHeight="1">
      <c r="A63" s="9" t="s">
        <v>163</v>
      </c>
      <c r="B63" s="14" t="s">
        <v>164</v>
      </c>
      <c r="C63" s="14" t="s">
        <v>165</v>
      </c>
      <c r="D63" s="45">
        <v>0</v>
      </c>
      <c r="E63" s="14"/>
      <c r="F63" s="23"/>
      <c r="G63" s="23"/>
      <c r="H63" s="23"/>
    </row>
    <row r="64" spans="1:8" ht="31.95" customHeight="1">
      <c r="A64" s="9" t="s">
        <v>166</v>
      </c>
      <c r="B64" s="14" t="s">
        <v>167</v>
      </c>
      <c r="C64" s="14" t="s">
        <v>168</v>
      </c>
      <c r="D64" s="45">
        <v>0</v>
      </c>
      <c r="E64" s="14"/>
      <c r="F64" s="23"/>
      <c r="G64" s="23"/>
      <c r="H64" s="23"/>
    </row>
    <row r="65" spans="1:8" ht="31.95" customHeight="1">
      <c r="A65" s="9" t="s">
        <v>169</v>
      </c>
      <c r="B65" s="14" t="s">
        <v>170</v>
      </c>
      <c r="C65" s="14" t="s">
        <v>171</v>
      </c>
      <c r="D65" s="45">
        <v>0</v>
      </c>
      <c r="E65" s="14"/>
      <c r="F65" s="23"/>
      <c r="G65" s="23"/>
      <c r="H65" s="23"/>
    </row>
    <row r="66" spans="1:8" ht="31.95" customHeight="1">
      <c r="A66" s="9" t="s">
        <v>172</v>
      </c>
      <c r="B66" s="14" t="s">
        <v>173</v>
      </c>
      <c r="C66" s="14" t="s">
        <v>174</v>
      </c>
      <c r="D66" s="45">
        <v>0</v>
      </c>
      <c r="E66" s="14"/>
      <c r="F66" s="23"/>
      <c r="G66" s="23"/>
      <c r="H66" s="23"/>
    </row>
  </sheetData>
  <sheetProtection sheet="1" objects="1" scenarios="1"/>
  <mergeCells count="17">
    <mergeCell ref="A13:E13"/>
    <mergeCell ref="A40:E40"/>
    <mergeCell ref="A8:C8"/>
    <mergeCell ref="A9:C9"/>
    <mergeCell ref="A10:C10"/>
    <mergeCell ref="A11:C11"/>
    <mergeCell ref="F4:H4"/>
    <mergeCell ref="F5:G5"/>
    <mergeCell ref="F6:G6"/>
    <mergeCell ref="F7:G7"/>
    <mergeCell ref="F8:H10"/>
    <mergeCell ref="A1:H1"/>
    <mergeCell ref="A2:H2"/>
    <mergeCell ref="A4:E4"/>
    <mergeCell ref="A5:C5"/>
    <mergeCell ref="A6:C6"/>
    <mergeCell ref="A7:C7"/>
  </mergeCells>
  <phoneticPr fontId="2"/>
  <dataValidations count="54">
    <dataValidation type="custom" showInputMessage="1" showErrorMessage="1" sqref="D6" xr:uid="{A5202DE3-F1D2-4D39-9873-50D54FDFD3D7}">
      <formula1>AND(ISNUMBER(D6),D6&gt;=DATE(1900,1,1),D6&lt;=DATE(2100,12,31))</formula1>
    </dataValidation>
    <dataValidation type="custom" showInputMessage="1" showErrorMessage="1" sqref="D7" xr:uid="{E2387534-36C5-459D-83D9-5443BDD96181}">
      <formula1>AND(ISNUMBER(D7),ISNUMBER(D6),D7&gt;=D6,D7&lt;=IF(DAY(EDATE(D6,12))&lt;DAY(D6),EDATE(D6,12),EDATE(D6,12)-1))</formula1>
    </dataValidation>
    <dataValidation type="list" showInputMessage="1" showErrorMessage="1" sqref="D9" xr:uid="{1DB2EB8C-1204-45D4-A4DB-5551E694F52E}">
      <formula1>"該当,非該当"</formula1>
    </dataValidation>
    <dataValidation type="list" showInputMessage="1" showErrorMessage="1" sqref="D10" xr:uid="{129C8516-6AA9-4624-8DA5-E9CC5178820E}">
      <formula1>"はい,いいえ"</formula1>
    </dataValidation>
    <dataValidation type="list" showInputMessage="1" showErrorMessage="1" sqref="D11" xr:uid="{E2045C86-9D95-4390-90D7-1EBBB56260EE}">
      <formula1>"はい,いいえ"</formula1>
    </dataValidation>
    <dataValidation type="custom" showInputMessage="1" showErrorMessage="1" errorTitle="入力エラー" error="絶対値1,000兆円未満の円単位整数を入力してください（負数可）。" sqref="D15" xr:uid="{A3EF9CC9-8DDE-4F6F-BBE5-D6BE3AF3C9E2}">
      <formula1>AND(ISNUMBER(D15),D15=INT(D15),ABS(D15)&lt;=999999999999999)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6" xr:uid="{2A09C4EE-A217-4BD6-A0E1-436A189616CB}">
      <formula1>AND(ISNUMBER(D16),D16=INT(D16),D16&gt;=0,D16&lt;=999999999999999)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7" xr:uid="{887879BD-0D83-4CFF-80F4-8EA895C56ECD}">
      <formula1>AND(ISNUMBER(D17),D17=INT(D17),D17&gt;=0,D17&lt;=999999999999999)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8" xr:uid="{0F22E47E-1B36-478D-AA63-7DBE0A83E729}">
      <formula1>AND(ISNUMBER(D18),D18=INT(D18),D18&gt;=0,D18&lt;=999999999999999)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9" xr:uid="{9CBF4701-7EB6-483F-8E9D-219C0A005FB7}">
      <formula1>AND(ISNUMBER(D19),D19=INT(D19),D19&gt;=0,D19&lt;=999999999999999)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0" xr:uid="{4349EDAF-3B1B-4A29-B06F-CCC31CAB04F6}">
      <formula1>AND(ISNUMBER(D20),D20=INT(D20),D20&gt;=0,D20&lt;=999999999999999)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1" xr:uid="{CC6D081B-6C31-43E3-B241-E48583EF0173}">
      <formula1>AND(ISNUMBER(D21),D21=INT(D21),D21&gt;=0,D21&lt;=999999999999999)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2" xr:uid="{A62B19B0-47DB-42E6-8395-F72E8F4C5921}">
      <formula1>AND(ISNUMBER(D22),D22=INT(D22),D22&gt;=0,D22&lt;=999999999999999)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3" xr:uid="{77C28A5D-6F20-4343-A649-FEC759F2223B}">
      <formula1>AND(ISNUMBER(D23),D23=INT(D23),D23&gt;=0,D23&lt;=999999999999999)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4" xr:uid="{1D2D59A0-3261-453D-85F4-F729CB5B0E59}">
      <formula1>AND(ISNUMBER(D24),D24=INT(D24),D24&gt;=0,D24&lt;=999999999999999)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5" xr:uid="{5156A8DF-2D1E-4C8D-B409-2D44531503D3}">
      <formula1>AND(ISNUMBER(D25),D25=INT(D25),D25&gt;=0,D25&lt;=999999999999999)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6" xr:uid="{EE87141E-87EE-4A04-A53B-891E4E07A6DE}">
      <formula1>AND(ISNUMBER(D26),D26=INT(D26),D26&gt;=0,D26&lt;=999999999999999)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7" xr:uid="{24185A44-A602-465D-81A9-DCDB113BB503}">
      <formula1>AND(ISNUMBER(D27),D27=INT(D27),D27&gt;=0,D27&lt;=999999999999999)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8" xr:uid="{71112A8C-6347-4FF9-9210-299C3F41CAF2}">
      <formula1>AND(ISNUMBER(D28),D28=INT(D28),D28&gt;=0,D28&lt;=999999999999999)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9" xr:uid="{3FDA3438-FA82-4BAD-8875-96AB97528CAC}">
      <formula1>AND(ISNUMBER(D29),D29=INT(D29),D29&gt;=0,D29&lt;=999999999999999)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0" xr:uid="{02511CDD-43E7-4B0B-9208-39EA05AB4304}">
      <formula1>AND(ISNUMBER(D30),D30=INT(D30),D30&gt;=0,D30&lt;=999999999999999)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1" xr:uid="{6A56D475-5B13-435E-983D-B21602E83D50}">
      <formula1>AND(ISNUMBER(D31),D31=INT(D31),D31&gt;=0,D31&lt;=999999999999999)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2" xr:uid="{AE646B0D-D643-4C80-B659-9DB1CF06A320}">
      <formula1>AND(ISNUMBER(D32),D32=INT(D32),D32&gt;=0,D32&lt;=999999999999999)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3" xr:uid="{9E6457AB-883A-487A-B982-2BB61B592187}">
      <formula1>AND(ISNUMBER(D33),D33=INT(D33),D33&gt;=0,D33&lt;=999999999999999)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4" xr:uid="{3357AB05-86DB-498E-B7B3-293978C1C435}">
      <formula1>AND(ISNUMBER(D34),D34=INT(D34),D34&gt;=0,D34&lt;=999999999999999)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5" xr:uid="{168E8B29-404B-41E4-AB69-A0E5597C3D5F}">
      <formula1>AND(ISNUMBER(D35),D35=INT(D35),D35&gt;=0,D35&lt;=999999999999999)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6" xr:uid="{C3307913-8397-49E1-805F-DA55E6931433}">
      <formula1>AND(ISNUMBER(D36),D36=INT(D36),D36&gt;=0,D36&lt;=999999999999999)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7" xr:uid="{86C6C6C4-DF00-482E-802E-95758688BA5E}">
      <formula1>AND(ISNUMBER(D37),D37=INT(D37),D37&gt;=0,D37&lt;=999999999999999)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8" xr:uid="{8B3A8174-F816-4CEB-A3F4-E4774381E6EE}">
      <formula1>AND(ISNUMBER(D38),D38=INT(D38),D38&gt;=0,D38&lt;=999999999999999)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2" xr:uid="{F456E53F-1337-4F04-ACDD-D4F29FF420F4}">
      <formula1>AND(ISNUMBER(D42),D42=INT(D42),D42&gt;=0,D42&lt;=999999999999999)</formula1>
    </dataValidation>
    <dataValidation type="custom" showInputMessage="1" showErrorMessage="1" errorTitle="入力エラー" error="絶対値1,000兆円未満の円単位整数を入力してください（負数可）。" sqref="D43" xr:uid="{5DFC3CBD-4362-4084-85A1-C534C5B84C41}">
      <formula1>AND(ISNUMBER(D43),D43=INT(D43),ABS(D43)&lt;=999999999999999)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4" xr:uid="{0E85D9B9-279C-4AF8-AFC4-D5F58CF89278}">
      <formula1>AND(ISNUMBER(D44),D44=INT(D44),D44&gt;=0,D44&lt;=999999999999999)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5" xr:uid="{512469C8-9D86-495A-AA41-EC1891FE4390}">
      <formula1>AND(ISNUMBER(D45),D45=INT(D45),D45&gt;=0,D45&lt;=999999999999999)</formula1>
    </dataValidation>
    <dataValidation type="custom" showInputMessage="1" showErrorMessage="1" errorTitle="入力エラー" error="絶対値1,000兆円未満の円単位整数を入力してください（負数可）。" sqref="D46" xr:uid="{B50D97D3-4F3C-43F2-B8B6-BFB91217A4D5}">
      <formula1>AND(ISNUMBER(D46),D46=INT(D46),ABS(D46)&lt;=999999999999999)</formula1>
    </dataValidation>
    <dataValidation type="custom" showInputMessage="1" showErrorMessage="1" errorTitle="入力エラー" error="絶対値1,000兆円未満の円単位整数を入力してください（負数可）。" sqref="D47" xr:uid="{1D85FEDC-F4E2-4A3A-B7B0-189A63228D64}">
      <formula1>AND(ISNUMBER(D47),D47=INT(D47),ABS(D47)&lt;=999999999999999)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8" xr:uid="{A773730C-330C-4BE4-BD90-6E0AE2E2B51A}">
      <formula1>AND(ISNUMBER(D48),D48=INT(D48),D48&gt;=0,D48&lt;=999999999999999)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9" xr:uid="{85B7DFE4-8E4A-4B4C-9F24-F0FC4E780FA7}">
      <formula1>AND(ISNUMBER(D49),D49=INT(D49),D49&gt;=0,D49&lt;=999999999999999)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0" xr:uid="{2BE9C5DD-447F-4481-A4B7-80F61701CCB1}">
      <formula1>AND(ISNUMBER(D50),D50=INT(D50),D50&gt;=0,D50&lt;=999999999999999)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1" xr:uid="{4139643A-CD7F-46EA-A938-9BB79FC7E4F8}">
      <formula1>AND(ISNUMBER(D51),D51=INT(D51),D51&gt;=0,D51&lt;=999999999999999)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2" xr:uid="{63F6A2E4-FF00-4542-9760-BD5BB15A2FAB}">
      <formula1>AND(ISNUMBER(D52),D52=INT(D52),D52&gt;=0,D52&lt;=999999999999999)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3" xr:uid="{7C428D1F-48D0-4840-A0BF-79275278BC53}">
      <formula1>AND(ISNUMBER(D53),D53=INT(D53),D53&gt;=0,D53&lt;=999999999999999)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4" xr:uid="{9B85398A-0747-4222-BD88-CB651EDBB8F9}">
      <formula1>AND(ISNUMBER(D54),D54=INT(D54),D54&gt;=0,D54&lt;=999999999999999)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5" xr:uid="{AAF3ED85-BBA1-4E4A-8084-66F15AC0C0AA}">
      <formula1>AND(ISNUMBER(D55),D55=INT(D55),D55&gt;=0,D55&lt;=999999999999999)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6" xr:uid="{16717A7E-03E8-449A-87F9-BE930BE52D62}">
      <formula1>AND(ISNUMBER(D56),D56=INT(D56),D56&gt;=0,D56&lt;=999999999999999)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7" xr:uid="{21437D42-792E-442D-ABE8-F42A159D2A24}">
      <formula1>AND(ISNUMBER(D57),D57=INT(D57),D57&gt;=0,D57&lt;=999999999999999)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8" xr:uid="{CCC6FF6B-D94D-49A0-8C26-D05C77A6F132}">
      <formula1>AND(ISNUMBER(D58),D58=INT(D58),D58&gt;=0,D58&lt;=999999999999999)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9" xr:uid="{BEFA944E-631A-4BDC-BC6F-89AA1F8B3593}">
      <formula1>AND(ISNUMBER(D59),D59=INT(D59),D59&gt;=0,D59&lt;=999999999999999)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0" xr:uid="{E9D53EB0-D192-47D6-840F-68C0034AB584}">
      <formula1>AND(ISNUMBER(D60),D60=INT(D60),D60&gt;=0,D60&lt;=999999999999999)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1" xr:uid="{7EFB2A86-5994-4D80-B784-37D941E23013}">
      <formula1>AND(ISNUMBER(D61),D61=INT(D61),D61&gt;=0,D61&lt;=999999999999999)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2" xr:uid="{329E3E08-84C7-422F-8E6E-97570466D94C}">
      <formula1>AND(ISNUMBER(D62),D62=INT(D62),D62&gt;=0,D62&lt;=999999999999999)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3" xr:uid="{595F4220-F9CA-434F-917E-6D2453C03A91}">
      <formula1>AND(ISNUMBER(D63),D63=INT(D63),D63&gt;=0,D63&lt;=999999999999999)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4" xr:uid="{168CDC00-D9B0-4802-A033-F5A8B4B1AA38}">
      <formula1>AND(ISNUMBER(D64),D64=INT(D64),D64&gt;=0,D64&lt;=999999999999999)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5" xr:uid="{20F0451C-46B2-4B22-A118-4EFD4923A32A}">
      <formula1>AND(ISNUMBER(D65),D65=INT(D65),D65&gt;=0,D65&lt;=999999999999999)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6" xr:uid="{FB1F96D4-DF96-44E4-AC22-B175AA94016F}">
      <formula1>AND(ISNUMBER(D66),D66=INT(D66),D66&gt;=0,D66&lt;=999999999999999)</formula1>
    </dataValidation>
  </dataValidations>
  <pageMargins left="0.7" right="0.7" top="0.75" bottom="0.75" header="0.3" footer="0.3"/>
  <pageSetup paperSize="9" fitToHeight="99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E4935-4AD3-44FC-9E5F-6EECD128AAB5}">
  <sheetPr>
    <tabColor rgb="FF2F75B5"/>
    <pageSetUpPr fitToPage="1"/>
  </sheetPr>
  <dimension ref="A1:G32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  <col min="6" max="6" width="31.69921875" customWidth="1"/>
    <col min="7" max="7" width="19.69921875" customWidth="1"/>
  </cols>
  <sheetData>
    <row r="1" spans="1:7" ht="30" customHeight="1">
      <c r="A1" s="2" t="s">
        <v>175</v>
      </c>
      <c r="B1" s="3"/>
      <c r="C1" s="3"/>
      <c r="D1" s="3"/>
      <c r="E1" s="3"/>
    </row>
    <row r="2" spans="1:7">
      <c r="A2" s="4" t="s">
        <v>176</v>
      </c>
      <c r="B2" s="3"/>
      <c r="C2" s="3"/>
      <c r="D2" s="3"/>
      <c r="E2" s="3"/>
    </row>
    <row r="3" spans="1:7">
      <c r="A3" s="5"/>
      <c r="B3" s="5"/>
      <c r="C3" s="5"/>
      <c r="D3" s="5"/>
      <c r="E3" s="5"/>
    </row>
    <row r="4" spans="1:7">
      <c r="A4" s="24" t="s">
        <v>177</v>
      </c>
      <c r="B4" s="24" t="s">
        <v>178</v>
      </c>
      <c r="C4" s="24" t="s">
        <v>179</v>
      </c>
      <c r="D4" s="24" t="s">
        <v>180</v>
      </c>
      <c r="E4" s="24" t="s">
        <v>181</v>
      </c>
      <c r="F4" s="28" t="s">
        <v>279</v>
      </c>
      <c r="G4" s="28" t="s">
        <v>280</v>
      </c>
    </row>
    <row r="5" spans="1:7" ht="37.950000000000003" customHeight="1">
      <c r="A5" s="25">
        <v>1</v>
      </c>
      <c r="B5" s="26" t="s">
        <v>182</v>
      </c>
      <c r="C5" s="26" t="s">
        <v>183</v>
      </c>
      <c r="D5" s="27">
        <f>MIN(m_21,IF(inp_months="",0,30000000*inp_months/12))</f>
        <v>0</v>
      </c>
      <c r="E5" s="26" t="s">
        <v>184</v>
      </c>
      <c r="F5" s="1" t="s">
        <v>281</v>
      </c>
      <c r="G5" s="29">
        <f>MAX(m_19-m_20,0)</f>
        <v>0</v>
      </c>
    </row>
    <row r="6" spans="1:7" ht="37.950000000000003" customHeight="1">
      <c r="A6" s="25">
        <v>2</v>
      </c>
      <c r="B6" s="26" t="s">
        <v>185</v>
      </c>
      <c r="C6" s="26" t="s">
        <v>186</v>
      </c>
      <c r="D6" s="27">
        <f>$G$10</f>
        <v>0</v>
      </c>
      <c r="E6" s="26" t="s">
        <v>187</v>
      </c>
      <c r="F6" s="1" t="s">
        <v>282</v>
      </c>
      <c r="G6" s="29">
        <f>G5-m_21</f>
        <v>0</v>
      </c>
    </row>
    <row r="7" spans="1:7" ht="37.950000000000003" customHeight="1">
      <c r="A7" s="25">
        <v>3</v>
      </c>
      <c r="B7" s="26" t="s">
        <v>188</v>
      </c>
      <c r="C7" s="26" t="s">
        <v>189</v>
      </c>
      <c r="D7" s="27">
        <f>m_21-m_01-m_02</f>
        <v>0</v>
      </c>
      <c r="E7" s="26" t="s">
        <v>184</v>
      </c>
      <c r="F7" s="1" t="s">
        <v>283</v>
      </c>
      <c r="G7" s="29">
        <f>IF(inp_months="",0,100000000*inp_months/12)</f>
        <v>100000000</v>
      </c>
    </row>
    <row r="8" spans="1:7" ht="37.950000000000003" customHeight="1">
      <c r="A8" s="25">
        <v>4</v>
      </c>
      <c r="B8" s="26" t="s">
        <v>190</v>
      </c>
      <c r="C8" s="26" t="s">
        <v>191</v>
      </c>
      <c r="D8" s="27">
        <f>SUM(m_01:m_03)</f>
        <v>0</v>
      </c>
      <c r="E8" s="26" t="s">
        <v>192</v>
      </c>
      <c r="F8" s="1" t="s">
        <v>284</v>
      </c>
      <c r="G8" s="29">
        <f>MAX(0,MIN(m_21-m_01,G7-m_01))</f>
        <v>0</v>
      </c>
    </row>
    <row r="9" spans="1:7" ht="37.950000000000003" customHeight="1">
      <c r="A9" s="25">
        <v>5</v>
      </c>
      <c r="B9" s="26" t="s">
        <v>193</v>
      </c>
      <c r="C9" s="26" t="s">
        <v>194</v>
      </c>
      <c r="D9" s="27">
        <f>ROUNDDOWN(m_01*10%,0)</f>
        <v>0</v>
      </c>
      <c r="E9" s="26" t="s">
        <v>195</v>
      </c>
      <c r="F9" s="1" t="s">
        <v>285</v>
      </c>
      <c r="G9" s="29">
        <f>G8-ROUNDDOWN(G8,-3)</f>
        <v>0</v>
      </c>
    </row>
    <row r="10" spans="1:7" ht="37.950000000000003" customHeight="1">
      <c r="A10" s="25">
        <v>6</v>
      </c>
      <c r="B10" s="26" t="s">
        <v>196</v>
      </c>
      <c r="C10" s="26" t="s">
        <v>197</v>
      </c>
      <c r="D10" s="27">
        <f>ROUNDDOWN(m_02*15%,0)</f>
        <v>0</v>
      </c>
      <c r="E10" s="26" t="s">
        <v>195</v>
      </c>
      <c r="F10" s="1" t="s">
        <v>286</v>
      </c>
      <c r="G10" s="29">
        <f>IF(G9&gt;G6,ROUNDUP(G8,-3),ROUNDDOWN(G8,-3))</f>
        <v>0</v>
      </c>
    </row>
    <row r="11" spans="1:7" ht="37.950000000000003" customHeight="1">
      <c r="A11" s="25">
        <v>7</v>
      </c>
      <c r="B11" s="26" t="s">
        <v>198</v>
      </c>
      <c r="C11" s="26" t="s">
        <v>199</v>
      </c>
      <c r="D11" s="27">
        <f>ROUNDDOWN(m_03*20%,0)</f>
        <v>0</v>
      </c>
      <c r="E11" s="26" t="s">
        <v>195</v>
      </c>
    </row>
    <row r="12" spans="1:7" ht="37.950000000000003" customHeight="1">
      <c r="A12" s="25">
        <v>8</v>
      </c>
      <c r="B12" s="26" t="s">
        <v>200</v>
      </c>
      <c r="C12" s="26" t="s">
        <v>201</v>
      </c>
      <c r="D12" s="30">
        <f>SUM(m_05:m_07)</f>
        <v>0</v>
      </c>
      <c r="E12" s="26" t="s">
        <v>202</v>
      </c>
    </row>
    <row r="13" spans="1:7" ht="37.950000000000003" customHeight="1">
      <c r="A13" s="25">
        <v>9</v>
      </c>
      <c r="B13" s="26" t="s">
        <v>203</v>
      </c>
      <c r="C13" s="26" t="s">
        <v>204</v>
      </c>
      <c r="D13" s="27">
        <f>inp_m9_base+inp_m9_extra</f>
        <v>0</v>
      </c>
      <c r="E13" s="26" t="s">
        <v>205</v>
      </c>
    </row>
    <row r="14" spans="1:7" ht="37.950000000000003" customHeight="1">
      <c r="A14" s="25">
        <v>10</v>
      </c>
      <c r="B14" s="26" t="s">
        <v>35</v>
      </c>
      <c r="C14" s="26" t="s">
        <v>206</v>
      </c>
      <c r="D14" s="27">
        <f>inp_prev_div</f>
        <v>0</v>
      </c>
      <c r="E14" s="26" t="s">
        <v>195</v>
      </c>
    </row>
    <row r="15" spans="1:7" ht="37.950000000000003" customHeight="1">
      <c r="A15" s="25">
        <v>11</v>
      </c>
      <c r="B15" s="26" t="s">
        <v>38</v>
      </c>
      <c r="C15" s="26" t="s">
        <v>37</v>
      </c>
      <c r="D15" s="27">
        <f>inp_curr_div</f>
        <v>0</v>
      </c>
      <c r="E15" s="26" t="s">
        <v>195</v>
      </c>
    </row>
    <row r="16" spans="1:7" ht="37.950000000000003" customHeight="1">
      <c r="A16" s="25">
        <v>12</v>
      </c>
      <c r="B16" s="26" t="s">
        <v>207</v>
      </c>
      <c r="C16" s="26" t="s">
        <v>208</v>
      </c>
      <c r="D16" s="27">
        <f>MAX(MAX((inp_b1_4+inp_b1_5+inp_b1_7+inp_b1_10out-inp_b1_12-inp_b1_19)-inp_b6_5_2_5_3,0)+MAX(inp_b1_36-inp_b1_40-inp_b1_41,0)-MAX(inp_b6_5_2_5_3-(inp_b1_4+inp_b1_5+inp_b1_7+inp_b1_10out),0),0)</f>
        <v>0</v>
      </c>
      <c r="E16" s="26" t="s">
        <v>209</v>
      </c>
    </row>
    <row r="17" spans="1:5" ht="37.950000000000003" customHeight="1">
      <c r="A17" s="25">
        <v>13</v>
      </c>
      <c r="B17" s="26" t="s">
        <v>210</v>
      </c>
      <c r="C17" s="26" t="s">
        <v>211</v>
      </c>
      <c r="D17" s="27">
        <f>m_28</f>
        <v>0</v>
      </c>
      <c r="E17" s="26" t="s">
        <v>195</v>
      </c>
    </row>
    <row r="18" spans="1:5" ht="37.950000000000003" customHeight="1">
      <c r="A18" s="25">
        <v>14</v>
      </c>
      <c r="B18" s="26" t="s">
        <v>212</v>
      </c>
      <c r="C18" s="26" t="s">
        <v>90</v>
      </c>
      <c r="D18" s="27">
        <f>inp_m14_foreign</f>
        <v>0</v>
      </c>
      <c r="E18" s="26" t="s">
        <v>195</v>
      </c>
    </row>
    <row r="19" spans="1:5" ht="37.950000000000003" customHeight="1">
      <c r="A19" s="25">
        <v>15</v>
      </c>
      <c r="B19" s="26" t="s">
        <v>213</v>
      </c>
      <c r="C19" s="26" t="s">
        <v>214</v>
      </c>
      <c r="D19" s="27">
        <f>MAX(m_12+m_13-m_14,0)</f>
        <v>0</v>
      </c>
      <c r="E19" s="26" t="s">
        <v>195</v>
      </c>
    </row>
    <row r="20" spans="1:5" ht="37.950000000000003" customHeight="1">
      <c r="A20" s="25">
        <v>16</v>
      </c>
      <c r="B20" s="26" t="s">
        <v>215</v>
      </c>
      <c r="C20" s="26" t="s">
        <v>216</v>
      </c>
      <c r="D20" s="27">
        <f>inp_m16</f>
        <v>0</v>
      </c>
      <c r="E20" s="26" t="s">
        <v>195</v>
      </c>
    </row>
    <row r="21" spans="1:5" ht="37.950000000000003" customHeight="1">
      <c r="A21" s="25">
        <v>17</v>
      </c>
      <c r="B21" s="26" t="s">
        <v>217</v>
      </c>
      <c r="C21" s="26" t="s">
        <v>216</v>
      </c>
      <c r="D21" s="27">
        <f>inp_m17</f>
        <v>0</v>
      </c>
      <c r="E21" s="26" t="s">
        <v>195</v>
      </c>
    </row>
    <row r="22" spans="1:5" ht="37.950000000000003" customHeight="1">
      <c r="A22" s="25">
        <v>18</v>
      </c>
      <c r="B22" s="26" t="s">
        <v>218</v>
      </c>
      <c r="C22" s="26" t="s">
        <v>219</v>
      </c>
      <c r="D22" s="27">
        <f>inp_m18</f>
        <v>0</v>
      </c>
      <c r="E22" s="26" t="s">
        <v>195</v>
      </c>
    </row>
    <row r="23" spans="1:5" ht="37.950000000000003" customHeight="1">
      <c r="A23" s="25">
        <v>19</v>
      </c>
      <c r="B23" s="26" t="s">
        <v>220</v>
      </c>
      <c r="C23" s="26" t="s">
        <v>221</v>
      </c>
      <c r="D23" s="27">
        <f>m_09-inp_m9_inner+m_10-m_11-m_15+m_16-m_17-m_18</f>
        <v>0</v>
      </c>
      <c r="E23" s="26" t="s">
        <v>195</v>
      </c>
    </row>
    <row r="24" spans="1:5" ht="37.950000000000003" customHeight="1">
      <c r="A24" s="25">
        <v>20</v>
      </c>
      <c r="B24" s="26" t="s">
        <v>222</v>
      </c>
      <c r="C24" s="26" t="s">
        <v>223</v>
      </c>
      <c r="D24" s="27">
        <f>f1_32</f>
        <v>20000000</v>
      </c>
      <c r="E24" s="26" t="s">
        <v>195</v>
      </c>
    </row>
    <row r="25" spans="1:5" ht="37.950000000000003" customHeight="1">
      <c r="A25" s="25">
        <v>21</v>
      </c>
      <c r="B25" s="26" t="s">
        <v>224</v>
      </c>
      <c r="C25" s="26" t="s">
        <v>225</v>
      </c>
      <c r="D25" s="30">
        <f>ROUNDDOWN(MAX(m_19-m_20,0),-3)</f>
        <v>0</v>
      </c>
      <c r="E25" s="26" t="s">
        <v>226</v>
      </c>
    </row>
    <row r="26" spans="1:5" ht="37.950000000000003" customHeight="1">
      <c r="A26" s="25">
        <v>22</v>
      </c>
      <c r="B26" s="26" t="s">
        <v>227</v>
      </c>
      <c r="C26" s="26" t="s">
        <v>228</v>
      </c>
      <c r="D26" s="27">
        <f>inp_b1_2+inp_b1_5+inp_b1_7+inp_b1_10out-inp_b1_12-inp_b1_18-inp_m22_credits</f>
        <v>0</v>
      </c>
      <c r="E26" s="26" t="s">
        <v>195</v>
      </c>
    </row>
    <row r="27" spans="1:5" ht="37.950000000000003" customHeight="1">
      <c r="A27" s="25">
        <v>23</v>
      </c>
      <c r="B27" s="26" t="s">
        <v>229</v>
      </c>
      <c r="C27" s="26" t="s">
        <v>228</v>
      </c>
      <c r="D27" s="27">
        <f>inp_b1_2+inp_b1_5+inp_b1_7+inp_b1_10out-inp_b1_12-inp_b1_18-inp_m23_credits</f>
        <v>0</v>
      </c>
      <c r="E27" s="26" t="s">
        <v>195</v>
      </c>
    </row>
    <row r="28" spans="1:5" ht="37.950000000000003" customHeight="1">
      <c r="A28" s="25">
        <v>24</v>
      </c>
      <c r="B28" s="26" t="s">
        <v>210</v>
      </c>
      <c r="C28" s="26" t="s">
        <v>230</v>
      </c>
      <c r="D28" s="27">
        <f>ROUNDDOWN(MAX(0,IF(inp_class="該当",m_23,m_22))*cfg_resident_rate,0)</f>
        <v>0</v>
      </c>
      <c r="E28" s="26" t="s">
        <v>195</v>
      </c>
    </row>
    <row r="29" spans="1:5" ht="37.950000000000003" customHeight="1">
      <c r="A29" s="25">
        <v>25</v>
      </c>
      <c r="B29" s="26" t="s">
        <v>231</v>
      </c>
      <c r="C29" s="26" t="s">
        <v>232</v>
      </c>
      <c r="D29" s="27">
        <f>ROUNDDOWN(inp_specific_donation_total*cfg_donation_rate,0)</f>
        <v>0</v>
      </c>
      <c r="E29" s="26" t="s">
        <v>195</v>
      </c>
    </row>
    <row r="30" spans="1:5" ht="37.950000000000003" customHeight="1">
      <c r="A30" s="25">
        <v>26</v>
      </c>
      <c r="B30" s="26" t="s">
        <v>233</v>
      </c>
      <c r="C30" s="26" t="s">
        <v>234</v>
      </c>
      <c r="D30" s="27">
        <f>ROUNDDOWN(MAX(0,m_24+(inp_b1_12+inp_b1_18)*cfg_resident_rate)*20%,0)</f>
        <v>0</v>
      </c>
      <c r="E30" s="26" t="s">
        <v>195</v>
      </c>
    </row>
    <row r="31" spans="1:5" ht="37.950000000000003" customHeight="1">
      <c r="A31" s="25">
        <v>27</v>
      </c>
      <c r="B31" s="26" t="s">
        <v>235</v>
      </c>
      <c r="C31" s="26" t="s">
        <v>236</v>
      </c>
      <c r="D31" s="27">
        <f>MIN(m_25,m_26)</f>
        <v>0</v>
      </c>
      <c r="E31" s="26" t="s">
        <v>195</v>
      </c>
    </row>
    <row r="32" spans="1:5" ht="37.950000000000003" customHeight="1">
      <c r="A32" s="25">
        <v>28</v>
      </c>
      <c r="B32" s="26" t="s">
        <v>210</v>
      </c>
      <c r="C32" s="26" t="s">
        <v>237</v>
      </c>
      <c r="D32" s="27">
        <f>m_24-m_27</f>
        <v>0</v>
      </c>
      <c r="E32" s="26" t="s">
        <v>238</v>
      </c>
    </row>
  </sheetData>
  <sheetProtection sheet="1" objects="1" scenarios="1"/>
  <mergeCells count="2">
    <mergeCell ref="A1:E1"/>
    <mergeCell ref="A2:E2"/>
  </mergeCells>
  <phoneticPr fontId="2"/>
  <pageMargins left="0.7" right="0.7" top="0.75" bottom="0.75" header="0.3" footer="0.3"/>
  <pageSetup paperSize="9" fitToHeight="99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47B1-1763-42E0-97EB-866ACFA4EA7A}">
  <sheetPr>
    <tabColor rgb="FF2F75B5"/>
    <pageSetUpPr fitToPage="1"/>
  </sheetPr>
  <dimension ref="A1:E36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</cols>
  <sheetData>
    <row r="1" spans="1:5" ht="30" customHeight="1">
      <c r="A1" s="2" t="s">
        <v>239</v>
      </c>
      <c r="B1" s="3"/>
      <c r="C1" s="3"/>
      <c r="D1" s="3"/>
      <c r="E1" s="3"/>
    </row>
    <row r="2" spans="1:5">
      <c r="A2" s="4" t="s">
        <v>176</v>
      </c>
      <c r="B2" s="3"/>
      <c r="C2" s="3"/>
      <c r="D2" s="3"/>
      <c r="E2" s="3"/>
    </row>
    <row r="3" spans="1:5">
      <c r="A3" s="5"/>
      <c r="B3" s="5"/>
      <c r="C3" s="5"/>
      <c r="D3" s="5"/>
      <c r="E3" s="5"/>
    </row>
    <row r="4" spans="1:5">
      <c r="A4" s="24" t="s">
        <v>177</v>
      </c>
      <c r="B4" s="24" t="s">
        <v>178</v>
      </c>
      <c r="C4" s="24" t="s">
        <v>179</v>
      </c>
      <c r="D4" s="24" t="s">
        <v>180</v>
      </c>
      <c r="E4" s="24" t="s">
        <v>181</v>
      </c>
    </row>
    <row r="5" spans="1:5" ht="37.950000000000003" customHeight="1">
      <c r="A5" s="25">
        <v>1</v>
      </c>
      <c r="B5" s="26" t="s">
        <v>240</v>
      </c>
      <c r="C5" s="26" t="s">
        <v>216</v>
      </c>
      <c r="D5" s="27">
        <f>inp_f1_capital</f>
        <v>0</v>
      </c>
      <c r="E5" s="26" t="s">
        <v>195</v>
      </c>
    </row>
    <row r="6" spans="1:5" ht="37.950000000000003" customHeight="1">
      <c r="A6" s="25">
        <v>2</v>
      </c>
      <c r="B6" s="26" t="s">
        <v>241</v>
      </c>
      <c r="C6" s="26" t="s">
        <v>242</v>
      </c>
      <c r="D6" s="27">
        <f>ROUNDDOWN(f1_01*25%,0)</f>
        <v>0</v>
      </c>
      <c r="E6" s="26" t="s">
        <v>243</v>
      </c>
    </row>
    <row r="7" spans="1:5" ht="37.950000000000003" customHeight="1">
      <c r="A7" s="25">
        <v>3</v>
      </c>
      <c r="B7" s="26" t="s">
        <v>244</v>
      </c>
      <c r="C7" s="26" t="s">
        <v>245</v>
      </c>
      <c r="D7" s="27">
        <f>inp_f1_opening_profit-inp_prev_div</f>
        <v>0</v>
      </c>
      <c r="E7" s="26" t="s">
        <v>195</v>
      </c>
    </row>
    <row r="8" spans="1:5" ht="37.950000000000003" customHeight="1">
      <c r="A8" s="25">
        <v>4</v>
      </c>
      <c r="B8" s="26" t="s">
        <v>106</v>
      </c>
      <c r="C8" s="26" t="s">
        <v>216</v>
      </c>
      <c r="D8" s="27">
        <f>inp_f1_merger_inc</f>
        <v>0</v>
      </c>
      <c r="E8" s="26" t="s">
        <v>195</v>
      </c>
    </row>
    <row r="9" spans="1:5" ht="37.950000000000003" customHeight="1">
      <c r="A9" s="25">
        <v>5</v>
      </c>
      <c r="B9" s="26" t="s">
        <v>109</v>
      </c>
      <c r="C9" s="26" t="s">
        <v>216</v>
      </c>
      <c r="D9" s="27">
        <f>inp_f1_split_dec</f>
        <v>0</v>
      </c>
      <c r="E9" s="26" t="s">
        <v>195</v>
      </c>
    </row>
    <row r="10" spans="1:5" ht="37.950000000000003" customHeight="1">
      <c r="A10" s="25">
        <v>6</v>
      </c>
      <c r="B10" s="26" t="s">
        <v>246</v>
      </c>
      <c r="C10" s="26" t="s">
        <v>247</v>
      </c>
      <c r="D10" s="27">
        <f>f1_03+f1_04-f1_05</f>
        <v>0</v>
      </c>
      <c r="E10" s="26" t="s">
        <v>195</v>
      </c>
    </row>
    <row r="11" spans="1:5" ht="37.950000000000003" customHeight="1">
      <c r="A11" s="25">
        <v>7</v>
      </c>
      <c r="B11" s="26" t="s">
        <v>248</v>
      </c>
      <c r="C11" s="26" t="s">
        <v>249</v>
      </c>
      <c r="D11" s="27">
        <f>MAX(f1_02-f1_06,0)</f>
        <v>0</v>
      </c>
      <c r="E11" s="26" t="s">
        <v>250</v>
      </c>
    </row>
    <row r="12" spans="1:5" ht="37.950000000000003" customHeight="1">
      <c r="A12" s="25">
        <v>8</v>
      </c>
      <c r="B12" s="26" t="s">
        <v>251</v>
      </c>
      <c r="C12" s="26" t="s">
        <v>252</v>
      </c>
      <c r="D12" s="27">
        <f>IF(inp_months="",0,ROUNDDOWN(20000000*inp_months/12,0))</f>
        <v>20000000</v>
      </c>
      <c r="E12" s="26" t="s">
        <v>243</v>
      </c>
    </row>
    <row r="13" spans="1:5" ht="37.950000000000003" customHeight="1">
      <c r="A13" s="25">
        <v>9</v>
      </c>
      <c r="B13" s="26" t="s">
        <v>253</v>
      </c>
      <c r="C13" s="26" t="s">
        <v>111</v>
      </c>
      <c r="D13" s="27">
        <f>inp_f1_09</f>
        <v>0</v>
      </c>
      <c r="E13" s="26" t="s">
        <v>195</v>
      </c>
    </row>
    <row r="14" spans="1:5" ht="37.950000000000003" customHeight="1">
      <c r="A14" s="25">
        <v>10</v>
      </c>
      <c r="B14" s="26" t="s">
        <v>254</v>
      </c>
      <c r="C14" s="26" t="s">
        <v>115</v>
      </c>
      <c r="D14" s="27">
        <f>inp_f1_10</f>
        <v>0</v>
      </c>
      <c r="E14" s="26" t="s">
        <v>195</v>
      </c>
    </row>
    <row r="15" spans="1:5" ht="37.950000000000003" customHeight="1">
      <c r="A15" s="25">
        <v>11</v>
      </c>
      <c r="B15" s="26" t="s">
        <v>255</v>
      </c>
      <c r="C15" s="26" t="s">
        <v>119</v>
      </c>
      <c r="D15" s="27">
        <f>inp_f1_11</f>
        <v>0</v>
      </c>
      <c r="E15" s="26" t="s">
        <v>195</v>
      </c>
    </row>
    <row r="16" spans="1:5" ht="37.950000000000003" customHeight="1">
      <c r="A16" s="25">
        <v>12</v>
      </c>
      <c r="B16" s="26" t="s">
        <v>256</v>
      </c>
      <c r="C16" s="26" t="s">
        <v>122</v>
      </c>
      <c r="D16" s="27">
        <f>inp_f1_12</f>
        <v>0</v>
      </c>
      <c r="E16" s="26" t="s">
        <v>195</v>
      </c>
    </row>
    <row r="17" spans="1:5" ht="37.950000000000003" customHeight="1">
      <c r="A17" s="25">
        <v>13</v>
      </c>
      <c r="B17" s="26" t="s">
        <v>257</v>
      </c>
      <c r="C17" s="26" t="s">
        <v>125</v>
      </c>
      <c r="D17" s="27">
        <f>inp_f1_13</f>
        <v>0</v>
      </c>
      <c r="E17" s="26" t="s">
        <v>195</v>
      </c>
    </row>
    <row r="18" spans="1:5" ht="37.950000000000003" customHeight="1">
      <c r="A18" s="25">
        <v>14</v>
      </c>
      <c r="B18" s="26" t="s">
        <v>258</v>
      </c>
      <c r="C18" s="26" t="s">
        <v>128</v>
      </c>
      <c r="D18" s="27">
        <f>inp_f1_14</f>
        <v>0</v>
      </c>
      <c r="E18" s="26" t="s">
        <v>195</v>
      </c>
    </row>
    <row r="19" spans="1:5" ht="37.950000000000003" customHeight="1">
      <c r="A19" s="25">
        <v>15</v>
      </c>
      <c r="B19" s="26" t="s">
        <v>259</v>
      </c>
      <c r="C19" s="26" t="s">
        <v>131</v>
      </c>
      <c r="D19" s="27">
        <f>inp_f1_15</f>
        <v>0</v>
      </c>
      <c r="E19" s="26" t="s">
        <v>195</v>
      </c>
    </row>
    <row r="20" spans="1:5" ht="37.950000000000003" customHeight="1">
      <c r="A20" s="25">
        <v>16</v>
      </c>
      <c r="B20" s="26" t="s">
        <v>260</v>
      </c>
      <c r="C20" s="26" t="s">
        <v>134</v>
      </c>
      <c r="D20" s="27">
        <f>inp_f1_16</f>
        <v>0</v>
      </c>
      <c r="E20" s="26" t="s">
        <v>195</v>
      </c>
    </row>
    <row r="21" spans="1:5" ht="37.950000000000003" customHeight="1">
      <c r="A21" s="25">
        <v>17</v>
      </c>
      <c r="B21" s="26" t="s">
        <v>261</v>
      </c>
      <c r="C21" s="26" t="s">
        <v>137</v>
      </c>
      <c r="D21" s="27">
        <f>inp_f1_17</f>
        <v>0</v>
      </c>
      <c r="E21" s="26" t="s">
        <v>195</v>
      </c>
    </row>
    <row r="22" spans="1:5" ht="37.950000000000003" customHeight="1">
      <c r="A22" s="25">
        <v>18</v>
      </c>
      <c r="B22" s="26" t="s">
        <v>218</v>
      </c>
      <c r="C22" s="26" t="s">
        <v>140</v>
      </c>
      <c r="D22" s="27">
        <f>inp_f1_18</f>
        <v>0</v>
      </c>
      <c r="E22" s="26" t="s">
        <v>195</v>
      </c>
    </row>
    <row r="23" spans="1:5" ht="37.950000000000003" customHeight="1">
      <c r="A23" s="25">
        <v>19</v>
      </c>
      <c r="B23" s="26" t="s">
        <v>262</v>
      </c>
      <c r="C23" s="26" t="s">
        <v>143</v>
      </c>
      <c r="D23" s="27">
        <f>inp_f1_19</f>
        <v>0</v>
      </c>
      <c r="E23" s="26" t="s">
        <v>195</v>
      </c>
    </row>
    <row r="24" spans="1:5" ht="37.950000000000003" customHeight="1">
      <c r="A24" s="25">
        <v>20</v>
      </c>
      <c r="B24" s="26" t="s">
        <v>263</v>
      </c>
      <c r="C24" s="26" t="s">
        <v>146</v>
      </c>
      <c r="D24" s="27">
        <f>inp_f1_20</f>
        <v>0</v>
      </c>
      <c r="E24" s="26" t="s">
        <v>195</v>
      </c>
    </row>
    <row r="25" spans="1:5" ht="37.950000000000003" customHeight="1">
      <c r="A25" s="25">
        <v>21</v>
      </c>
      <c r="B25" s="26" t="s">
        <v>264</v>
      </c>
      <c r="C25" s="26" t="s">
        <v>149</v>
      </c>
      <c r="D25" s="27">
        <f>inp_f1_21</f>
        <v>0</v>
      </c>
      <c r="E25" s="26" t="s">
        <v>195</v>
      </c>
    </row>
    <row r="26" spans="1:5" ht="37.950000000000003" customHeight="1">
      <c r="A26" s="25">
        <v>22</v>
      </c>
      <c r="B26" s="26" t="s">
        <v>265</v>
      </c>
      <c r="C26" s="26" t="s">
        <v>152</v>
      </c>
      <c r="D26" s="27">
        <f>inp_f1_22</f>
        <v>0</v>
      </c>
      <c r="E26" s="26" t="s">
        <v>195</v>
      </c>
    </row>
    <row r="27" spans="1:5" ht="37.950000000000003" customHeight="1">
      <c r="A27" s="25">
        <v>23</v>
      </c>
      <c r="B27" s="26" t="s">
        <v>266</v>
      </c>
      <c r="C27" s="26" t="s">
        <v>155</v>
      </c>
      <c r="D27" s="27">
        <f>inp_f1_23</f>
        <v>0</v>
      </c>
      <c r="E27" s="26" t="s">
        <v>195</v>
      </c>
    </row>
    <row r="28" spans="1:5" ht="37.950000000000003" customHeight="1">
      <c r="A28" s="25">
        <v>24</v>
      </c>
      <c r="B28" s="26" t="s">
        <v>267</v>
      </c>
      <c r="C28" s="26" t="s">
        <v>158</v>
      </c>
      <c r="D28" s="27">
        <f>inp_f1_24</f>
        <v>0</v>
      </c>
      <c r="E28" s="26" t="s">
        <v>195</v>
      </c>
    </row>
    <row r="29" spans="1:5" ht="37.950000000000003" customHeight="1">
      <c r="A29" s="25">
        <v>25</v>
      </c>
      <c r="B29" s="26" t="s">
        <v>268</v>
      </c>
      <c r="C29" s="26" t="s">
        <v>161</v>
      </c>
      <c r="D29" s="27">
        <f>inp_f1_25</f>
        <v>0</v>
      </c>
      <c r="E29" s="26" t="s">
        <v>195</v>
      </c>
    </row>
    <row r="30" spans="1:5" ht="37.950000000000003" customHeight="1">
      <c r="A30" s="25">
        <v>26</v>
      </c>
      <c r="B30" s="26" t="s">
        <v>269</v>
      </c>
      <c r="C30" s="26" t="s">
        <v>164</v>
      </c>
      <c r="D30" s="27">
        <f>inp_f1_26</f>
        <v>0</v>
      </c>
      <c r="E30" s="26" t="s">
        <v>195</v>
      </c>
    </row>
    <row r="31" spans="1:5" ht="37.950000000000003" customHeight="1">
      <c r="A31" s="25">
        <v>27</v>
      </c>
      <c r="B31" s="26" t="s">
        <v>270</v>
      </c>
      <c r="C31" s="26" t="s">
        <v>167</v>
      </c>
      <c r="D31" s="27">
        <f>inp_f1_27</f>
        <v>0</v>
      </c>
      <c r="E31" s="26" t="s">
        <v>195</v>
      </c>
    </row>
    <row r="32" spans="1:5" ht="37.950000000000003" customHeight="1">
      <c r="A32" s="25">
        <v>28</v>
      </c>
      <c r="B32" s="26" t="s">
        <v>271</v>
      </c>
      <c r="C32" s="26" t="s">
        <v>170</v>
      </c>
      <c r="D32" s="27">
        <f>inp_f1_28</f>
        <v>0</v>
      </c>
      <c r="E32" s="26" t="s">
        <v>195</v>
      </c>
    </row>
    <row r="33" spans="1:5" ht="37.950000000000003" customHeight="1">
      <c r="A33" s="25">
        <v>29</v>
      </c>
      <c r="B33" s="26" t="s">
        <v>272</v>
      </c>
      <c r="C33" s="26" t="s">
        <v>173</v>
      </c>
      <c r="D33" s="27">
        <f>inp_f1_29</f>
        <v>0</v>
      </c>
      <c r="E33" s="26" t="s">
        <v>195</v>
      </c>
    </row>
    <row r="34" spans="1:5" ht="37.950000000000003" customHeight="1">
      <c r="A34" s="25">
        <v>30</v>
      </c>
      <c r="B34" s="26" t="s">
        <v>273</v>
      </c>
      <c r="C34" s="26" t="s">
        <v>274</v>
      </c>
      <c r="D34" s="27">
        <f>f1_09-f1_10+f1_11+f1_12+f1_13+f1_14+f1_15+f1_16-f1_17-f1_18+f1_19+f1_20-f1_21+f1_22+f1_23+f1_24+f1_25-f1_26+f1_27+f1_28-f1_29</f>
        <v>0</v>
      </c>
      <c r="E34" s="26" t="s">
        <v>195</v>
      </c>
    </row>
    <row r="35" spans="1:5" ht="37.950000000000003" customHeight="1">
      <c r="A35" s="25">
        <v>31</v>
      </c>
      <c r="B35" s="26" t="s">
        <v>275</v>
      </c>
      <c r="C35" s="26" t="s">
        <v>276</v>
      </c>
      <c r="D35" s="27">
        <f>ROUNDDOWN(f1_30*40%,0)</f>
        <v>0</v>
      </c>
      <c r="E35" s="26" t="s">
        <v>243</v>
      </c>
    </row>
    <row r="36" spans="1:5" ht="37.950000000000003" customHeight="1">
      <c r="A36" s="25">
        <v>32</v>
      </c>
      <c r="B36" s="26" t="s">
        <v>222</v>
      </c>
      <c r="C36" s="26" t="s">
        <v>277</v>
      </c>
      <c r="D36" s="30">
        <f>MAX(f1_07,f1_08,f1_31)</f>
        <v>20000000</v>
      </c>
      <c r="E36" s="26" t="s">
        <v>278</v>
      </c>
    </row>
  </sheetData>
  <sheetProtection sheet="1" objects="1" scenarios="1"/>
  <mergeCells count="2">
    <mergeCell ref="A1:E1"/>
    <mergeCell ref="A2:E2"/>
  </mergeCells>
  <phoneticPr fontId="2"/>
  <pageMargins left="0.7" right="0.7" top="0.75" bottom="0.75" header="0.3" footer="0.3"/>
  <pageSetup paperSize="9" fitToHeight="9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7DB9-C600-4484-B434-BA1B6A34E50F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7.8984375" customWidth="1"/>
  </cols>
  <sheetData>
    <row r="1" ht="280.5" customHeight="1"/>
    <row r="2" ht="280.5" customHeight="1"/>
    <row r="3" ht="280.64999999999998" customHeight="1"/>
  </sheetData>
  <sheetProtection sheet="1" objects="1" scenarios="1"/>
  <phoneticPr fontId="2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19BF-131D-4AAF-B163-8D70C100EBBA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7.8984375" customWidth="1"/>
  </cols>
  <sheetData>
    <row r="1" ht="280.5" customHeight="1"/>
    <row r="2" ht="280.5" customHeight="1"/>
    <row r="3" ht="280.64999999999998" customHeight="1"/>
  </sheetData>
  <sheetProtection sheet="1" objects="1" scenarios="1"/>
  <phoneticPr fontId="2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88ED-76DF-40D8-8B04-83D924BF64BF}">
  <sheetPr>
    <tabColor rgb="FFC00000"/>
    <pageSetUpPr fitToPage="1"/>
  </sheetPr>
  <dimension ref="A1:D20"/>
  <sheetViews>
    <sheetView showGridLines="0" zoomScale="90" zoomScaleNormal="90" workbookViewId="0">
      <pane ySplit="3" topLeftCell="A4" activePane="bottomLeft" state="frozenSplit"/>
      <selection pane="bottomLeft" sqref="A1:D1"/>
    </sheetView>
  </sheetViews>
  <sheetFormatPr defaultRowHeight="18"/>
  <cols>
    <col min="1" max="1" width="36.69921875" customWidth="1"/>
    <col min="2" max="3" width="32.69921875" customWidth="1"/>
    <col min="4" max="4" width="12.69921875" customWidth="1"/>
  </cols>
  <sheetData>
    <row r="1" spans="1:4">
      <c r="A1" s="39" t="s">
        <v>349</v>
      </c>
      <c r="B1" s="36"/>
      <c r="C1" s="36"/>
      <c r="D1" s="36"/>
    </row>
    <row r="2" spans="1:4">
      <c r="A2" s="40"/>
      <c r="B2" s="40"/>
      <c r="C2" s="40"/>
      <c r="D2" s="40"/>
    </row>
    <row r="3" spans="1:4">
      <c r="A3" s="41" t="s">
        <v>350</v>
      </c>
      <c r="B3" s="41" t="s">
        <v>351</v>
      </c>
      <c r="C3" s="41" t="s">
        <v>352</v>
      </c>
      <c r="D3" s="41" t="s">
        <v>353</v>
      </c>
    </row>
    <row r="4" spans="1:4">
      <c r="A4" s="14" t="s">
        <v>354</v>
      </c>
      <c r="B4" s="14" t="s">
        <v>355</v>
      </c>
      <c r="C4" s="14" t="s">
        <v>356</v>
      </c>
      <c r="D4" s="42" t="s">
        <v>357</v>
      </c>
    </row>
    <row r="5" spans="1:4">
      <c r="A5" s="14" t="s">
        <v>358</v>
      </c>
      <c r="B5" s="14" t="s">
        <v>359</v>
      </c>
      <c r="C5" s="14" t="s">
        <v>359</v>
      </c>
      <c r="D5" s="42" t="s">
        <v>357</v>
      </c>
    </row>
    <row r="6" spans="1:4">
      <c r="A6" s="14" t="s">
        <v>360</v>
      </c>
      <c r="B6" s="14" t="s">
        <v>361</v>
      </c>
      <c r="C6" s="14" t="s">
        <v>361</v>
      </c>
      <c r="D6" s="42" t="s">
        <v>357</v>
      </c>
    </row>
    <row r="7" spans="1:4">
      <c r="A7" s="14" t="s">
        <v>362</v>
      </c>
      <c r="B7" s="14" t="s">
        <v>363</v>
      </c>
      <c r="C7" s="14" t="s">
        <v>363</v>
      </c>
      <c r="D7" s="42" t="s">
        <v>357</v>
      </c>
    </row>
    <row r="8" spans="1:4">
      <c r="A8" s="14" t="s">
        <v>364</v>
      </c>
      <c r="B8" s="14" t="s">
        <v>363</v>
      </c>
      <c r="C8" s="14" t="s">
        <v>363</v>
      </c>
      <c r="D8" s="42" t="s">
        <v>357</v>
      </c>
    </row>
    <row r="9" spans="1:4">
      <c r="A9" s="14" t="s">
        <v>365</v>
      </c>
      <c r="B9" s="14" t="s">
        <v>363</v>
      </c>
      <c r="C9" s="14" t="s">
        <v>363</v>
      </c>
      <c r="D9" s="42" t="s">
        <v>357</v>
      </c>
    </row>
    <row r="10" spans="1:4">
      <c r="A10" s="14" t="s">
        <v>366</v>
      </c>
      <c r="B10" s="14" t="s">
        <v>367</v>
      </c>
      <c r="C10" s="14" t="s">
        <v>367</v>
      </c>
      <c r="D10" s="42" t="s">
        <v>357</v>
      </c>
    </row>
    <row r="11" spans="1:4" ht="36">
      <c r="A11" s="14" t="s">
        <v>368</v>
      </c>
      <c r="B11" s="14" t="s">
        <v>369</v>
      </c>
      <c r="C11" s="14" t="s">
        <v>370</v>
      </c>
      <c r="D11" s="42" t="s">
        <v>357</v>
      </c>
    </row>
    <row r="12" spans="1:4">
      <c r="A12" s="14" t="s">
        <v>371</v>
      </c>
      <c r="B12" s="14" t="s">
        <v>372</v>
      </c>
      <c r="C12" s="14" t="s">
        <v>373</v>
      </c>
      <c r="D12" s="42" t="s">
        <v>357</v>
      </c>
    </row>
    <row r="13" spans="1:4">
      <c r="A13" s="14" t="s">
        <v>374</v>
      </c>
      <c r="B13" s="14" t="s">
        <v>375</v>
      </c>
      <c r="C13" s="14" t="s">
        <v>376</v>
      </c>
      <c r="D13" s="42" t="s">
        <v>357</v>
      </c>
    </row>
    <row r="14" spans="1:4">
      <c r="A14" s="14"/>
      <c r="B14" s="14"/>
      <c r="C14" s="14"/>
      <c r="D14" s="14"/>
    </row>
    <row r="15" spans="1:4" ht="22.95" customHeight="1">
      <c r="A15" s="43" t="s">
        <v>377</v>
      </c>
      <c r="B15" s="43"/>
      <c r="C15" s="43"/>
      <c r="D15" s="43"/>
    </row>
    <row r="16" spans="1:4">
      <c r="A16" s="14" t="s">
        <v>378</v>
      </c>
      <c r="B16" s="14">
        <v>0</v>
      </c>
      <c r="C16" s="14">
        <v>0</v>
      </c>
      <c r="D16" s="44" t="s">
        <v>357</v>
      </c>
    </row>
    <row r="17" spans="1:4">
      <c r="A17" s="14" t="s">
        <v>379</v>
      </c>
      <c r="B17" s="14">
        <v>28</v>
      </c>
      <c r="C17" s="14">
        <v>28</v>
      </c>
      <c r="D17" s="44" t="s">
        <v>357</v>
      </c>
    </row>
    <row r="18" spans="1:4">
      <c r="A18" s="14" t="s">
        <v>380</v>
      </c>
      <c r="B18" s="14">
        <v>32</v>
      </c>
      <c r="C18" s="14">
        <v>32</v>
      </c>
      <c r="D18" s="44" t="s">
        <v>357</v>
      </c>
    </row>
    <row r="19" spans="1:4">
      <c r="A19" s="14" t="s">
        <v>381</v>
      </c>
      <c r="B19" s="14">
        <v>0</v>
      </c>
      <c r="C19" s="14">
        <v>0</v>
      </c>
      <c r="D19" s="44" t="s">
        <v>357</v>
      </c>
    </row>
    <row r="20" spans="1:4">
      <c r="A20" s="14" t="s">
        <v>382</v>
      </c>
      <c r="B20" s="14" t="b">
        <v>1</v>
      </c>
      <c r="C20" s="14" t="b">
        <v>1</v>
      </c>
      <c r="D20" s="44" t="s">
        <v>357</v>
      </c>
    </row>
  </sheetData>
  <sheetProtection sheet="1" objects="1" scenarios="1"/>
  <mergeCells count="2">
    <mergeCell ref="A1:D1"/>
    <mergeCell ref="A15:D15"/>
  </mergeCells>
  <phoneticPr fontId="2"/>
  <pageMargins left="0.7" right="0.7" top="0.75" bottom="0.75" header="0.3" footer="0.3"/>
  <pageSetup paperSize="9" fitToHeight="9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FB03-36E6-4A71-B1F8-59535A2E7998}">
  <sheetPr>
    <tabColor rgb="FFD9E1F2"/>
    <pageSetUpPr fitToPage="1"/>
  </sheetPr>
  <dimension ref="A1:E13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14.69921875" customWidth="1"/>
    <col min="2" max="2" width="38.69921875" customWidth="1"/>
    <col min="3" max="3" width="62.69921875" customWidth="1"/>
    <col min="4" max="4" width="68.69921875" customWidth="1"/>
    <col min="5" max="5" width="38.69921875" customWidth="1"/>
  </cols>
  <sheetData>
    <row r="1" spans="1:5" ht="26.4">
      <c r="A1" s="2" t="s">
        <v>311</v>
      </c>
      <c r="B1" s="3"/>
      <c r="C1" s="3"/>
      <c r="D1" s="3"/>
      <c r="E1" s="3"/>
    </row>
    <row r="2" spans="1:5">
      <c r="A2" s="5"/>
      <c r="B2" s="5"/>
      <c r="C2" s="5"/>
      <c r="D2" s="5"/>
      <c r="E2" s="5"/>
    </row>
    <row r="3" spans="1:5">
      <c r="A3" s="13" t="s">
        <v>312</v>
      </c>
      <c r="B3" s="13" t="s">
        <v>313</v>
      </c>
      <c r="C3" s="13" t="s">
        <v>314</v>
      </c>
      <c r="D3" s="13" t="s">
        <v>315</v>
      </c>
      <c r="E3" s="13" t="s">
        <v>316</v>
      </c>
    </row>
    <row r="4" spans="1:5" ht="42" customHeight="1">
      <c r="A4" s="9" t="s">
        <v>317</v>
      </c>
      <c r="B4" s="14" t="s">
        <v>318</v>
      </c>
      <c r="C4" s="38" t="s">
        <v>319</v>
      </c>
      <c r="D4" s="14"/>
      <c r="E4" s="14" t="s">
        <v>320</v>
      </c>
    </row>
    <row r="5" spans="1:5" ht="42" customHeight="1">
      <c r="A5" s="9" t="s">
        <v>317</v>
      </c>
      <c r="B5" s="14" t="s">
        <v>321</v>
      </c>
      <c r="C5" s="38" t="s">
        <v>322</v>
      </c>
      <c r="D5" s="14" t="s">
        <v>323</v>
      </c>
      <c r="E5" s="14" t="s">
        <v>324</v>
      </c>
    </row>
    <row r="6" spans="1:5" ht="42" customHeight="1">
      <c r="A6" s="9" t="s">
        <v>317</v>
      </c>
      <c r="B6" s="14" t="s">
        <v>325</v>
      </c>
      <c r="C6" s="38" t="s">
        <v>326</v>
      </c>
      <c r="D6" s="14" t="s">
        <v>327</v>
      </c>
      <c r="E6" s="14" t="s">
        <v>324</v>
      </c>
    </row>
    <row r="7" spans="1:5" ht="42" customHeight="1">
      <c r="A7" s="9" t="s">
        <v>317</v>
      </c>
      <c r="B7" s="14" t="s">
        <v>328</v>
      </c>
      <c r="C7" s="38" t="s">
        <v>329</v>
      </c>
      <c r="D7" s="14" t="s">
        <v>330</v>
      </c>
      <c r="E7" s="14" t="s">
        <v>324</v>
      </c>
    </row>
    <row r="8" spans="1:5" ht="42" customHeight="1">
      <c r="A8" s="9" t="s">
        <v>317</v>
      </c>
      <c r="B8" s="14" t="s">
        <v>331</v>
      </c>
      <c r="C8" s="38" t="s">
        <v>332</v>
      </c>
      <c r="D8" s="14" t="s">
        <v>333</v>
      </c>
      <c r="E8" s="14" t="s">
        <v>324</v>
      </c>
    </row>
    <row r="9" spans="1:5" ht="42" customHeight="1">
      <c r="A9" s="9" t="s">
        <v>317</v>
      </c>
      <c r="B9" s="14" t="s">
        <v>334</v>
      </c>
      <c r="C9" s="38" t="s">
        <v>335</v>
      </c>
      <c r="D9" s="14"/>
      <c r="E9" s="14" t="s">
        <v>336</v>
      </c>
    </row>
    <row r="10" spans="1:5" ht="42" customHeight="1">
      <c r="A10" s="9" t="s">
        <v>337</v>
      </c>
      <c r="B10" s="14" t="s">
        <v>338</v>
      </c>
      <c r="C10" s="38" t="s">
        <v>339</v>
      </c>
      <c r="D10" s="14"/>
      <c r="E10" s="14" t="s">
        <v>340</v>
      </c>
    </row>
    <row r="11" spans="1:5" ht="42" customHeight="1">
      <c r="A11" s="9" t="s">
        <v>337</v>
      </c>
      <c r="B11" s="14" t="s">
        <v>341</v>
      </c>
      <c r="C11" s="38" t="s">
        <v>342</v>
      </c>
      <c r="D11" s="14"/>
      <c r="E11" s="14" t="s">
        <v>343</v>
      </c>
    </row>
    <row r="12" spans="1:5">
      <c r="A12" s="9"/>
      <c r="B12" s="9"/>
      <c r="C12" s="9"/>
      <c r="D12" s="9"/>
      <c r="E12" s="9"/>
    </row>
    <row r="13" spans="1:5">
      <c r="A13" s="9" t="s">
        <v>344</v>
      </c>
      <c r="B13" s="8" t="s">
        <v>345</v>
      </c>
      <c r="C13" s="8"/>
      <c r="D13" s="8"/>
      <c r="E13" s="8"/>
    </row>
  </sheetData>
  <sheetProtection sheet="1" objects="1" scenarios="1"/>
  <mergeCells count="2">
    <mergeCell ref="A1:E1"/>
    <mergeCell ref="B13:E13"/>
  </mergeCells>
  <phoneticPr fontId="2"/>
  <hyperlinks>
    <hyperlink ref="C4" r:id="rId1" tooltip="https://www.nta.go.jp/taxes/tetsuzuki/shinsei/annai/hojin/shinkoku/itiran2020/01.htm" xr:uid="{413680D1-6111-4792-8027-025BA4534B52}"/>
    <hyperlink ref="C5" r:id="rId2" tooltip="https://www.nta.go.jp/taxes/tetsuzuki/shinsei/annai/hojin/shinkoku/itiran2020/pdf/03%2801%29.pdf" xr:uid="{FEB65DEF-BB1D-4155-87CF-FAAEA5C58019}"/>
    <hyperlink ref="C6" r:id="rId3" tooltip="https://www.nta.go.jp/publication/pamph/hojin/tebiki2020/pdf/03-03.pdf" xr:uid="{E35B0C61-7F90-4AFB-A832-8858DACF14FE}"/>
    <hyperlink ref="C7" r:id="rId4" tooltip="https://www.nta.go.jp/taxes/tetsuzuki/shinsei/annai/hojin/shinkoku/itiran2020/pdf/03%2801%29-f.pdf" xr:uid="{3BB06DAE-10EC-4ED4-B798-79A7AAB8ABCF}"/>
    <hyperlink ref="C8" r:id="rId5" tooltip="https://www.nta.go.jp/publication/pamph/hojin/tebiki2020/pdf/03-04.pdf" xr:uid="{886DF2F0-D733-4D13-BC40-36BF8785830A}"/>
    <hyperlink ref="C9" r:id="rId6" tooltip="https://www.nta.go.jp/law/tsutatsu/kihon/hojin/16/16_01_02.htm" xr:uid="{9D1924BB-44C9-4C50-83C0-67F8CF95F7B8}"/>
    <hyperlink ref="C10" r:id="rId7" location="Mp-At_67" tooltip="https://laws.e-gov.go.jp/law/340AC0000000034#Mp-At_67" xr:uid="{83D9D041-3FAF-4990-926A-34595DBD5A55}"/>
    <hyperlink ref="C11" r:id="rId8" location="Mp-At_10" tooltip="https://laws.e-gov.go.jp/law/337AC0000000066#Mp-At_10" xr:uid="{73DA1D3F-AA38-4E7A-BB01-70D3A82C5EB2}"/>
  </hyperlinks>
  <pageMargins left="0.7" right="0.7" top="0.75" bottom="0.75" header="0.3" footer="0.3"/>
  <pageSetup paperSize="9" fitToHeight="999" orientation="landscape" r:id="rId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C449-79A8-49BD-BAF1-8018ABBB885A}">
  <dimension ref="A1:C36"/>
  <sheetViews>
    <sheetView workbookViewId="0"/>
  </sheetViews>
  <sheetFormatPr defaultRowHeight="18"/>
  <sheetData>
    <row r="1" spans="1:3">
      <c r="A1" t="str">
        <f>IF(inp_corp="","",inp_corp)</f>
        <v/>
      </c>
    </row>
    <row r="2" spans="1:3">
      <c r="A2" t="str">
        <f>IF(OR(inp_start="",inp_end=""),"",TEXT(inp_start,"yyyy.m.d")&amp;CHAR(10)&amp;TEXT(inp_end,"yyyy.m.d"))</f>
        <v>2020.4.1
2021.3.31</v>
      </c>
    </row>
    <row r="5" spans="1:3">
      <c r="A5" t="str">
        <f>IF(m_01=0,"",TEXT(m_01/1000,"#,##0;-#,##0"))</f>
        <v/>
      </c>
      <c r="B5" t="str">
        <f>IF(inp_m9_inner=0,"",TEXT(inp_m9_inner,"#,##0;-#,##0"))</f>
        <v/>
      </c>
      <c r="C5" t="str">
        <f>IF(f1_01=0,"",TEXT(f1_01,"#,##0;-#,##0"))</f>
        <v/>
      </c>
    </row>
    <row r="6" spans="1:3">
      <c r="A6" t="str">
        <f>IF(m_02=0,"",TEXT(m_02/1000,"#,##0;-#,##0"))</f>
        <v/>
      </c>
      <c r="C6" t="str">
        <f>IF(f1_02=0,"",TEXT(f1_02,"#,##0;-#,##0"))</f>
        <v/>
      </c>
    </row>
    <row r="7" spans="1:3">
      <c r="A7" t="str">
        <f>IF(m_03=0,"",TEXT(m_03/1000,"#,##0;-#,##0"))</f>
        <v/>
      </c>
      <c r="C7" t="str">
        <f>IF(f1_03=0,"",TEXT(f1_03,"#,##0;-#,##0"))</f>
        <v/>
      </c>
    </row>
    <row r="8" spans="1:3">
      <c r="A8" t="str">
        <f>IF(m_04=0,"",TEXT(m_04/1000,"#,##0;-#,##0"))</f>
        <v/>
      </c>
      <c r="C8" t="str">
        <f>IF(f1_04=0,"",TEXT(f1_04,"#,##0;-#,##0"))</f>
        <v/>
      </c>
    </row>
    <row r="9" spans="1:3">
      <c r="A9" t="str">
        <f>IF(m_05=0,"",TEXT(m_05,"#,##0;-#,##0"))</f>
        <v/>
      </c>
      <c r="C9" t="str">
        <f>IF(f1_05=0,"",TEXT(f1_05,"#,##0;-#,##0"))</f>
        <v/>
      </c>
    </row>
    <row r="10" spans="1:3">
      <c r="A10" t="str">
        <f>IF(m_06=0,"",TEXT(m_06,"#,##0;-#,##0"))</f>
        <v/>
      </c>
      <c r="C10" t="str">
        <f>IF(f1_06=0,"",TEXT(f1_06,"#,##0;-#,##0"))</f>
        <v/>
      </c>
    </row>
    <row r="11" spans="1:3">
      <c r="A11" t="str">
        <f>IF(m_07=0,"",TEXT(m_07,"#,##0;-#,##0"))</f>
        <v/>
      </c>
      <c r="C11" t="str">
        <f>IF(f1_07=0,"",TEXT(f1_07,"#,##0;-#,##0"))</f>
        <v/>
      </c>
    </row>
    <row r="12" spans="1:3">
      <c r="A12" t="str">
        <f>IF(m_08=0,"",TEXT(m_08,"#,##0;-#,##0"))</f>
        <v/>
      </c>
      <c r="C12" t="str">
        <f>IF(f1_08=0,"",TEXT(f1_08,"#,##0;-#,##0"))</f>
        <v>20,000,000</v>
      </c>
    </row>
    <row r="13" spans="1:3">
      <c r="A13" t="str">
        <f>IF(m_09=0,"",TEXT(m_09,"#,##0;-#,##0"))</f>
        <v/>
      </c>
      <c r="C13" t="str">
        <f>IF(f1_09=0,"",TEXT(f1_09,"#,##0;-#,##0"))</f>
        <v/>
      </c>
    </row>
    <row r="14" spans="1:3">
      <c r="A14" t="str">
        <f>IF(m_10=0,"",TEXT(m_10,"#,##0;-#,##0"))</f>
        <v/>
      </c>
      <c r="C14" t="str">
        <f>IF(f1_10=0,"",TEXT(f1_10,"#,##0;-#,##0"))</f>
        <v/>
      </c>
    </row>
    <row r="15" spans="1:3">
      <c r="A15" t="str">
        <f>IF(m_11=0,"",TEXT(m_11,"#,##0;-#,##0"))</f>
        <v/>
      </c>
      <c r="C15" t="str">
        <f>IF(f1_11=0,"",TEXT(f1_11,"#,##0;-#,##0"))</f>
        <v/>
      </c>
    </row>
    <row r="16" spans="1:3">
      <c r="A16" t="str">
        <f>IF(m_12=0,"",TEXT(m_12,"#,##0;-#,##0"))</f>
        <v/>
      </c>
      <c r="C16" t="str">
        <f>IF(f1_12=0,"",TEXT(f1_12,"#,##0;-#,##0"))</f>
        <v/>
      </c>
    </row>
    <row r="17" spans="1:3">
      <c r="A17" t="str">
        <f>IF(m_13=0,"",TEXT(m_13,"#,##0;-#,##0"))</f>
        <v/>
      </c>
      <c r="C17" t="str">
        <f>IF(f1_13=0,"",TEXT(f1_13,"#,##0;-#,##0"))</f>
        <v/>
      </c>
    </row>
    <row r="18" spans="1:3">
      <c r="A18" t="str">
        <f>IF(m_14=0,"",TEXT(m_14,"#,##0;-#,##0"))</f>
        <v/>
      </c>
      <c r="C18" t="str">
        <f>IF(f1_14=0,"",TEXT(f1_14,"#,##0;-#,##0"))</f>
        <v/>
      </c>
    </row>
    <row r="19" spans="1:3">
      <c r="A19" t="str">
        <f>IF(m_15=0,"",TEXT(m_15,"#,##0;-#,##0"))</f>
        <v/>
      </c>
      <c r="C19" t="str">
        <f>IF(f1_15=0,"",TEXT(f1_15,"#,##0;-#,##0"))</f>
        <v/>
      </c>
    </row>
    <row r="20" spans="1:3">
      <c r="A20" t="str">
        <f>IF(m_16=0,"",TEXT(m_16,"#,##0;-#,##0"))</f>
        <v/>
      </c>
      <c r="C20" t="str">
        <f>IF(f1_16=0,"",TEXT(f1_16,"#,##0;-#,##0"))</f>
        <v/>
      </c>
    </row>
    <row r="21" spans="1:3">
      <c r="A21" t="str">
        <f>IF(m_17=0,"",TEXT(m_17,"#,##0;-#,##0"))</f>
        <v/>
      </c>
      <c r="C21" t="str">
        <f>IF(f1_17=0,"",TEXT(f1_17,"#,##0;-#,##0"))</f>
        <v/>
      </c>
    </row>
    <row r="22" spans="1:3">
      <c r="A22" t="str">
        <f>IF(m_18=0,"",TEXT(m_18,"#,##0;-#,##0"))</f>
        <v/>
      </c>
      <c r="C22" t="str">
        <f>IF(f1_18=0,"",TEXT(f1_18,"#,##0;-#,##0"))</f>
        <v/>
      </c>
    </row>
    <row r="23" spans="1:3">
      <c r="A23" t="str">
        <f>IF(m_19=0,"",TEXT(m_19,"#,##0;-#,##0"))</f>
        <v/>
      </c>
      <c r="C23" t="str">
        <f>IF(f1_19=0,"",TEXT(f1_19,"#,##0;-#,##0"))</f>
        <v/>
      </c>
    </row>
    <row r="24" spans="1:3">
      <c r="A24" t="str">
        <f>IF(m_20=0,"",TEXT(m_20,"#,##0;-#,##0"))</f>
        <v>20,000,000</v>
      </c>
      <c r="C24" t="str">
        <f>IF(f1_20=0,"",TEXT(f1_20,"#,##0;-#,##0"))</f>
        <v/>
      </c>
    </row>
    <row r="25" spans="1:3">
      <c r="A25" t="str">
        <f>IF(m_21=0,"",TEXT(m_21/1000,"#,##0;-#,##0"))</f>
        <v/>
      </c>
      <c r="C25" t="str">
        <f>IF(f1_21=0,"",TEXT(f1_21,"#,##0;-#,##0"))</f>
        <v/>
      </c>
    </row>
    <row r="26" spans="1:3">
      <c r="A26" t="str">
        <f>IF(m_22=0,"",TEXT(m_22,"#,##0;-#,##0"))</f>
        <v/>
      </c>
      <c r="C26" t="str">
        <f>IF(f1_22=0,"",TEXT(f1_22,"#,##0;-#,##0"))</f>
        <v/>
      </c>
    </row>
    <row r="27" spans="1:3">
      <c r="A27" t="str">
        <f>IF(m_23=0,"",TEXT(m_23,"#,##0;-#,##0"))</f>
        <v/>
      </c>
      <c r="C27" t="str">
        <f>IF(f1_23=0,"",TEXT(f1_23,"#,##0;-#,##0"))</f>
        <v/>
      </c>
    </row>
    <row r="28" spans="1:3">
      <c r="A28" t="str">
        <f>IF(m_24=0,"",TEXT(m_24,"#,##0;-#,##0"))</f>
        <v/>
      </c>
      <c r="C28" t="str">
        <f>IF(f1_24=0,"",TEXT(f1_24,"#,##0;-#,##0"))</f>
        <v/>
      </c>
    </row>
    <row r="29" spans="1:3">
      <c r="A29" t="str">
        <f>IF(m_25=0,"",TEXT(m_25,"#,##0;-#,##0"))</f>
        <v/>
      </c>
      <c r="C29" t="str">
        <f>IF(f1_25=0,"",TEXT(f1_25,"#,##0;-#,##0"))</f>
        <v/>
      </c>
    </row>
    <row r="30" spans="1:3">
      <c r="A30" t="str">
        <f>IF(m_26=0,"",TEXT(m_26,"#,##0;-#,##0"))</f>
        <v/>
      </c>
      <c r="C30" t="str">
        <f>IF(f1_26=0,"",TEXT(f1_26,"#,##0;-#,##0"))</f>
        <v/>
      </c>
    </row>
    <row r="31" spans="1:3">
      <c r="A31" t="str">
        <f>IF(m_27=0,"",TEXT(m_27,"#,##0;-#,##0"))</f>
        <v/>
      </c>
      <c r="C31" t="str">
        <f>IF(f1_27=0,"",TEXT(f1_27,"#,##0;-#,##0"))</f>
        <v/>
      </c>
    </row>
    <row r="32" spans="1:3">
      <c r="A32" t="str">
        <f>IF(m_28=0,"",TEXT(m_28,"#,##0;-#,##0"))</f>
        <v/>
      </c>
      <c r="C32" t="str">
        <f>IF(f1_28=0,"",TEXT(f1_28,"#,##0;-#,##0"))</f>
        <v/>
      </c>
    </row>
    <row r="33" spans="3:3">
      <c r="C33" t="str">
        <f>IF(f1_29=0,"",TEXT(f1_29,"#,##0;-#,##0"))</f>
        <v/>
      </c>
    </row>
    <row r="34" spans="3:3">
      <c r="C34" t="str">
        <f>IF(f1_30=0,"",TEXT(f1_30,"#,##0;-#,##0"))</f>
        <v/>
      </c>
    </row>
    <row r="35" spans="3:3">
      <c r="C35" t="str">
        <f>IF(f1_31=0,"",TEXT(f1_31,"#,##0;-#,##0"))</f>
        <v/>
      </c>
    </row>
    <row r="36" spans="3:3">
      <c r="C36" t="str">
        <f>IF(f1_32=0,"",TEXT(f1_32,"#,##0;-#,##0"))</f>
        <v>20,000,000</v>
      </c>
    </row>
  </sheetData>
  <sheetProtection sheet="1" objects="1" scenarios="1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131</vt:i4>
      </vt:variant>
    </vt:vector>
  </HeadingPairs>
  <TitlesOfParts>
    <vt:vector size="139" baseType="lpstr">
      <vt:lpstr>使い方</vt:lpstr>
      <vt:lpstr>入力</vt:lpstr>
      <vt:lpstr>別表三一_計算</vt:lpstr>
      <vt:lpstr>付表_計算</vt:lpstr>
      <vt:lpstr>別表三(一)</vt:lpstr>
      <vt:lpstr>別表三(一)付表</vt:lpstr>
      <vt:lpstr>検算</vt:lpstr>
      <vt:lpstr>根拠・出典</vt:lpstr>
      <vt:lpstr>cfg_applicable</vt:lpstr>
      <vt:lpstr>cfg_donation_rate</vt:lpstr>
      <vt:lpstr>cfg_resident_rate</vt:lpstr>
      <vt:lpstr>f1_01</vt:lpstr>
      <vt:lpstr>f1_02</vt:lpstr>
      <vt:lpstr>f1_03</vt:lpstr>
      <vt:lpstr>f1_04</vt:lpstr>
      <vt:lpstr>f1_05</vt:lpstr>
      <vt:lpstr>f1_06</vt:lpstr>
      <vt:lpstr>f1_07</vt:lpstr>
      <vt:lpstr>f1_08</vt:lpstr>
      <vt:lpstr>f1_09</vt:lpstr>
      <vt:lpstr>f1_10</vt:lpstr>
      <vt:lpstr>f1_11</vt:lpstr>
      <vt:lpstr>f1_12</vt:lpstr>
      <vt:lpstr>f1_13</vt:lpstr>
      <vt:lpstr>f1_14</vt:lpstr>
      <vt:lpstr>f1_15</vt:lpstr>
      <vt:lpstr>f1_16</vt:lpstr>
      <vt:lpstr>f1_17</vt:lpstr>
      <vt:lpstr>f1_18</vt:lpstr>
      <vt:lpstr>f1_19</vt:lpstr>
      <vt:lpstr>f1_20</vt:lpstr>
      <vt:lpstr>f1_21</vt:lpstr>
      <vt:lpstr>f1_22</vt:lpstr>
      <vt:lpstr>f1_23</vt:lpstr>
      <vt:lpstr>f1_24</vt:lpstr>
      <vt:lpstr>f1_25</vt:lpstr>
      <vt:lpstr>f1_26</vt:lpstr>
      <vt:lpstr>f1_27</vt:lpstr>
      <vt:lpstr>f1_28</vt:lpstr>
      <vt:lpstr>f1_29</vt:lpstr>
      <vt:lpstr>f1_30</vt:lpstr>
      <vt:lpstr>f1_31</vt:lpstr>
      <vt:lpstr>f1_32</vt:lpstr>
      <vt:lpstr>inp_b1_10out</vt:lpstr>
      <vt:lpstr>inp_b1_12</vt:lpstr>
      <vt:lpstr>inp_b1_18</vt:lpstr>
      <vt:lpstr>inp_b1_19</vt:lpstr>
      <vt:lpstr>inp_b1_2</vt:lpstr>
      <vt:lpstr>inp_b1_36</vt:lpstr>
      <vt:lpstr>inp_b1_4</vt:lpstr>
      <vt:lpstr>inp_b1_40</vt:lpstr>
      <vt:lpstr>inp_b1_41</vt:lpstr>
      <vt:lpstr>inp_b1_5</vt:lpstr>
      <vt:lpstr>inp_b1_7</vt:lpstr>
      <vt:lpstr>inp_b6_5_2_5_3</vt:lpstr>
      <vt:lpstr>inp_class</vt:lpstr>
      <vt:lpstr>inp_corp</vt:lpstr>
      <vt:lpstr>inp_curr_div</vt:lpstr>
      <vt:lpstr>inp_end</vt:lpstr>
      <vt:lpstr>inp_f1_09</vt:lpstr>
      <vt:lpstr>inp_f1_10</vt:lpstr>
      <vt:lpstr>inp_f1_11</vt:lpstr>
      <vt:lpstr>inp_f1_12</vt:lpstr>
      <vt:lpstr>inp_f1_13</vt:lpstr>
      <vt:lpstr>inp_f1_14</vt:lpstr>
      <vt:lpstr>inp_f1_15</vt:lpstr>
      <vt:lpstr>inp_f1_16</vt:lpstr>
      <vt:lpstr>inp_f1_17</vt:lpstr>
      <vt:lpstr>inp_f1_18</vt:lpstr>
      <vt:lpstr>inp_f1_19</vt:lpstr>
      <vt:lpstr>inp_f1_20</vt:lpstr>
      <vt:lpstr>inp_f1_21</vt:lpstr>
      <vt:lpstr>inp_f1_22</vt:lpstr>
      <vt:lpstr>inp_f1_23</vt:lpstr>
      <vt:lpstr>inp_f1_24</vt:lpstr>
      <vt:lpstr>inp_f1_25</vt:lpstr>
      <vt:lpstr>inp_f1_26</vt:lpstr>
      <vt:lpstr>inp_f1_27</vt:lpstr>
      <vt:lpstr>inp_f1_28</vt:lpstr>
      <vt:lpstr>inp_f1_29</vt:lpstr>
      <vt:lpstr>inp_f1_capital</vt:lpstr>
      <vt:lpstr>inp_f1_merger_inc</vt:lpstr>
      <vt:lpstr>inp_f1_opening_profit</vt:lpstr>
      <vt:lpstr>inp_f1_split_dec</vt:lpstr>
      <vt:lpstr>inp_group</vt:lpstr>
      <vt:lpstr>inp_m14_foreign</vt:lpstr>
      <vt:lpstr>inp_m16</vt:lpstr>
      <vt:lpstr>inp_m17</vt:lpstr>
      <vt:lpstr>inp_m18</vt:lpstr>
      <vt:lpstr>inp_m22_credits</vt:lpstr>
      <vt:lpstr>inp_m23_credits</vt:lpstr>
      <vt:lpstr>inp_m9_base</vt:lpstr>
      <vt:lpstr>inp_m9_extra</vt:lpstr>
      <vt:lpstr>inp_m9_inner</vt:lpstr>
      <vt:lpstr>inp_months</vt:lpstr>
      <vt:lpstr>inp_prev_div</vt:lpstr>
      <vt:lpstr>inp_special</vt:lpstr>
      <vt:lpstr>inp_specific_donation_total</vt:lpstr>
      <vt:lpstr>inp_start</vt:lpstr>
      <vt:lpstr>m_01</vt:lpstr>
      <vt:lpstr>m_02</vt:lpstr>
      <vt:lpstr>m_03</vt:lpstr>
      <vt:lpstr>m_04</vt:lpstr>
      <vt:lpstr>m_05</vt:lpstr>
      <vt:lpstr>m_06</vt:lpstr>
      <vt:lpstr>m_07</vt:lpstr>
      <vt:lpstr>m_08</vt:lpstr>
      <vt:lpstr>m_09</vt:lpstr>
      <vt:lpstr>m_10</vt:lpstr>
      <vt:lpstr>m_11</vt:lpstr>
      <vt:lpstr>m_12</vt:lpstr>
      <vt:lpstr>m_13</vt:lpstr>
      <vt:lpstr>m_14</vt:lpstr>
      <vt:lpstr>m_15</vt:lpstr>
      <vt:lpstr>m_16</vt:lpstr>
      <vt:lpstr>m_17</vt:lpstr>
      <vt:lpstr>m_18</vt:lpstr>
      <vt:lpstr>m_19</vt:lpstr>
      <vt:lpstr>m_20</vt:lpstr>
      <vt:lpstr>m_21</vt:lpstr>
      <vt:lpstr>m_22</vt:lpstr>
      <vt:lpstr>m_23</vt:lpstr>
      <vt:lpstr>m_24</vt:lpstr>
      <vt:lpstr>m_25</vt:lpstr>
      <vt:lpstr>m_26</vt:lpstr>
      <vt:lpstr>m_27</vt:lpstr>
      <vt:lpstr>m_28</vt:lpstr>
      <vt:lpstr>out_municipal_tax</vt:lpstr>
      <vt:lpstr>out_retained_tax</vt:lpstr>
      <vt:lpstr>out_retention_allowance</vt:lpstr>
      <vt:lpstr>out_taxable_retained</vt:lpstr>
      <vt:lpstr>検算!Print_Area</vt:lpstr>
      <vt:lpstr>根拠・出典!Print_Area</vt:lpstr>
      <vt:lpstr>使い方!Print_Area</vt:lpstr>
      <vt:lpstr>入力!Print_Area</vt:lpstr>
      <vt:lpstr>付表_計算!Print_Area</vt:lpstr>
      <vt:lpstr>'別表三(一)'!Print_Area</vt:lpstr>
      <vt:lpstr>'別表三(一)付表'!Print_Area</vt:lpstr>
      <vt:lpstr>別表三一_計算!Print_Area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jplawdb4</dc:creator>
  <cp:lastModifiedBy>jplawdb4</cp:lastModifiedBy>
</cp:coreProperties>
</file>