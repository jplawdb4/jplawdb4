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66925"/>
  <bookViews>
    <workbookView xWindow="-108" yWindow="-108" windowWidth="23256" windowHeight="12456"/>
  </bookViews>
  <sheets>
    <sheet name="使い方" sheetId="1" r:id="rId1"/>
    <sheet name="入力" sheetId="2" r:id="rId2"/>
    <sheet name="別表三一_計算" sheetId="3" r:id="rId3"/>
    <sheet name="付表一_計算" sheetId="4" r:id="rId4"/>
    <sheet name="付表二_計算" sheetId="5" r:id="rId5"/>
    <sheet name="別表三(一)" sheetId="6" r:id="rId6"/>
    <sheet name="別表三(一)付表一" sheetId="7" r:id="rId7"/>
    <sheet name="別表三(一)付表二" sheetId="8" r:id="rId8"/>
    <sheet name="検算" sheetId="9" r:id="rId9"/>
    <sheet name="根拠・出典" sheetId="10" r:id="rId10"/>
    <sheet name="印字値" sheetId="11" state="veryHidden" r:id="rId11"/>
  </sheets>
  <definedNames>
    <definedName name="cfg_applicable">入力!$H$5</definedName>
    <definedName name="cfg_donation_rate">入力!$H$7</definedName>
    <definedName name="cfg_f2_input_valid">入力!$H$11</definedName>
    <definedName name="cfg_resident_rate">入力!$H$6</definedName>
    <definedName name="f1_01">付表一_計算!$D$5</definedName>
    <definedName name="f1_02">付表一_計算!$D$6</definedName>
    <definedName name="f1_03">付表一_計算!$D$7</definedName>
    <definedName name="f1_04">付表一_計算!$D$8</definedName>
    <definedName name="f1_05">付表一_計算!$D$9</definedName>
    <definedName name="f1_06">付表一_計算!$D$10</definedName>
    <definedName name="f1_07">付表一_計算!$D$11</definedName>
    <definedName name="f1_08">付表一_計算!$D$12</definedName>
    <definedName name="f1_09">付表一_計算!$D$13</definedName>
    <definedName name="f1_10">付表一_計算!$D$14</definedName>
    <definedName name="f1_11">付表一_計算!$D$15</definedName>
    <definedName name="f1_12">付表一_計算!$D$16</definedName>
    <definedName name="f1_13">付表一_計算!$D$17</definedName>
    <definedName name="f1_14">付表一_計算!$D$18</definedName>
    <definedName name="f1_15">付表一_計算!$D$19</definedName>
    <definedName name="f1_16">付表一_計算!$D$20</definedName>
    <definedName name="f1_17">付表一_計算!$D$21</definedName>
    <definedName name="f1_18">付表一_計算!$D$22</definedName>
    <definedName name="f1_19">付表一_計算!$D$23</definedName>
    <definedName name="f1_20">付表一_計算!$D$24</definedName>
    <definedName name="f1_21">付表一_計算!$D$25</definedName>
    <definedName name="f1_22">付表一_計算!$D$26</definedName>
    <definedName name="f1_23">付表一_計算!$D$27</definedName>
    <definedName name="f1_24">付表一_計算!$D$28</definedName>
    <definedName name="f1_25">付表一_計算!$D$29</definedName>
    <definedName name="f1_26">付表一_計算!$D$30</definedName>
    <definedName name="f1_27">付表一_計算!$D$31</definedName>
    <definedName name="f1_28">付表一_計算!$D$32</definedName>
    <definedName name="f1_29">付表一_計算!$D$33</definedName>
    <definedName name="f1_30">付表一_計算!$D$34</definedName>
    <definedName name="f1_31">付表一_計算!$D$35</definedName>
    <definedName name="f1_32">付表一_計算!$D$36</definedName>
    <definedName name="f1_33">付表一_計算!$D$37</definedName>
    <definedName name="f2_01">付表二_計算!$D$5</definedName>
    <definedName name="f2_02">付表二_計算!$D$6</definedName>
    <definedName name="f2_03">付表二_計算!$D$7</definedName>
    <definedName name="f2_04">付表二_計算!$D$8</definedName>
    <definedName name="f2_05">付表二_計算!$D$9</definedName>
    <definedName name="f2_06">付表二_計算!$D$10</definedName>
    <definedName name="f2_07">付表二_計算!$D$11</definedName>
    <definedName name="f2_08">付表二_計算!$D$12</definedName>
    <definedName name="f2_09">付表二_計算!$D$13</definedName>
    <definedName name="f2_10">付表二_計算!$D$14</definedName>
    <definedName name="f2_11">付表二_計算!$D$15</definedName>
    <definedName name="f2_12">付表二_計算!$D$16</definedName>
    <definedName name="f2_13">付表二_計算!$D$17</definedName>
    <definedName name="f2_14">付表二_計算!$D$18</definedName>
    <definedName name="f2_15">付表二_計算!$D$19</definedName>
    <definedName name="f2_16">付表二_計算!$D$20</definedName>
    <definedName name="f2_17">付表二_計算!$D$21</definedName>
    <definedName name="f2_18">付表二_計算!$D$22</definedName>
    <definedName name="f2_19">付表二_計算!$D$23</definedName>
    <definedName name="f2_20">付表二_計算!$D$24</definedName>
    <definedName name="f2_21">付表二_計算!$D$25</definedName>
    <definedName name="f2_22">付表二_計算!$D$26</definedName>
    <definedName name="f2_23">付表二_計算!$D$27</definedName>
    <definedName name="f2_24">付表二_計算!$D$28</definedName>
    <definedName name="f2_25">付表二_計算!$D$29</definedName>
    <definedName name="f2_26">付表二_計算!$D$30</definedName>
    <definedName name="inp_adjust_local_credit">入力!$D$39</definedName>
    <definedName name="inp_b1_11">入力!$D$25</definedName>
    <definedName name="inp_b1_17">入力!$D$26</definedName>
    <definedName name="inp_b1_18">入力!$D$27</definedName>
    <definedName name="inp_b1_2">入力!$D$20</definedName>
    <definedName name="inp_b1_3">入力!$D$21</definedName>
    <definedName name="inp_b1_31">入力!$D$28</definedName>
    <definedName name="inp_b1_32">入力!$D$29</definedName>
    <definedName name="inp_b1_36">入力!$D$30</definedName>
    <definedName name="inp_b1_4">入力!$D$22</definedName>
    <definedName name="inp_b1_6">入力!$D$23</definedName>
    <definedName name="inp_b1_65">入力!$D$31</definedName>
    <definedName name="inp_b1_9out">入力!$D$24</definedName>
    <definedName name="inp_b6_5_2_5_3">入力!$D$32</definedName>
    <definedName name="inp_class">入力!$D$9</definedName>
    <definedName name="inp_corp">入力!$D$5</definedName>
    <definedName name="inp_curr_div">入力!$D$19</definedName>
    <definedName name="inp_end">入力!$D$7</definedName>
    <definedName name="inp_f1_09">入力!$D$47</definedName>
    <definedName name="inp_f1_10">入力!$D$48</definedName>
    <definedName name="inp_f1_11">入力!$D$49</definedName>
    <definedName name="inp_f1_12">入力!$D$50</definedName>
    <definedName name="inp_f1_13">入力!$D$51</definedName>
    <definedName name="inp_f1_14">入力!$D$52</definedName>
    <definedName name="inp_f1_15">入力!$D$53</definedName>
    <definedName name="inp_f1_16">入力!$D$54</definedName>
    <definedName name="inp_f1_19">入力!$D$55</definedName>
    <definedName name="inp_f1_20">入力!$D$56</definedName>
    <definedName name="inp_f1_21">入力!$D$57</definedName>
    <definedName name="inp_f1_22">入力!$D$58</definedName>
    <definedName name="inp_f1_23">入力!$D$59</definedName>
    <definedName name="inp_f1_24">入力!$D$60</definedName>
    <definedName name="inp_f1_25">入力!$D$61</definedName>
    <definedName name="inp_f1_26">入力!$D$62</definedName>
    <definedName name="inp_f1_27">入力!$D$63</definedName>
    <definedName name="inp_f1_28">入力!$D$64</definedName>
    <definedName name="inp_f1_29">入力!$D$65</definedName>
    <definedName name="inp_f1_30">入力!$D$66</definedName>
    <definedName name="inp_f1_capital">入力!$D$43</definedName>
    <definedName name="inp_f1_merger_inc">入力!$D$45</definedName>
    <definedName name="inp_f1_opening_profit">入力!$D$44</definedName>
    <definedName name="inp_f1_split_dec">入力!$D$46</definedName>
    <definedName name="inp_f2_01">入力!$D$70</definedName>
    <definedName name="inp_f2_02">入力!$D$71</definedName>
    <definedName name="inp_f2_03">入力!$D$72</definedName>
    <definedName name="inp_f2_04">入力!$D$73</definedName>
    <definedName name="inp_f2_06">入力!$D$74</definedName>
    <definedName name="inp_f2_07">入力!$D$75</definedName>
    <definedName name="inp_f2_08">入力!$D$76</definedName>
    <definedName name="inp_f2_12">入力!$D$77</definedName>
    <definedName name="inp_f2_15">入力!$D$78</definedName>
    <definedName name="inp_f2_16">入力!$D$79</definedName>
    <definedName name="inp_f2_21">入力!$D$80</definedName>
    <definedName name="inp_f2_23">入力!$D$81</definedName>
    <definedName name="inp_group">入力!$D$10</definedName>
    <definedName name="inp_m14_foreign">入力!$D$37</definedName>
    <definedName name="inp_m22_b1_4_adjust">入力!$D$35</definedName>
    <definedName name="inp_m22_credits">入力!$D$33</definedName>
    <definedName name="inp_m23_b1_4_adjust">入力!$D$36</definedName>
    <definedName name="inp_m23_credits">入力!$D$34</definedName>
    <definedName name="inp_m9_base">入力!$D$15</definedName>
    <definedName name="inp_m9_extra">入力!$D$16</definedName>
    <definedName name="inp_m9_inner">入力!$D$17</definedName>
    <definedName name="inp_months">入力!$D$8</definedName>
    <definedName name="inp_prev_div">入力!$D$18</definedName>
    <definedName name="inp_special">入力!$D$11</definedName>
    <definedName name="inp_specific_donation_total">入力!$D$38</definedName>
    <definedName name="inp_start">入力!$D$6</definedName>
    <definedName name="m_01">別表三一_計算!$D$5</definedName>
    <definedName name="m_02">別表三一_計算!$D$6</definedName>
    <definedName name="m_03">別表三一_計算!$D$7</definedName>
    <definedName name="m_04">別表三一_計算!$D$8</definedName>
    <definedName name="m_05">別表三一_計算!$D$9</definedName>
    <definedName name="m_06">別表三一_計算!$D$10</definedName>
    <definedName name="m_07">別表三一_計算!$D$11</definedName>
    <definedName name="m_08">別表三一_計算!$D$12</definedName>
    <definedName name="m_09">別表三一_計算!$D$13</definedName>
    <definedName name="m_10">別表三一_計算!$D$14</definedName>
    <definedName name="m_11">別表三一_計算!$D$15</definedName>
    <definedName name="m_12">別表三一_計算!$D$16</definedName>
    <definedName name="m_13">別表三一_計算!$D$17</definedName>
    <definedName name="m_14">別表三一_計算!$D$18</definedName>
    <definedName name="m_15">別表三一_計算!$D$19</definedName>
    <definedName name="m_16">別表三一_計算!$D$20</definedName>
    <definedName name="m_17">別表三一_計算!$D$21</definedName>
    <definedName name="m_18">別表三一_計算!$D$22</definedName>
    <definedName name="m_19">別表三一_計算!$D$23</definedName>
    <definedName name="m_20">別表三一_計算!$D$24</definedName>
    <definedName name="m_21">別表三一_計算!$D$25</definedName>
    <definedName name="m_22">別表三一_計算!$D$26</definedName>
    <definedName name="m_23">別表三一_計算!$D$27</definedName>
    <definedName name="m_24">別表三一_計算!$D$28</definedName>
    <definedName name="m_25">別表三一_計算!$D$29</definedName>
    <definedName name="m_26">別表三一_計算!$D$30</definedName>
    <definedName name="m_27">別表三一_計算!$D$31</definedName>
    <definedName name="m_28">別表三一_計算!$D$32</definedName>
    <definedName name="out_municipal_tax">別表三一_計算!$D$32</definedName>
    <definedName name="out_retained_tax">別表三一_計算!$D$12</definedName>
    <definedName name="out_retention_allowance">付表一_計算!$D$37</definedName>
    <definedName name="out_taxable_retained">別表三一_計算!$D$25</definedName>
    <definedName name="_xlnm.Print_Area" localSheetId="8">検算!$A$1:$D$26</definedName>
    <definedName name="_xlnm.Print_Area" localSheetId="9">根拠・出典!$A$1:$E$15</definedName>
    <definedName name="_xlnm.Print_Area" localSheetId="0">使い方!$A$1:$H$40</definedName>
    <definedName name="_xlnm.Print_Area" localSheetId="1">入力!$A$1:$H$81</definedName>
    <definedName name="_xlnm.Print_Area" localSheetId="3">付表一_計算!$A$1:$E$37</definedName>
    <definedName name="_xlnm.Print_Area" localSheetId="4">付表二_計算!$A$1:$E$30</definedName>
    <definedName name="_xlnm.Print_Area" localSheetId="5">'別表三(一)'!$A$1:$L$3</definedName>
    <definedName name="_xlnm.Print_Area" localSheetId="6">'別表三(一)付表一'!$A$1:$L$3</definedName>
    <definedName name="_xlnm.Print_Area" localSheetId="7">'別表三(一)付表二'!$A$1:$L$3</definedName>
    <definedName name="_xlnm.Print_Area" localSheetId="2">別表三一_計算!$A$1:$G$32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6" i="9" l="1"/>
  <c r="C26" i="9"/>
  <c r="B5" i="11"/>
  <c r="A2" i="11"/>
  <c r="A1" i="11"/>
  <c r="F12" i="1"/>
  <c r="D27" i="3"/>
  <c r="A27" i="11" s="1"/>
  <c r="D26" i="3"/>
  <c r="A26" i="11" s="1"/>
  <c r="D18" i="3"/>
  <c r="A18" i="11" s="1"/>
  <c r="D16" i="3"/>
  <c r="A16" i="11" s="1"/>
  <c r="D15" i="3"/>
  <c r="A15" i="11" s="1"/>
  <c r="D14" i="3"/>
  <c r="A14" i="11" s="1"/>
  <c r="D13" i="3"/>
  <c r="A13" i="11" s="1"/>
  <c r="D34" i="4"/>
  <c r="C34" i="11" s="1"/>
  <c r="D33" i="4"/>
  <c r="C33" i="11" s="1"/>
  <c r="D32" i="4"/>
  <c r="C32" i="11" s="1"/>
  <c r="D31" i="4"/>
  <c r="C31" i="11" s="1"/>
  <c r="D30" i="4"/>
  <c r="C30" i="11" s="1"/>
  <c r="D29" i="4"/>
  <c r="C29" i="11" s="1"/>
  <c r="D28" i="4"/>
  <c r="C28" i="11" s="1"/>
  <c r="D27" i="4"/>
  <c r="C27" i="11" s="1"/>
  <c r="D26" i="4"/>
  <c r="C26" i="11" s="1"/>
  <c r="D25" i="4"/>
  <c r="C25" i="11" s="1"/>
  <c r="D24" i="4"/>
  <c r="C24" i="11" s="1"/>
  <c r="D23" i="4"/>
  <c r="D22" i="3" s="1"/>
  <c r="A22" i="11" s="1"/>
  <c r="D20" i="4"/>
  <c r="C20" i="11" s="1"/>
  <c r="D19" i="4"/>
  <c r="C19" i="11" s="1"/>
  <c r="D18" i="4"/>
  <c r="C18" i="11" s="1"/>
  <c r="D17" i="4"/>
  <c r="C17" i="11" s="1"/>
  <c r="D16" i="4"/>
  <c r="C16" i="11" s="1"/>
  <c r="D15" i="4"/>
  <c r="C15" i="11" s="1"/>
  <c r="D14" i="4"/>
  <c r="C14" i="11" s="1"/>
  <c r="D13" i="4"/>
  <c r="C13" i="11" s="1"/>
  <c r="D9" i="4"/>
  <c r="C9" i="11" s="1"/>
  <c r="D8" i="4"/>
  <c r="C8" i="11" s="1"/>
  <c r="D7" i="4"/>
  <c r="D5" i="4"/>
  <c r="C5" i="11" s="1"/>
  <c r="D20" i="5"/>
  <c r="E20" i="11" s="1"/>
  <c r="D19" i="5"/>
  <c r="E19" i="11" s="1"/>
  <c r="D18" i="5"/>
  <c r="E18" i="11" s="1"/>
  <c r="D16" i="5"/>
  <c r="E16" i="11" s="1"/>
  <c r="D15" i="5"/>
  <c r="D12" i="5"/>
  <c r="E12" i="11" s="1"/>
  <c r="D11" i="5"/>
  <c r="E11" i="11" s="1"/>
  <c r="D10" i="5"/>
  <c r="D8" i="5"/>
  <c r="E8" i="11" s="1"/>
  <c r="D7" i="5"/>
  <c r="E7" i="11" s="1"/>
  <c r="D6" i="5"/>
  <c r="E6" i="11" s="1"/>
  <c r="D5" i="5"/>
  <c r="E5" i="11" s="1"/>
  <c r="H7" i="2"/>
  <c r="D29" i="3" s="1"/>
  <c r="A29" i="11" s="1"/>
  <c r="H6" i="2"/>
  <c r="H5" i="2"/>
  <c r="F11" i="1" s="1"/>
  <c r="D8" i="2"/>
  <c r="D12" i="4" s="1"/>
  <c r="D17" i="5" l="1"/>
  <c r="E17" i="11" s="1"/>
  <c r="D21" i="4"/>
  <c r="C21" i="11" s="1"/>
  <c r="D22" i="5"/>
  <c r="E22" i="11" s="1"/>
  <c r="D10" i="4"/>
  <c r="C10" i="11" s="1"/>
  <c r="C7" i="11"/>
  <c r="C23" i="11"/>
  <c r="E10" i="11"/>
  <c r="D26" i="5"/>
  <c r="E26" i="11" s="1"/>
  <c r="D28" i="3"/>
  <c r="D30" i="3" s="1"/>
  <c r="D31" i="3" s="1"/>
  <c r="D6" i="4"/>
  <c r="E15" i="11"/>
  <c r="D27" i="5"/>
  <c r="E27" i="11" s="1"/>
  <c r="D9" i="5"/>
  <c r="D21" i="5"/>
  <c r="C12" i="11"/>
  <c r="F14" i="1"/>
  <c r="G7" i="3"/>
  <c r="D23" i="5" l="1"/>
  <c r="D29" i="5" s="1"/>
  <c r="E21" i="11"/>
  <c r="D22" i="4"/>
  <c r="C22" i="11" s="1"/>
  <c r="E9" i="11"/>
  <c r="D20" i="3"/>
  <c r="A20" i="11" s="1"/>
  <c r="A30" i="11"/>
  <c r="A28" i="11"/>
  <c r="A31" i="11"/>
  <c r="D32" i="3"/>
  <c r="A32" i="11" s="1"/>
  <c r="D11" i="4"/>
  <c r="C11" i="11" s="1"/>
  <c r="C6" i="11"/>
  <c r="E23" i="11"/>
  <c r="D28" i="5"/>
  <c r="E28" i="11" s="1"/>
  <c r="D24" i="5"/>
  <c r="D35" i="4" l="1"/>
  <c r="D36" i="4" s="1"/>
  <c r="C36" i="11" s="1"/>
  <c r="D17" i="3"/>
  <c r="D19" i="3" s="1"/>
  <c r="F8" i="1"/>
  <c r="H11" i="2"/>
  <c r="D25" i="5"/>
  <c r="E25" i="11" s="1"/>
  <c r="E24" i="11"/>
  <c r="E29" i="11"/>
  <c r="D37" i="4" l="1"/>
  <c r="C35" i="11"/>
  <c r="A17" i="11"/>
  <c r="D30" i="5"/>
  <c r="E30" i="11" s="1"/>
  <c r="F12" i="2"/>
  <c r="F13" i="1"/>
  <c r="A19" i="11"/>
  <c r="C37" i="11"/>
  <c r="D24" i="3"/>
  <c r="F7" i="1"/>
  <c r="D13" i="5" l="1"/>
  <c r="E13" i="11" s="1"/>
  <c r="A24" i="11"/>
  <c r="D14" i="5" l="1"/>
  <c r="E14" i="11" s="1"/>
  <c r="D21" i="3"/>
  <c r="A21" i="11" l="1"/>
  <c r="D23" i="3"/>
  <c r="A23" i="11" l="1"/>
  <c r="D25" i="3"/>
  <c r="G5" i="3"/>
  <c r="G6" i="3" l="1"/>
  <c r="D5" i="3"/>
  <c r="G8" i="3" s="1"/>
  <c r="G9" i="3" s="1"/>
  <c r="G10" i="3" s="1"/>
  <c r="D6" i="3" s="1"/>
  <c r="A25" i="11"/>
  <c r="F6" i="1"/>
  <c r="A6" i="11" l="1"/>
  <c r="D10" i="3"/>
  <c r="A10" i="11" s="1"/>
  <c r="D9" i="3"/>
  <c r="A9" i="11" s="1"/>
  <c r="A5" i="11"/>
  <c r="D7" i="3"/>
  <c r="D8" i="3"/>
  <c r="A8" i="11" s="1"/>
  <c r="D11" i="3" l="1"/>
  <c r="A7" i="11"/>
  <c r="A11" i="11" l="1"/>
  <c r="D12" i="3"/>
  <c r="F5" i="1" l="1"/>
  <c r="A12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jplawdb4</author>
  </authors>
  <commentList>
    <comment ref="D8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法人税法67条7項・国税通則法10条に従い、応当日がない月は月末を満了日とし、1月未満の端数を1月に切り上げます。</t>
        </r>
      </text>
    </comment>
    <comment ref="D15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別表四「52の②」
別表四の留保所得金額又は欠損金額を符号付きで転記（欠損は負数可）</t>
        </r>
      </text>
    </comment>
    <comment ref="D16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別表十(六)「15」
該当がなければ0</t>
        </r>
      </text>
    </comment>
    <comment ref="D17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別表四「17」
当期留保金額で主表9から減算</t>
        </r>
      </text>
    </comment>
    <comment ref="D18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前期の別表三(一)「11」</t>
        </r>
      </text>
    </comment>
    <comment ref="D19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法人税法67条4項</t>
        </r>
      </text>
    </comment>
    <comment ref="D20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別表一「2」</t>
        </r>
      </text>
    </comment>
    <comment ref="D21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別表一「3」</t>
        </r>
      </text>
    </comment>
    <comment ref="D22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別表一「4」</t>
        </r>
      </text>
    </comment>
    <comment ref="D23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別表一「6」</t>
        </r>
      </text>
    </comment>
    <comment ref="D24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別表一「9の外書」</t>
        </r>
      </text>
    </comment>
    <comment ref="D25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別表一「11」</t>
        </r>
      </text>
    </comment>
    <comment ref="D26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別表一「17」</t>
        </r>
      </text>
    </comment>
    <comment ref="D27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別表一「18」</t>
        </r>
      </text>
    </comment>
    <comment ref="D28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別表一「31」</t>
        </r>
      </text>
    </comment>
    <comment ref="D29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別表一「32」</t>
        </r>
      </text>
    </comment>
    <comment ref="D30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別表一「36」</t>
        </r>
      </text>
    </comment>
    <comment ref="D31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別表一「65」</t>
        </r>
      </text>
    </comment>
    <comment ref="D32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別表六(五の二)「5の③」</t>
        </r>
      </text>
    </comment>
    <comment ref="D33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別表六(六)9②＋9④～⑦＋9⑮～⑰＋9㉗～㉙</t>
        </r>
      </text>
    </comment>
    <comment ref="D34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別表六(六)3＋9②～⑦＋9⑩～⑬＋9⑮～㉒＋9㉗～㉙</t>
        </r>
      </text>
    </comment>
    <comment ref="D35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別表六(九)付表32・37＋別表六(十二)付表二19・24</t>
        </r>
      </text>
    </comment>
    <comment ref="D36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別表六(九)付表32・37</t>
        </r>
      </text>
    </comment>
    <comment ref="D37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別表十七(三の六)「1」</t>
        </r>
      </text>
    </comment>
    <comment ref="D38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法人税法施行令139条の10第1項
損金算入される額のみ</t>
        </r>
      </text>
    </comment>
    <comment ref="D39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別表六(二)付表六「7の計」</t>
        </r>
      </text>
    </comment>
    <comment ref="D43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期末資本金又は出資金</t>
        </r>
      </text>
    </comment>
    <comment ref="D44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別表五(一)の該当欄
利益積立金額がマイナスの場合は負数可</t>
        </r>
      </text>
    </comment>
    <comment ref="D45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適格合併等</t>
        </r>
      </text>
    </comment>
    <comment ref="D46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適格分割型分割等</t>
        </r>
      </text>
    </comment>
    <comment ref="D47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別表四「52の①」
別表四の所得金額又は欠損金額を符号付きで転記（欠損は負数可）</t>
        </r>
      </text>
    </comment>
    <comment ref="D48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別表四「38」
譲渡損失額はマイナス入力可</t>
        </r>
      </text>
    </comment>
    <comment ref="D49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別表八(一)「5」から通算法人間配当等を除いた額</t>
        </r>
      </text>
    </comment>
    <comment ref="D50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別表八(二)「26」＋別表十七(三の七)「27の計」</t>
        </r>
      </text>
    </comment>
    <comment ref="D51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別表四「16」</t>
        </r>
      </text>
    </comment>
    <comment ref="D52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別表四「19」＋別表四付表「7」</t>
        </r>
      </text>
    </comment>
    <comment ref="D53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別表七の当該年版様式列挙額</t>
        </r>
      </text>
    </comment>
    <comment ref="D54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別表四「37」</t>
        </r>
      </text>
    </comment>
    <comment ref="D55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別表八(三)「13」の合計額</t>
        </r>
      </text>
    </comment>
    <comment ref="D56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別表十(三)「43」</t>
        </r>
      </text>
    </comment>
    <comment ref="D57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別表十(四)「20」</t>
        </r>
      </text>
    </comment>
    <comment ref="D58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別表十(四)「21」又は「23」</t>
        </r>
      </text>
    </comment>
    <comment ref="D59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別表十(一)「15」又は別表十(二)「10」</t>
        </r>
      </text>
    </comment>
    <comment ref="D60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別表十(一)「16」又は別表十(二)「11」</t>
        </r>
      </text>
    </comment>
    <comment ref="D61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別表十(五)「22+37+42+47+52」</t>
        </r>
      </text>
    </comment>
    <comment ref="D62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別表十(六)「12」</t>
        </r>
      </text>
    </comment>
    <comment ref="D63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別表十(六)「18」＋「20」</t>
        </r>
      </text>
    </comment>
    <comment ref="D64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別表十(七)「22」</t>
        </r>
      </text>
    </comment>
    <comment ref="D65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別表十七(二の三)「10」</t>
        </r>
      </text>
    </comment>
    <comment ref="D66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別表十七の当該年版様式列挙額</t>
        </r>
      </text>
    </comment>
    <comment ref="D70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別表四付表「3」</t>
        </r>
      </text>
    </comment>
    <comment ref="D71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別表七の二「11」</t>
        </r>
      </text>
    </comment>
    <comment ref="D72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施行令139条の8関係・入力値</t>
        </r>
      </text>
    </comment>
    <comment ref="D73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施行令139条の8関係・入力値</t>
        </r>
      </text>
    </comment>
    <comment ref="D74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別表四付表「8」</t>
        </r>
      </text>
    </comment>
    <comment ref="D75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別表七の二「5」</t>
        </r>
      </text>
    </comment>
    <comment ref="D76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法人税法施行令139条の8第1項</t>
        </r>
      </text>
    </comment>
    <comment ref="D77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別表四付表「9」</t>
        </r>
      </text>
    </comment>
    <comment ref="D78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別表七(二)付表一「23の計」</t>
        </r>
      </text>
    </comment>
    <comment ref="D79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別表八(一)付表「24」</t>
        </r>
      </text>
    </comment>
    <comment ref="D80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別表十八(一)「5の計」
計算欄では(20)を控除</t>
        </r>
      </text>
    </comment>
    <comment ref="D81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別表十八(一)「6の計」
計算欄では(22)を控除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jplawdb4</author>
  </authors>
  <commentList>
    <comment ref="G10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法人税基本通達16-1-8(2)の短期事業年度における1億円相当額の端数判定。</t>
        </r>
      </text>
    </comment>
  </commentList>
</comments>
</file>

<file path=xl/sharedStrings.xml><?xml version="1.0" encoding="utf-8"?>
<sst xmlns="http://schemas.openxmlformats.org/spreadsheetml/2006/main" count="667" uniqueCount="482">
  <si>
    <t>特定同族会社の留保金課税 - 入力（令和6年版）</t>
  </si>
  <si>
    <t>黄色セルだけを入力してください。青色セルと国税庁様式帳票は自動計算・自動転記です。</t>
  </si>
  <si>
    <t>法人名</t>
  </si>
  <si>
    <t>事業年度開始日</t>
  </si>
  <si>
    <t>事業年度終了日</t>
  </si>
  <si>
    <t>事業年度月数（自動）</t>
  </si>
  <si>
    <t>中小企業者等該当性（住民税計算用）</t>
  </si>
  <si>
    <t>通算法人</t>
  </si>
  <si>
    <t>別表二の判定結果：特定同族会社</t>
  </si>
  <si>
    <t>基本情報</t>
    <phoneticPr fontId="2"/>
  </si>
  <si>
    <t>年度版チェック</t>
  </si>
  <si>
    <t>事業年度が対象範囲内</t>
  </si>
  <si>
    <t>住民税率</t>
  </si>
  <si>
    <t>特定寄附金控除率</t>
  </si>
  <si>
    <t>令和6年4月1日から令和7年3月31日までに終了する事業年度の年次版</t>
  </si>
  <si>
    <t>別表三(一)・住民税額計算の入力</t>
  </si>
  <si>
    <t>入力ID</t>
  </si>
  <si>
    <t>転記元</t>
  </si>
  <si>
    <t>内容</t>
  </si>
  <si>
    <t>入力額</t>
  </si>
  <si>
    <t>備考</t>
  </si>
  <si>
    <t>m9_base</t>
  </si>
  <si>
    <t>別表四「52の②」</t>
  </si>
  <si>
    <t>留保所得金額（主表9）の基礎額</t>
  </si>
  <si>
    <t>別表四の留保所得金額又は欠損金額を符号付きで転記（欠損は負数可）</t>
  </si>
  <si>
    <t>m9_extra</t>
  </si>
  <si>
    <t>別表十(六)「15」</t>
  </si>
  <si>
    <t>留保所得金額（主表9）に含める記載要領上の追加額</t>
  </si>
  <si>
    <t>該当がなければ0</t>
  </si>
  <si>
    <t>m9_inner</t>
  </si>
  <si>
    <t>別表四「17」</t>
  </si>
  <si>
    <t>留保所得金額（主表9）の内書額</t>
  </si>
  <si>
    <t>当期留保金額で主表9から減算</t>
  </si>
  <si>
    <t>prev_div</t>
  </si>
  <si>
    <t>前期の別表三(一)「11」</t>
  </si>
  <si>
    <t>前期末配当等の額</t>
  </si>
  <si>
    <t>curr_div</t>
  </si>
  <si>
    <t>法人税法67条4項</t>
  </si>
  <si>
    <t>当期末配当等の額</t>
  </si>
  <si>
    <t>b1_2</t>
  </si>
  <si>
    <t>別表一「2」</t>
  </si>
  <si>
    <t>主表12・住民税計算用：別表一「2」</t>
  </si>
  <si>
    <t>b1_3</t>
  </si>
  <si>
    <t>別表一「3」</t>
  </si>
  <si>
    <t>主表12・住民税計算用：別表一「3」</t>
  </si>
  <si>
    <t>b1_4</t>
  </si>
  <si>
    <t>別表一「4」</t>
  </si>
  <si>
    <t>主表12・住民税計算用：別表一「4」</t>
  </si>
  <si>
    <t>b1_6</t>
  </si>
  <si>
    <t>別表一「6」</t>
  </si>
  <si>
    <t>主表12・住民税計算用：別表一「6」</t>
  </si>
  <si>
    <t>b1_9out</t>
  </si>
  <si>
    <t>別表一「9の外書」</t>
  </si>
  <si>
    <t>主表12・住民税計算用：別表一「9の外書」</t>
  </si>
  <si>
    <t>b1_11</t>
  </si>
  <si>
    <t>別表一「11」</t>
  </si>
  <si>
    <t>主表12・住民税計算用：別表一「11」</t>
  </si>
  <si>
    <t>b1_17</t>
  </si>
  <si>
    <t>別表一「17」</t>
  </si>
  <si>
    <t>主表12・住民税計算用：別表一「17」</t>
  </si>
  <si>
    <t>b1_18</t>
  </si>
  <si>
    <t>別表一「18」</t>
  </si>
  <si>
    <t>主表12・住民税計算用：別表一「18」</t>
  </si>
  <si>
    <t>b1_31</t>
  </si>
  <si>
    <t>別表一「31」</t>
  </si>
  <si>
    <t>主表12の地方法人税計算用：別表一「31」</t>
  </si>
  <si>
    <t>b1_32</t>
  </si>
  <si>
    <t>別表一「32」</t>
  </si>
  <si>
    <t>主表12の地方法人税計算用：別表一「32」</t>
  </si>
  <si>
    <t>b1_36</t>
  </si>
  <si>
    <t>別表一「36」</t>
  </si>
  <si>
    <t>主表12の地方法人税計算用：別表一「36」</t>
  </si>
  <si>
    <t>b1_65</t>
  </si>
  <si>
    <t>別表一「65」</t>
  </si>
  <si>
    <t>主表12の地方法人税計算用：別表一「65」</t>
  </si>
  <si>
    <t>b6_5_2_5_3</t>
  </si>
  <si>
    <t>別表六(五の二)「5の③」</t>
  </si>
  <si>
    <t>主表12の分配時調整外国税相当額</t>
  </si>
  <si>
    <t>m22_credits</t>
  </si>
  <si>
    <t>別表六(六)9②＋9④～⑦＋9⑮～⑰＋9㉗～㉙</t>
  </si>
  <si>
    <t>主表22で差し引く税額控除等の合計</t>
  </si>
  <si>
    <t>m23_credits</t>
  </si>
  <si>
    <t>別表六(六)3＋9②～⑦＋9⑩～⑬＋9⑮～㉒＋9㉗～㉙</t>
  </si>
  <si>
    <t>主表23で差し引く税額控除等の合計</t>
  </si>
  <si>
    <t>m22_b1_4_adjust</t>
  </si>
  <si>
    <t>別表六(九)付表32・37＋別表六(十二)付表二19・24</t>
  </si>
  <si>
    <t>主表22で別表一4から控除する記載要領上の調整額</t>
  </si>
  <si>
    <t>m23_b1_4_adjust</t>
  </si>
  <si>
    <t>別表六(九)付表32・37</t>
  </si>
  <si>
    <t>主表23で別表一4から控除する記載要領上の調整額</t>
  </si>
  <si>
    <t>m14_foreign</t>
  </si>
  <si>
    <t>別表十七(三の六)「1」</t>
  </si>
  <si>
    <t>主表14：外国関係会社等に係る控除対象所得税額等相当額</t>
  </si>
  <si>
    <t>specific_donation_total</t>
  </si>
  <si>
    <t>法人税法施行令139条の10第1項</t>
  </si>
  <si>
    <t>主表の特定寄附金控除額の基礎となる合計額</t>
  </si>
  <si>
    <t>損金算入される額のみ</t>
  </si>
  <si>
    <t>adjust_local_credit</t>
  </si>
  <si>
    <t>別表六(二)付表六「7の計」</t>
  </si>
  <si>
    <t>調整地方税額に係る控除額で差し引く額</t>
  </si>
  <si>
    <t>留保控除額（付表・付表一）の入力</t>
  </si>
  <si>
    <t>f1_capital</t>
  </si>
  <si>
    <t>期末資本金又は出資金</t>
  </si>
  <si>
    <t>付表1欄：期末資本金の額又は出資金の額</t>
  </si>
  <si>
    <t>f1_opening_profit</t>
  </si>
  <si>
    <t>別表五(一)の該当欄</t>
  </si>
  <si>
    <t>期首利益積立金額の基礎額（主表10控除前）</t>
  </si>
  <si>
    <t>利益積立金額がマイナスの場合は負数可</t>
  </si>
  <si>
    <t>f1_merger_inc</t>
  </si>
  <si>
    <t>適格合併等</t>
  </si>
  <si>
    <t>適格合併等により増加した利益積立金額</t>
  </si>
  <si>
    <t>f1_split_dec</t>
  </si>
  <si>
    <t>適格分割型分割等</t>
  </si>
  <si>
    <t>適格分割型分割等により減少した利益積立金額</t>
  </si>
  <si>
    <t>f1_09</t>
  </si>
  <si>
    <t>別表四「52の①」</t>
  </si>
  <si>
    <t>付表の9欄：所得金額</t>
  </si>
  <si>
    <t>別表四の所得金額又は欠損金額を符号付きで転記（欠損は負数可）</t>
  </si>
  <si>
    <t>f1_10</t>
  </si>
  <si>
    <t>別表四「38」</t>
  </si>
  <si>
    <t>付表の10欄：非適格合併による移転資産等の譲渡利益額又は譲渡損失額</t>
  </si>
  <si>
    <t>譲渡損失額はマイナス入力可</t>
  </si>
  <si>
    <t>f1_11</t>
  </si>
  <si>
    <t>別表八(一)「5」から通算法人間配当等を除いた額</t>
  </si>
  <si>
    <t>付表の11欄：受取配当等の益金不算入額</t>
  </si>
  <si>
    <t>f1_12</t>
  </si>
  <si>
    <t>別表八(二)「26」＋別表十七(三の七)「27の計」</t>
  </si>
  <si>
    <t>付表の12欄：外国子会社等から受ける剰余金の配当等の益金不算入額</t>
  </si>
  <si>
    <t>f1_13</t>
  </si>
  <si>
    <t>別表四「16」</t>
  </si>
  <si>
    <t>付表の13欄：受贈益の益金不算入額</t>
  </si>
  <si>
    <t>f1_14</t>
  </si>
  <si>
    <t>別表四「19」＋別表四付表「7」</t>
  </si>
  <si>
    <t>付表の14欄：法人税額の還付金等</t>
  </si>
  <si>
    <t>f1_15</t>
  </si>
  <si>
    <t>別表七の当該年版様式列挙額</t>
  </si>
  <si>
    <t>付表の15欄：欠損金等の当期控除額</t>
  </si>
  <si>
    <t>f1_16</t>
  </si>
  <si>
    <t>別表四「37」</t>
  </si>
  <si>
    <t>付表の16欄：災害損失欠損金額の益金算入額</t>
  </si>
  <si>
    <t>f1_19</t>
  </si>
  <si>
    <t>別表八(三)「13」の合計額</t>
  </si>
  <si>
    <t>付表の19欄：他法人株式等の帳簿価額から減算される金額</t>
  </si>
  <si>
    <t>f1_20</t>
  </si>
  <si>
    <t>別表十(三)「43」</t>
  </si>
  <si>
    <t>付表の20欄：新鉱床探鉱費又は海外新鉱床探鉱費の特別控除額</t>
  </si>
  <si>
    <t>f1_21</t>
  </si>
  <si>
    <t>別表十(四)「20」</t>
  </si>
  <si>
    <t>付表の21欄：日本船舶による収入金額に係る所得の損金算入額</t>
  </si>
  <si>
    <t>f1_22</t>
  </si>
  <si>
    <t>別表十(四)「21」又は「23」</t>
  </si>
  <si>
    <t>付表の22欄：日本船舶による収入金額に係る所得の益金算入額</t>
  </si>
  <si>
    <t>f1_23</t>
  </si>
  <si>
    <t>別表十(一)「15」又は別表十(二)「10」</t>
  </si>
  <si>
    <t>付表の23欄：沖縄認定法人・国家戦略特区指定法人の所得特別控除額</t>
  </si>
  <si>
    <t>f1_24</t>
  </si>
  <si>
    <t>別表十(一)「16」又は別表十(二)「11」</t>
  </si>
  <si>
    <t>付表の24欄：沖縄認定法人・国家戦略特区指定法人の要加算調整額</t>
  </si>
  <si>
    <t>f1_25</t>
  </si>
  <si>
    <t>別表十(五)「22+37+42+47+52」</t>
  </si>
  <si>
    <t>付表の25欄：収用等の場合等の所得の特別控除額</t>
  </si>
  <si>
    <t>f1_26</t>
  </si>
  <si>
    <t>別表十(六)「12」</t>
  </si>
  <si>
    <t>付表の26欄：特別新事業開拓事業者関係の特別勘定繰入額</t>
  </si>
  <si>
    <t>f1_27</t>
  </si>
  <si>
    <t>別表十(六)「18」＋「20」</t>
  </si>
  <si>
    <t>付表の27欄：特別新事業開拓事業者関係の特別勘定取崩額</t>
  </si>
  <si>
    <t>f1_28</t>
  </si>
  <si>
    <t>別表十(七)「22」</t>
  </si>
  <si>
    <t>付表の28欄：肉用牛の売却に係る所得の特別控除額</t>
  </si>
  <si>
    <t>f1_29</t>
  </si>
  <si>
    <t>別表十七(二の三)「10」</t>
  </si>
  <si>
    <t>付表の29欄：超過利子額の損金算入額</t>
  </si>
  <si>
    <t>f1_30</t>
  </si>
  <si>
    <t>別表十七の当該年版様式列挙額</t>
  </si>
  <si>
    <t>付表の30欄：課税対象金額等の益金算入額</t>
  </si>
  <si>
    <t>通算法人調整（付表二）の入力</t>
  </si>
  <si>
    <t>f2_01</t>
  </si>
  <si>
    <t>別表四付表「3」</t>
  </si>
  <si>
    <t>付表二の1欄：他の通算法人に対する通算法人株式の譲渡損失額</t>
  </si>
  <si>
    <t>f2_02</t>
  </si>
  <si>
    <t>別表七の二「11」</t>
  </si>
  <si>
    <t>付表二の2欄：通算対象所得金額の益金算入額</t>
  </si>
  <si>
    <t>f2_03</t>
  </si>
  <si>
    <t>施行令139条の8関係・入力値</t>
  </si>
  <si>
    <t>付表二の3欄：通算外配当等流出額</t>
  </si>
  <si>
    <t>f2_04</t>
  </si>
  <si>
    <t>付表二の4欄：通算内配当等の額</t>
  </si>
  <si>
    <t>f2_06</t>
  </si>
  <si>
    <t>別表四付表「8」</t>
  </si>
  <si>
    <t>付表二の6欄：他の通算法人に対する通算法人株式の譲渡利益額</t>
  </si>
  <si>
    <t>f2_07</t>
  </si>
  <si>
    <t>別表七の二「5」</t>
  </si>
  <si>
    <t>付表二の7欄：通算対象欠損金額の損金算入額</t>
  </si>
  <si>
    <t>f2_08</t>
  </si>
  <si>
    <t>法人税法施行令139条の8第1項</t>
  </si>
  <si>
    <t>付表二の8欄：通算法人間配当等の当期受取額</t>
  </si>
  <si>
    <t>f2_12</t>
  </si>
  <si>
    <t>別表四付表「9」</t>
  </si>
  <si>
    <t>付表二の12欄：通算法人の合併等があった場合の欠損金の損金算入額</t>
  </si>
  <si>
    <t>f2_15</t>
  </si>
  <si>
    <t>別表七(二)付表一「23の計」</t>
  </si>
  <si>
    <t>付表二の15欄：当初配賦欠損金控除額の益金算入額</t>
  </si>
  <si>
    <t>f2_16</t>
  </si>
  <si>
    <t>別表八(一)付表「24」</t>
  </si>
  <si>
    <t>付表二の16欄：当初支払利子配賦額の控除不足額の益金算入額</t>
  </si>
  <si>
    <t>f2_21</t>
  </si>
  <si>
    <t>別表十八(一)「5の計」</t>
  </si>
  <si>
    <t>付表二の21欄：他の通算法人の調整通算外配当等流出額の合計額（控除前）</t>
  </si>
  <si>
    <t>計算欄では(20)を控除</t>
  </si>
  <si>
    <t>f2_23</t>
  </si>
  <si>
    <t>別表十八(一)「6の計」</t>
  </si>
  <si>
    <t>付表二の23欄：他の通算法人の純通算内配当等の額の合計額（控除前）</t>
  </si>
  <si>
    <t>計算欄では(22)を控除</t>
  </si>
  <si>
    <t>別表三(一) - 留保金額に対する税額の計算</t>
  </si>
  <si>
    <t>令和6年版 国税庁様式。青色セルは自動計算、黄色セルは入力シートで入力します。</t>
  </si>
  <si>
    <t>番号</t>
  </si>
  <si>
    <t>項目</t>
  </si>
  <si>
    <t>計算式・転記元</t>
  </si>
  <si>
    <t>金額</t>
  </si>
  <si>
    <t>注記</t>
  </si>
  <si>
    <t>年3,000万円相当額以下の金額</t>
  </si>
  <si>
    <t>MIN((21),3,000万円×月数/12)</t>
  </si>
  <si>
    <t>1,000円単位</t>
  </si>
  <si>
    <t>年3,000万円相当額超・年1億円相当額以下</t>
  </si>
  <si>
    <t>基本通達16-1-8(2)の端数判定</t>
  </si>
  <si>
    <t>特殊な切上げ・切捨て</t>
  </si>
  <si>
    <t>年1億円相当額を超える金額</t>
  </si>
  <si>
    <t>(21)-(1)-(2)</t>
  </si>
  <si>
    <t>課税留保金額 計</t>
  </si>
  <si>
    <t>(1)+(2)+(3)</t>
  </si>
  <si>
    <t>主表(21)と一致</t>
  </si>
  <si>
    <t>(1)の10％相当額</t>
  </si>
  <si>
    <t>(1)×10％</t>
  </si>
  <si>
    <t/>
  </si>
  <si>
    <t>(2)の15％相当額</t>
  </si>
  <si>
    <t>(2)×15％</t>
  </si>
  <si>
    <t>(3)の20％相当額</t>
  </si>
  <si>
    <t>(3)×20％</t>
  </si>
  <si>
    <t>留保金額に対する税額 計</t>
  </si>
  <si>
    <t>(5)+(6)+(7)</t>
  </si>
  <si>
    <t>別表一へ転記</t>
  </si>
  <si>
    <t>留保所得金額</t>
  </si>
  <si>
    <t>別表四52②＋記載要領上の追加額</t>
  </si>
  <si>
    <t>内書額は別入力</t>
  </si>
  <si>
    <t>前期の主表11</t>
  </si>
  <si>
    <t>法人税額及び地方法人税額の合計額</t>
  </si>
  <si>
    <t>R6公式様式算式</t>
  </si>
  <si>
    <t>マイナスは0</t>
  </si>
  <si>
    <t>住民税額</t>
  </si>
  <si>
    <t>主表28</t>
  </si>
  <si>
    <t>外国関係会社等に係る控除対象所得税額等相当額</t>
  </si>
  <si>
    <t>法人税額等の合計額</t>
  </si>
  <si>
    <t>MAX((12)+(13)-(14),0)</t>
  </si>
  <si>
    <t>通算法人の留保金加算額</t>
  </si>
  <si>
    <t>付表二5</t>
  </si>
  <si>
    <t>通算法人の留保金控除額</t>
  </si>
  <si>
    <t>付表二10</t>
  </si>
  <si>
    <t>他法人株式等の帳簿価額から減算される金額</t>
  </si>
  <si>
    <t>付表一19</t>
  </si>
  <si>
    <t>当期留保金額</t>
  </si>
  <si>
    <t>(9)-9内書+(10)-(11)-(15)+(16)-(17)-(18)</t>
  </si>
  <si>
    <t>留保控除額</t>
  </si>
  <si>
    <t>付表33</t>
  </si>
  <si>
    <t>課税留保金額</t>
  </si>
  <si>
    <t>MAX((19)-(20),0)、1,000円未満切捨て</t>
  </si>
  <si>
    <t>基本通達16-1-8(1)</t>
  </si>
  <si>
    <t>住民税計算の基礎となる法人税額（中小企業者等以外）</t>
  </si>
  <si>
    <t>R6様式列挙額</t>
  </si>
  <si>
    <t>住民税計算の基礎となる法人税額（中小企業者等）</t>
  </si>
  <si>
    <t>選択した(22)又は(23)×適用率</t>
  </si>
  <si>
    <t>特定寄附金の額の合計額に係る控除額</t>
  </si>
  <si>
    <t>特定寄附金合計×適用率</t>
  </si>
  <si>
    <t>調整地方税額に係る控除額</t>
  </si>
  <si>
    <t>((24)+(別表一11+17)×10.4％－付表六7計×10.4％)×20％</t>
  </si>
  <si>
    <t>住民税額から控除される金額</t>
  </si>
  <si>
    <t>(25)又は(26)の少ない金額</t>
  </si>
  <si>
    <t>(24)-(27)</t>
  </si>
  <si>
    <t>主表13へ</t>
  </si>
  <si>
    <t>別表三(一)付表一 - 留保控除額の計算</t>
  </si>
  <si>
    <t>期末資本金の額又は出資金の額</t>
  </si>
  <si>
    <t>入力値</t>
  </si>
  <si>
    <t>同上の25％相当額</t>
  </si>
  <si>
    <t>(1)×25％</t>
  </si>
  <si>
    <t>1円未満切捨て</t>
  </si>
  <si>
    <t>期首利益積立金額</t>
  </si>
  <si>
    <t>別表五(一)該当欄－主表(10)</t>
  </si>
  <si>
    <t>期末利益積立金額</t>
  </si>
  <si>
    <t>(3)+(4)-(5)</t>
  </si>
  <si>
    <t>積立金基準額</t>
  </si>
  <si>
    <t>MAX((2)-(6),0)</t>
  </si>
  <si>
    <t>負数は0。期末利益積立金額が負ならその正数分だけ増加</t>
  </si>
  <si>
    <t>定額基準額</t>
  </si>
  <si>
    <t>2,000万円×当期月数/12</t>
  </si>
  <si>
    <t>所得金額</t>
  </si>
  <si>
    <t>非適格合併による移転資産等の譲渡利益額又は譲渡損失額</t>
  </si>
  <si>
    <t>受取配当等の益金不算入額</t>
  </si>
  <si>
    <t>外国子会社等から受ける剰余金の配当等の益金不算入額</t>
  </si>
  <si>
    <t>受贈益の益金不算入額</t>
  </si>
  <si>
    <t>法人税額の還付金等</t>
  </si>
  <si>
    <t>欠損金等の当期控除額</t>
  </si>
  <si>
    <t>災害損失欠損金額の益金算入額</t>
  </si>
  <si>
    <t>通算法人の所得基準額加算額</t>
  </si>
  <si>
    <t>付表二(13)</t>
  </si>
  <si>
    <t>通算法人の所得基準額控除額</t>
  </si>
  <si>
    <t>付表二(17)</t>
  </si>
  <si>
    <t>新鉱床探鉱費又は海外新鉱床探鉱費の特別控除額</t>
  </si>
  <si>
    <t>日本船舶による収入金額に係る所得の損金算入額</t>
  </si>
  <si>
    <t>日本船舶による収入金額に係る所得の益金算入額</t>
  </si>
  <si>
    <t>沖縄認定法人・国家戦略特区指定法人の所得特別控除額</t>
  </si>
  <si>
    <t>沖縄認定法人・国家戦略特区指定法人の要加算調整額</t>
  </si>
  <si>
    <t>収用等の場合等の所得の特別控除額</t>
  </si>
  <si>
    <t>特別新事業開拓事業者関係の特別勘定繰入額</t>
  </si>
  <si>
    <t>特別新事業開拓事業者関係の特別勘定取崩額</t>
  </si>
  <si>
    <t>肉用牛の売却に係る所得の特別控除額</t>
  </si>
  <si>
    <t>超過利子額の損金算入額</t>
  </si>
  <si>
    <t>課税対象金額等の益金算入額</t>
  </si>
  <si>
    <t>所得等の金額</t>
  </si>
  <si>
    <t>(9)-(10)+(11)+(12)+(13)+(14)+(15)-(16)+(17)-(18)-(19)+(20)+(21)-(22)+(23)-(24)+(25)+(26)-(27)+(28)+(29)-(30)</t>
  </si>
  <si>
    <t>所得基準額</t>
  </si>
  <si>
    <t>(31)×40％</t>
  </si>
  <si>
    <t>(7)、(8)、(32)のいずれか多い金額</t>
  </si>
  <si>
    <t>主表20へ</t>
  </si>
  <si>
    <t>別表三(一)付表二 - 通算法人調整</t>
  </si>
  <si>
    <t>他の通算法人に対する通算法人株式の譲渡損失額</t>
  </si>
  <si>
    <t>通算対象所得金額の益金算入額</t>
  </si>
  <si>
    <t>通算外配当等流出額</t>
  </si>
  <si>
    <t>通算内配当等の額</t>
  </si>
  <si>
    <t>(1)+(2)+(3)+(4)</t>
  </si>
  <si>
    <t>主表16へ</t>
  </si>
  <si>
    <t>他の通算法人に対する通算法人株式の譲渡利益額</t>
  </si>
  <si>
    <t>通算対象欠損金額の損金算入額</t>
  </si>
  <si>
    <t>通算法人間配当等の当期受取額</t>
  </si>
  <si>
    <t>通算外配当等流出配賦額</t>
  </si>
  <si>
    <t>付表二(26)</t>
  </si>
  <si>
    <t>(6)+(7)+(8)+(9)</t>
  </si>
  <si>
    <t>主表17へ</t>
  </si>
  <si>
    <t>所得基準額加算</t>
  </si>
  <si>
    <t>通算法人の合併等があった場合の欠損金の損金算入額</t>
  </si>
  <si>
    <t>(11)+(12)</t>
  </si>
  <si>
    <t>付表一へ</t>
  </si>
  <si>
    <t>所得基準額控除</t>
  </si>
  <si>
    <t>当初配賦欠損金控除額の益金算入額</t>
  </si>
  <si>
    <t>当初支払利子配賦額の控除不足額の益金算入額</t>
  </si>
  <si>
    <t>(14)+(15)+(16)</t>
  </si>
  <si>
    <t>通算内配当等の額の当期受取額</t>
  </si>
  <si>
    <t>付表二(8)と同額</t>
  </si>
  <si>
    <t>通算内配当等受取超過額</t>
  </si>
  <si>
    <t>MAX((18)-(4),0)</t>
  </si>
  <si>
    <t>調整通算外配当等流出額</t>
  </si>
  <si>
    <t>(3)と(19)の少ない金額</t>
  </si>
  <si>
    <t>他の通算法人の調整通算外配当等流出額の合計額（控除前）</t>
  </si>
  <si>
    <t>純通算内配当等の額</t>
  </si>
  <si>
    <t>MAX((4)-(18),0)</t>
  </si>
  <si>
    <t>他の通算法人の純通算内配当等の額の合計額（控除前）</t>
  </si>
  <si>
    <t>純通算内配当等の割合</t>
  </si>
  <si>
    <t>(22)/((22)+(23))</t>
  </si>
  <si>
    <t>分母0は0</t>
  </si>
  <si>
    <t>通算外配当等流出超過額</t>
  </si>
  <si>
    <t>MAX((3)-(19),0)</t>
  </si>
  <si>
    <t>((20)+(21))×(24)+(25)</t>
  </si>
  <si>
    <t>割合を分数のまま計算し1円未満切捨て</t>
  </si>
  <si>
    <t>端数処理ヘルパー</t>
  </si>
  <si>
    <t>値</t>
  </si>
  <si>
    <t>課税留保金額（切捨前）</t>
  </si>
  <si>
    <t>主表(21)で切り捨てた端数</t>
  </si>
  <si>
    <t>年1億円相当額（生額）</t>
  </si>
  <si>
    <t>主表(2)の丸め前金額</t>
  </si>
  <si>
    <t>主表(2)の1,000円未満端数</t>
  </si>
  <si>
    <t>主表(2)の丸め後金額</t>
  </si>
  <si>
    <t>付表二21・23欄／割合の整合性</t>
  </si>
  <si>
    <t>特定同族会社の留保金課税 計算シート（令和6年版）</t>
  </si>
  <si>
    <t>令和6年4月1日から令和7年3月31日までに終了する事業年度の年次版／国税庁の当該年公式別表を背景として再現</t>
  </si>
  <si>
    <t>最終結果</t>
  </si>
  <si>
    <t>留保金額に対する税額（別表三(一)「8」）</t>
  </si>
  <si>
    <t>課税留保金額（同「21」）</t>
  </si>
  <si>
    <t>留保控除額（別表三(一)付表一「33」）</t>
  </si>
  <si>
    <t>住民税額（別表三(一)「28」）</t>
  </si>
  <si>
    <t>適用・入力チェック</t>
  </si>
  <si>
    <t>年度版の適用期間</t>
  </si>
  <si>
    <t>特定同族会社の判定</t>
  </si>
  <si>
    <t>通算法人付表二</t>
  </si>
  <si>
    <t>事業年度月数</t>
  </si>
  <si>
    <t>操作手順</t>
  </si>
  <si>
    <t>1. 「入力」シートの黄色セルへ、各別表から円単位で入力します。負数を許容する4項目は備考・コメントに明記しています。</t>
  </si>
  <si>
    <t>2. 青色の計算シートで主表・付表の算式と転記元を確認します。</t>
  </si>
  <si>
    <t>3. 緑色タブの国税庁様式に自動転記された金額を確認し、申告用データと突合します。</t>
  </si>
  <si>
    <t>4. このブックは計算補助です。提出前に最新の法令・記載要領・電子申告仕様を必ず確認してください。</t>
  </si>
  <si>
    <t>シート移動</t>
  </si>
  <si>
    <t>入力</t>
  </si>
  <si>
    <t>主表計算</t>
  </si>
  <si>
    <t>付表一_計算</t>
  </si>
  <si>
    <t>付表二計算</t>
  </si>
  <si>
    <t>公式様式</t>
  </si>
  <si>
    <t>検算</t>
  </si>
  <si>
    <t>根拠・出典</t>
  </si>
  <si>
    <t>令和6年版 根拠・出典・ファイル同一性</t>
  </si>
  <si>
    <t>種別</t>
  </si>
  <si>
    <t>資料名</t>
  </si>
  <si>
    <t>URL</t>
  </si>
  <si>
    <t>SHA-256</t>
  </si>
  <si>
    <t>用途</t>
  </si>
  <si>
    <t>国税庁</t>
  </si>
  <si>
    <t>令和6年 法人税各種別表一覧</t>
  </si>
  <si>
    <t>https://www.nta.go.jp/taxes/tetsuzuki/shinsei/annai/hojin/shinkoku/itiran2024/01.htm</t>
  </si>
  <si>
    <t>年度版・適用様式の確認</t>
  </si>
  <si>
    <t>別表三(一) 公式様式</t>
  </si>
  <si>
    <t>https://www.nta.go.jp/taxes/tetsuzuki/shinsei/annai/hojin/shinkoku/itiran2024/pdf/03%2801%29.pdf</t>
  </si>
  <si>
    <t>FBCE09463CD4D524EB358A3382D49498F8F9AE2370EB88114EA673FA412C364C</t>
  </si>
  <si>
    <t>公式様式・算式・記載要領</t>
  </si>
  <si>
    <t>別表三(一) 記載要領</t>
  </si>
  <si>
    <t>https://www.nta.go.jp/taxes/tetsuzuki/shinsei/annai/hojin/shinkoku/itiran2024/pdf/03%2801%29-ki.pdf</t>
  </si>
  <si>
    <t>68AB7FCA6A760ED63EEE611C84053202DE9A834EF7ECB23A45F96D38D49A567C</t>
  </si>
  <si>
    <t>別表三(一)付表（付表一）公式様式</t>
  </si>
  <si>
    <t>https://www.nta.go.jp/taxes/tetsuzuki/shinsei/annai/hojin/shinkoku/itiran2024/pdf/03%2801%29-f1.pdf</t>
  </si>
  <si>
    <t>67EB583F53C0694CC2CA935B62981EE93196218D04F7223E66EA10442B7BF083</t>
  </si>
  <si>
    <t>別表三(一)付表（付表一）記載要領</t>
  </si>
  <si>
    <t>https://www.nta.go.jp/taxes/tetsuzuki/shinsei/annai/hojin/shinkoku/itiran2024/pdf/03%2801%29-f1-ki.pdf</t>
  </si>
  <si>
    <t>1EC21061446EC8D5AF9A8A46B21D25A8260D95FF3461C9703DB781D820EA33B6</t>
  </si>
  <si>
    <t>別表三(一)付表二 公式様式</t>
  </si>
  <si>
    <t>https://www.nta.go.jp/taxes/tetsuzuki/shinsei/annai/hojin/shinkoku/itiran2024/pdf/03%2801%29-f2.pdf</t>
  </si>
  <si>
    <t>DBE0853BF9E41F4E60FBB97D802ED849E2C164330E6DC48BFE2E5DB014AB3A6C</t>
  </si>
  <si>
    <t>別表三(一)付表二 記載要領</t>
  </si>
  <si>
    <t>https://www.nta.go.jp/taxes/tetsuzuki/shinsei/annai/hojin/shinkoku/itiran2024/pdf/03%2801%29-f2-ki.pdf</t>
  </si>
  <si>
    <t>E63810164CDD124FB7877840654068B92EFD6CD3ED479CBD89BC2C3BBA6F9B71</t>
  </si>
  <si>
    <t>法人税基本通達16-1-8</t>
  </si>
  <si>
    <t>https://www.nta.go.jp/law/tsutatsu/kihon/hojin/16/16_01_02.htm</t>
  </si>
  <si>
    <t>課税留保金額の1,000円端数処理</t>
  </si>
  <si>
    <t>e-Gov</t>
  </si>
  <si>
    <t>法人税法67条</t>
  </si>
  <si>
    <t>https://laws.e-gov.go.jp/law/340AC0000000034#Mp-At_67</t>
  </si>
  <si>
    <t>特定同族会社の特別税率・留保控除</t>
  </si>
  <si>
    <t>国税通則法10条</t>
  </si>
  <si>
    <t>https://laws.e-gov.go.jp/law/337AC0000000066#Mp-At_10</t>
  </si>
  <si>
    <t>暦による月数計算</t>
  </si>
  <si>
    <t>計算</t>
  </si>
  <si>
    <t>端数処理：法人税基本通達16-1-8。月数：法人税法67条7項・国税通則法10条。留保控除：積立金・定額・所得の三基準の最大額。</t>
  </si>
  <si>
    <t>いいえ</t>
    <phoneticPr fontId="2"/>
  </si>
  <si>
    <t>該当</t>
    <phoneticPr fontId="2"/>
  </si>
  <si>
    <t>はい</t>
    <phoneticPr fontId="2"/>
  </si>
  <si>
    <t>令和6年版 組込検算・構造QA</t>
  </si>
  <si>
    <t>テスト</t>
  </si>
  <si>
    <t>期待値</t>
  </si>
  <si>
    <t>実測値</t>
  </si>
  <si>
    <t>結果</t>
  </si>
  <si>
    <t>12か月・3段階税率</t>
  </si>
  <si>
    <t>課税留保180,000,000 / 税額29,500,000</t>
  </si>
  <si>
    <t>180,000,000 / 29,500,000</t>
  </si>
  <si>
    <t>PASS</t>
  </si>
  <si>
    <t>5か月・通達端数切上げ</t>
  </si>
  <si>
    <t>(2)=29,167,000</t>
  </si>
  <si>
    <t>5か月・通達端数切捨て</t>
  </si>
  <si>
    <t>(2)=29,166,000</t>
  </si>
  <si>
    <t>月数・平年月末</t>
  </si>
  <si>
    <t>月数=1</t>
  </si>
  <si>
    <t>月数・閏年月末</t>
  </si>
  <si>
    <t>月数・応当日前日</t>
  </si>
  <si>
    <t>月数・1か月と1日</t>
  </si>
  <si>
    <t>月数=2</t>
  </si>
  <si>
    <t>入力規則・符号分類</t>
  </si>
  <si>
    <t>資本金の負数を拒否／利益積立金の負数を受理</t>
  </si>
  <si>
    <t>資本金拒否=True／利益積立金受理=True</t>
  </si>
  <si>
    <t>R6固定率</t>
  </si>
  <si>
    <t>住民税10.4% / 寄附40%</t>
  </si>
  <si>
    <t>10.4% / 40%</t>
  </si>
  <si>
    <t>付表二21・控除前入力規則</t>
  </si>
  <si>
    <t>49拒否／50受理</t>
  </si>
  <si>
    <t>49拒否=True／50受理=True</t>
  </si>
  <si>
    <t>付表二23・控除前入力規則</t>
  </si>
  <si>
    <t>99拒否／100受理</t>
  </si>
  <si>
    <t>99拒否=True／100受理=True</t>
  </si>
  <si>
    <t>付表二26・分数のまま計算</t>
  </si>
  <si>
    <t>(26)=29,701,000</t>
  </si>
  <si>
    <t>構造検査</t>
  </si>
  <si>
    <t>数式エラー</t>
  </si>
  <si>
    <t>主表行数</t>
  </si>
  <si>
    <t>付表行数</t>
  </si>
  <si>
    <t>付表二行数</t>
  </si>
  <si>
    <t>年度版適用期間</t>
  </si>
  <si>
    <t>動的入力整合性（入力変更時も自動更新）</t>
  </si>
  <si>
    <t>付表二21・23欄の控除前合計額／24欄割合</t>
  </si>
  <si>
    <t>TRUE（割合0～100%）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</si>
</sst>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9" formatCode="yyyy/mm/dd"/>
    <numFmt numFmtId="180" formatCode="[=0]&quot;OK&quot;;[=0]&quot;要確認&quot;"/>
    <numFmt numFmtId="181" formatCode="0.0%"/>
    <numFmt numFmtId="182" formatCode="#,##0;\-#,##0;0"/>
    <numFmt numFmtId="183" formatCode="0.00000000"/>
    <numFmt numFmtId="184" formatCode="#,##0&quot; 円&quot;"/>
  </numFmts>
  <fonts count="15">
    <font>
      <sz val="11"/>
      <color theme="1"/>
      <name val="游ゴシック"/>
      <family val="2"/>
      <charset val="128"/>
      <scheme val="minor"/>
    </font>
    <font>
      <b/>
      <sz val="11"/>
      <color rgb="FFFFFFFF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b/>
      <sz val="9"/>
      <color indexed="81"/>
      <name val="MS P ゴシック"/>
      <family val="3"/>
      <charset val="128"/>
    </font>
    <font>
      <b/>
      <sz val="16"/>
      <color rgb="FFFFFFFF"/>
      <name val="Yu Gothic"/>
      <family val="3"/>
      <charset val="128"/>
    </font>
    <font>
      <sz val="11"/>
      <color theme="1"/>
      <name val="Yu Gothic"/>
      <family val="3"/>
      <charset val="128"/>
    </font>
    <font>
      <sz val="11"/>
      <color rgb="FF595959"/>
      <name val="Yu Gothic"/>
      <family val="3"/>
      <charset val="128"/>
    </font>
    <font>
      <b/>
      <sz val="10"/>
      <color rgb="FFFFFFFF"/>
      <name val="Yu Gothic"/>
      <family val="3"/>
      <charset val="128"/>
    </font>
    <font>
      <b/>
      <sz val="11"/>
      <color rgb="FFFFFFFF"/>
      <name val="Yu Gothic"/>
      <family val="3"/>
      <charset val="128"/>
    </font>
    <font>
      <b/>
      <sz val="11"/>
      <color theme="1"/>
      <name val="Yu Gothic"/>
      <family val="3"/>
      <charset val="128"/>
    </font>
    <font>
      <sz val="11"/>
      <color rgb="FFC00000"/>
      <name val="Yu Gothic"/>
      <family val="3"/>
      <charset val="128"/>
    </font>
    <font>
      <u/>
      <sz val="11"/>
      <color theme="10"/>
      <name val="游ゴシック"/>
      <family val="2"/>
      <charset val="128"/>
      <scheme val="minor"/>
    </font>
    <font>
      <b/>
      <sz val="18"/>
      <color rgb="FFFFFFFF"/>
      <name val="Yu Gothic"/>
      <family val="3"/>
      <charset val="128"/>
    </font>
    <font>
      <u/>
      <sz val="11"/>
      <color rgb="FF2F75B5"/>
      <name val="Yu Gothic"/>
      <family val="3"/>
      <charset val="128"/>
    </font>
    <font>
      <b/>
      <sz val="11"/>
      <color rgb="FF548235"/>
      <name val="Yu Gothic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DF4FB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rgb="FF7F8C8D"/>
      </left>
      <right style="thin">
        <color rgb="FF7F8C8D"/>
      </right>
      <top style="thin">
        <color rgb="FF7F8C8D"/>
      </top>
      <bottom style="thin">
        <color rgb="FF7F8C8D"/>
      </bottom>
      <diagonal/>
    </border>
  </borders>
  <cellStyleXfs count="2">
    <xf numFmtId="0" fontId="0" fillId="0" borderId="0">
      <alignment vertical="center"/>
    </xf>
    <xf numFmtId="0" fontId="11" fillId="0" borderId="0" applyNumberFormat="0" applyFill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0" fillId="0" borderId="1" xfId="0" applyBorder="1" applyAlignment="1">
      <alignment vertical="center"/>
    </xf>
    <xf numFmtId="0" fontId="4" fillId="2" borderId="0" xfId="0" applyFont="1" applyFill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0" fontId="7" fillId="2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180" fontId="5" fillId="0" borderId="1" xfId="0" applyNumberFormat="1" applyFont="1" applyBorder="1" applyAlignment="1">
      <alignment vertical="center"/>
    </xf>
    <xf numFmtId="181" fontId="5" fillId="0" borderId="1" xfId="0" applyNumberFormat="1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8" fillId="6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1" fontId="5" fillId="4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7" fillId="2" borderId="1" xfId="0" applyFont="1" applyFill="1" applyBorder="1" applyAlignment="1">
      <alignment horizontal="right" vertical="center"/>
    </xf>
    <xf numFmtId="0" fontId="8" fillId="6" borderId="1" xfId="0" applyFont="1" applyFill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4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8" fillId="6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vertical="center" wrapText="1"/>
    </xf>
    <xf numFmtId="182" fontId="5" fillId="4" borderId="1" xfId="0" applyNumberFormat="1" applyFont="1" applyFill="1" applyBorder="1" applyAlignment="1">
      <alignment horizontal="right" vertical="center"/>
    </xf>
    <xf numFmtId="0" fontId="1" fillId="5" borderId="1" xfId="0" applyFont="1" applyFill="1" applyBorder="1" applyAlignment="1">
      <alignment vertical="center"/>
    </xf>
    <xf numFmtId="4" fontId="0" fillId="0" borderId="1" xfId="0" applyNumberFormat="1" applyBorder="1" applyAlignment="1">
      <alignment vertical="center"/>
    </xf>
    <xf numFmtId="183" fontId="5" fillId="4" borderId="1" xfId="0" applyNumberFormat="1" applyFont="1" applyFill="1" applyBorder="1" applyAlignment="1">
      <alignment horizontal="right" vertical="center"/>
    </xf>
    <xf numFmtId="182" fontId="9" fillId="7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 wrapText="1"/>
    </xf>
    <xf numFmtId="0" fontId="9" fillId="4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180" fontId="9" fillId="7" borderId="1" xfId="0" applyNumberFormat="1" applyFont="1" applyFill="1" applyBorder="1" applyAlignment="1">
      <alignment vertical="center"/>
    </xf>
    <xf numFmtId="0" fontId="10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12" fillId="2" borderId="0" xfId="0" applyFont="1" applyFill="1">
      <alignment vertical="center"/>
    </xf>
    <xf numFmtId="0" fontId="9" fillId="8" borderId="0" xfId="0" applyFont="1" applyFill="1">
      <alignment vertical="center"/>
    </xf>
    <xf numFmtId="184" fontId="9" fillId="7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7" fillId="2" borderId="0" xfId="0" applyFont="1" applyFill="1" applyAlignment="1">
      <alignment horizontal="left" vertical="center"/>
    </xf>
    <xf numFmtId="0" fontId="13" fillId="0" borderId="0" xfId="1" applyFont="1">
      <alignment vertical="center"/>
    </xf>
    <xf numFmtId="0" fontId="13" fillId="0" borderId="1" xfId="1" applyFont="1" applyBorder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8" fillId="6" borderId="1" xfId="0" applyFont="1" applyFill="1" applyBorder="1" applyAlignment="1">
      <alignment vertical="center" wrapText="1"/>
    </xf>
    <xf numFmtId="0" fontId="14" fillId="7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182" fontId="5" fillId="3" borderId="1" xfId="0" applyNumberFormat="1" applyFont="1" applyFill="1" applyBorder="1" applyAlignment="1" applyProtection="1">
      <alignment horizontal="right" vertical="center"/>
      <protection locked="0"/>
    </xf>
    <xf numFmtId="49" fontId="5" fillId="3" borderId="1" xfId="0" applyNumberFormat="1" applyFont="1" applyFill="1" applyBorder="1" applyAlignment="1" applyProtection="1">
      <alignment horizontal="right" vertical="center"/>
      <protection locked="0"/>
    </xf>
    <xf numFmtId="179" fontId="5" fillId="3" borderId="1" xfId="0" applyNumberFormat="1" applyFont="1" applyFill="1" applyBorder="1" applyAlignment="1" applyProtection="1">
      <alignment horizontal="right" vertical="center"/>
      <protection locked="0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11</xdr:col>
      <xdr:colOff>603504</xdr:colOff>
      <xdr:row>3</xdr:row>
      <xdr:rowOff>16764</xdr:rowOff>
    </xdr:to>
    <xdr:pic>
      <xdr:nvPicPr>
        <xdr:cNvPr id="3" name="国税庁公式様式_背景">
          <a:extLst>
            <a:ext uri="{FF2B5EF4-FFF2-40B4-BE49-F238E27FC236}">
              <a16:creationId xmlns:a16="http://schemas.microsoft.com/office/drawing/2014/main" id="{DF80038F-5380-4EE7-A359-50046CAB66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60564" cy="10692384"/>
        </a:xfrm>
        <a:prstGeom prst="rect">
          <a:avLst/>
        </a:prstGeom>
      </xdr:spPr>
    </xdr:pic>
    <xdr:clientData/>
  </xdr:twoCellAnchor>
  <xdr:twoCellAnchor editAs="absolute">
    <xdr:from>
      <xdr:col>6</xdr:col>
      <xdr:colOff>370205</xdr:colOff>
      <xdr:row>0</xdr:row>
      <xdr:rowOff>457200</xdr:rowOff>
    </xdr:from>
    <xdr:to>
      <xdr:col>7</xdr:col>
      <xdr:colOff>537845</xdr:colOff>
      <xdr:row>0</xdr:row>
      <xdr:rowOff>825500</xdr:rowOff>
    </xdr:to>
    <xdr:sp macro="" textlink="印字値!$A$2">
      <xdr:nvSpPr>
        <xdr:cNvPr id="4" name="事業年度">
          <a:extLst>
            <a:ext uri="{FF2B5EF4-FFF2-40B4-BE49-F238E27FC236}">
              <a16:creationId xmlns:a16="http://schemas.microsoft.com/office/drawing/2014/main" id="{7C1A609F-FC44-F0CC-4696-40FE94D6687B}"/>
            </a:ext>
          </a:extLst>
        </xdr:cNvPr>
        <xdr:cNvSpPr txBox="1"/>
      </xdr:nvSpPr>
      <xdr:spPr>
        <a:xfrm>
          <a:off x="4164965" y="457200"/>
          <a:ext cx="800100" cy="368300"/>
        </a:xfrm>
        <a:prstGeom prst="rect">
          <a:avLst/>
        </a:prstGeom>
        <a:solidFill>
          <a:srgbClr val="FFFFFF"/>
        </a:solidFill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ctr">
          <a:normAutofit/>
        </a:bodyPr>
        <a:lstStyle/>
        <a:p>
          <a:pPr algn="ctr"/>
          <a:fld id="{A0CE22C7-5D8E-4761-A543-E35C916E1AB8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ctr"/>
            <a:t>2024.4.1
2025.3.31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8</xdr:col>
      <xdr:colOff>362585</xdr:colOff>
      <xdr:row>0</xdr:row>
      <xdr:rowOff>457200</xdr:rowOff>
    </xdr:from>
    <xdr:to>
      <xdr:col>10</xdr:col>
      <xdr:colOff>316865</xdr:colOff>
      <xdr:row>0</xdr:row>
      <xdr:rowOff>825500</xdr:rowOff>
    </xdr:to>
    <xdr:sp macro="" textlink="印字値!$A$1">
      <xdr:nvSpPr>
        <xdr:cNvPr id="5" name="法人名">
          <a:extLst>
            <a:ext uri="{FF2B5EF4-FFF2-40B4-BE49-F238E27FC236}">
              <a16:creationId xmlns:a16="http://schemas.microsoft.com/office/drawing/2014/main" id="{5251853A-33A0-4F61-99D1-D524720B0D49}"/>
            </a:ext>
          </a:extLst>
        </xdr:cNvPr>
        <xdr:cNvSpPr txBox="1"/>
      </xdr:nvSpPr>
      <xdr:spPr>
        <a:xfrm>
          <a:off x="5422265" y="457200"/>
          <a:ext cx="1219200" cy="368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ctr">
          <a:normAutofit/>
        </a:bodyPr>
        <a:lstStyle/>
        <a:p>
          <a:pPr algn="l"/>
          <a:fld id="{58E64F12-B0CB-4585-B8C7-831ADEBBE95F}" type="TxLink">
            <a:rPr kumimoji="1" lang="en-US" altLang="en-US" sz="51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l"/>
            <a:t> </a:t>
          </a:fld>
          <a:endParaRPr kumimoji="1" lang="ja-JP" altLang="en-US" sz="51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570611</xdr:colOff>
      <xdr:row>0</xdr:row>
      <xdr:rowOff>1223264</xdr:rowOff>
    </xdr:from>
    <xdr:to>
      <xdr:col>5</xdr:col>
      <xdr:colOff>319151</xdr:colOff>
      <xdr:row>0</xdr:row>
      <xdr:rowOff>1616964</xdr:rowOff>
    </xdr:to>
    <xdr:sp macro="" textlink="印字値!$A$5">
      <xdr:nvSpPr>
        <xdr:cNvPr id="6" name="主表01">
          <a:extLst>
            <a:ext uri="{FF2B5EF4-FFF2-40B4-BE49-F238E27FC236}">
              <a16:creationId xmlns:a16="http://schemas.microsoft.com/office/drawing/2014/main" id="{522EC89A-0D4A-0CF6-5369-E0F02630F1A5}"/>
            </a:ext>
          </a:extLst>
        </xdr:cNvPr>
        <xdr:cNvSpPr txBox="1"/>
      </xdr:nvSpPr>
      <xdr:spPr>
        <a:xfrm>
          <a:off x="3100451" y="1223264"/>
          <a:ext cx="381000" cy="3937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0DDC9135-E611-41B8-80C1-E2D6DC97E40E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570611</xdr:colOff>
      <xdr:row>0</xdr:row>
      <xdr:rowOff>1718564</xdr:rowOff>
    </xdr:from>
    <xdr:to>
      <xdr:col>5</xdr:col>
      <xdr:colOff>319151</xdr:colOff>
      <xdr:row>0</xdr:row>
      <xdr:rowOff>2112264</xdr:rowOff>
    </xdr:to>
    <xdr:sp macro="" textlink="印字値!$A$6">
      <xdr:nvSpPr>
        <xdr:cNvPr id="7" name="主表02">
          <a:extLst>
            <a:ext uri="{FF2B5EF4-FFF2-40B4-BE49-F238E27FC236}">
              <a16:creationId xmlns:a16="http://schemas.microsoft.com/office/drawing/2014/main" id="{BA289FFB-548F-EA78-82A7-B2440DFDAE04}"/>
            </a:ext>
          </a:extLst>
        </xdr:cNvPr>
        <xdr:cNvSpPr txBox="1"/>
      </xdr:nvSpPr>
      <xdr:spPr>
        <a:xfrm>
          <a:off x="3100451" y="1718564"/>
          <a:ext cx="381000" cy="3937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C4B9098F-1BB1-47CD-BEB9-A4D14EDDF752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570611</xdr:colOff>
      <xdr:row>0</xdr:row>
      <xdr:rowOff>2213864</xdr:rowOff>
    </xdr:from>
    <xdr:to>
      <xdr:col>5</xdr:col>
      <xdr:colOff>319151</xdr:colOff>
      <xdr:row>0</xdr:row>
      <xdr:rowOff>2607564</xdr:rowOff>
    </xdr:to>
    <xdr:sp macro="" textlink="印字値!$A$7">
      <xdr:nvSpPr>
        <xdr:cNvPr id="8" name="主表03">
          <a:extLst>
            <a:ext uri="{FF2B5EF4-FFF2-40B4-BE49-F238E27FC236}">
              <a16:creationId xmlns:a16="http://schemas.microsoft.com/office/drawing/2014/main" id="{D717F50E-2AA1-9447-A417-53084C43C79C}"/>
            </a:ext>
          </a:extLst>
        </xdr:cNvPr>
        <xdr:cNvSpPr txBox="1"/>
      </xdr:nvSpPr>
      <xdr:spPr>
        <a:xfrm>
          <a:off x="3100451" y="2213864"/>
          <a:ext cx="381000" cy="3937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8E562029-5CD5-42E1-A124-0155BD87DE07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570611</xdr:colOff>
      <xdr:row>0</xdr:row>
      <xdr:rowOff>2709164</xdr:rowOff>
    </xdr:from>
    <xdr:to>
      <xdr:col>5</xdr:col>
      <xdr:colOff>319151</xdr:colOff>
      <xdr:row>0</xdr:row>
      <xdr:rowOff>3102864</xdr:rowOff>
    </xdr:to>
    <xdr:sp macro="" textlink="印字値!$A$8">
      <xdr:nvSpPr>
        <xdr:cNvPr id="9" name="主表04">
          <a:extLst>
            <a:ext uri="{FF2B5EF4-FFF2-40B4-BE49-F238E27FC236}">
              <a16:creationId xmlns:a16="http://schemas.microsoft.com/office/drawing/2014/main" id="{F9E97753-CE33-260E-0C19-7CCEA43AA322}"/>
            </a:ext>
          </a:extLst>
        </xdr:cNvPr>
        <xdr:cNvSpPr txBox="1"/>
      </xdr:nvSpPr>
      <xdr:spPr>
        <a:xfrm>
          <a:off x="3100451" y="2709164"/>
          <a:ext cx="381000" cy="3937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35644549-0BE6-4C69-8D13-D3BC4011B7E1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342646</xdr:colOff>
      <xdr:row>0</xdr:row>
      <xdr:rowOff>1223264</xdr:rowOff>
    </xdr:from>
    <xdr:to>
      <xdr:col>10</xdr:col>
      <xdr:colOff>294386</xdr:colOff>
      <xdr:row>0</xdr:row>
      <xdr:rowOff>1616964</xdr:rowOff>
    </xdr:to>
    <xdr:sp macro="" textlink="印字値!$A$9">
      <xdr:nvSpPr>
        <xdr:cNvPr id="10" name="主表05">
          <a:extLst>
            <a:ext uri="{FF2B5EF4-FFF2-40B4-BE49-F238E27FC236}">
              <a16:creationId xmlns:a16="http://schemas.microsoft.com/office/drawing/2014/main" id="{CB7A4CF3-407F-8744-BC9D-1B4E9E3287D7}"/>
            </a:ext>
          </a:extLst>
        </xdr:cNvPr>
        <xdr:cNvSpPr txBox="1"/>
      </xdr:nvSpPr>
      <xdr:spPr>
        <a:xfrm>
          <a:off x="6034786" y="1223264"/>
          <a:ext cx="584200" cy="3937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6412A3DD-6F76-47FD-B6C3-B68884717BDE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342646</xdr:colOff>
      <xdr:row>0</xdr:row>
      <xdr:rowOff>1718564</xdr:rowOff>
    </xdr:from>
    <xdr:to>
      <xdr:col>10</xdr:col>
      <xdr:colOff>294386</xdr:colOff>
      <xdr:row>0</xdr:row>
      <xdr:rowOff>2112264</xdr:rowOff>
    </xdr:to>
    <xdr:sp macro="" textlink="印字値!$A$10">
      <xdr:nvSpPr>
        <xdr:cNvPr id="11" name="主表06">
          <a:extLst>
            <a:ext uri="{FF2B5EF4-FFF2-40B4-BE49-F238E27FC236}">
              <a16:creationId xmlns:a16="http://schemas.microsoft.com/office/drawing/2014/main" id="{0C518C6E-B689-FE8B-B35F-34D177145B34}"/>
            </a:ext>
          </a:extLst>
        </xdr:cNvPr>
        <xdr:cNvSpPr txBox="1"/>
      </xdr:nvSpPr>
      <xdr:spPr>
        <a:xfrm>
          <a:off x="6034786" y="1718564"/>
          <a:ext cx="584200" cy="3937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669C4E5A-CFC7-4E8B-887A-FA646E511495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342646</xdr:colOff>
      <xdr:row>0</xdr:row>
      <xdr:rowOff>2213864</xdr:rowOff>
    </xdr:from>
    <xdr:to>
      <xdr:col>10</xdr:col>
      <xdr:colOff>294386</xdr:colOff>
      <xdr:row>0</xdr:row>
      <xdr:rowOff>2607564</xdr:rowOff>
    </xdr:to>
    <xdr:sp macro="" textlink="印字値!$A$11">
      <xdr:nvSpPr>
        <xdr:cNvPr id="12" name="主表07">
          <a:extLst>
            <a:ext uri="{FF2B5EF4-FFF2-40B4-BE49-F238E27FC236}">
              <a16:creationId xmlns:a16="http://schemas.microsoft.com/office/drawing/2014/main" id="{B4F0DE4E-B25D-B567-F688-F21D308B81F6}"/>
            </a:ext>
          </a:extLst>
        </xdr:cNvPr>
        <xdr:cNvSpPr txBox="1"/>
      </xdr:nvSpPr>
      <xdr:spPr>
        <a:xfrm>
          <a:off x="6034786" y="2213864"/>
          <a:ext cx="584200" cy="3937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C815E924-E150-482A-B94A-8B220589F579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342646</xdr:colOff>
      <xdr:row>0</xdr:row>
      <xdr:rowOff>2709164</xdr:rowOff>
    </xdr:from>
    <xdr:to>
      <xdr:col>10</xdr:col>
      <xdr:colOff>294386</xdr:colOff>
      <xdr:row>0</xdr:row>
      <xdr:rowOff>3102864</xdr:rowOff>
    </xdr:to>
    <xdr:sp macro="" textlink="印字値!$A$12">
      <xdr:nvSpPr>
        <xdr:cNvPr id="13" name="主表08">
          <a:extLst>
            <a:ext uri="{FF2B5EF4-FFF2-40B4-BE49-F238E27FC236}">
              <a16:creationId xmlns:a16="http://schemas.microsoft.com/office/drawing/2014/main" id="{367EC552-C7FF-29E5-70E4-23C9E0733568}"/>
            </a:ext>
          </a:extLst>
        </xdr:cNvPr>
        <xdr:cNvSpPr txBox="1"/>
      </xdr:nvSpPr>
      <xdr:spPr>
        <a:xfrm>
          <a:off x="6034786" y="2709164"/>
          <a:ext cx="584200" cy="3937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514EFCB5-C386-4D47-88B3-6E3420090882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570611</xdr:colOff>
      <xdr:row>0</xdr:row>
      <xdr:rowOff>3366008</xdr:rowOff>
    </xdr:from>
    <xdr:to>
      <xdr:col>5</xdr:col>
      <xdr:colOff>522351</xdr:colOff>
      <xdr:row>1</xdr:row>
      <xdr:rowOff>99568</xdr:rowOff>
    </xdr:to>
    <xdr:sp macro="" textlink="印字値!$A$13">
      <xdr:nvSpPr>
        <xdr:cNvPr id="14" name="主表09">
          <a:extLst>
            <a:ext uri="{FF2B5EF4-FFF2-40B4-BE49-F238E27FC236}">
              <a16:creationId xmlns:a16="http://schemas.microsoft.com/office/drawing/2014/main" id="{0650EFDA-3AFD-B11B-4E31-3520C25C03D0}"/>
            </a:ext>
          </a:extLst>
        </xdr:cNvPr>
        <xdr:cNvSpPr txBox="1"/>
      </xdr:nvSpPr>
      <xdr:spPr>
        <a:xfrm>
          <a:off x="3100451" y="3366008"/>
          <a:ext cx="584200" cy="2921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35441C2F-B629-44E2-AB93-64D560732736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570611</xdr:colOff>
      <xdr:row>1</xdr:row>
      <xdr:rowOff>204089</xdr:rowOff>
    </xdr:from>
    <xdr:to>
      <xdr:col>5</xdr:col>
      <xdr:colOff>522351</xdr:colOff>
      <xdr:row>1</xdr:row>
      <xdr:rowOff>496189</xdr:rowOff>
    </xdr:to>
    <xdr:sp macro="" textlink="印字値!$A$14">
      <xdr:nvSpPr>
        <xdr:cNvPr id="15" name="主表10">
          <a:extLst>
            <a:ext uri="{FF2B5EF4-FFF2-40B4-BE49-F238E27FC236}">
              <a16:creationId xmlns:a16="http://schemas.microsoft.com/office/drawing/2014/main" id="{B462CD17-749E-BE63-F397-A8174B6EF98E}"/>
            </a:ext>
          </a:extLst>
        </xdr:cNvPr>
        <xdr:cNvSpPr txBox="1"/>
      </xdr:nvSpPr>
      <xdr:spPr>
        <a:xfrm>
          <a:off x="3100451" y="3762629"/>
          <a:ext cx="584200" cy="2921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0FEDFC85-B7A0-47FD-A699-4E68DB4A5A19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570611</xdr:colOff>
      <xdr:row>1</xdr:row>
      <xdr:rowOff>600329</xdr:rowOff>
    </xdr:from>
    <xdr:to>
      <xdr:col>5</xdr:col>
      <xdr:colOff>522351</xdr:colOff>
      <xdr:row>1</xdr:row>
      <xdr:rowOff>892429</xdr:rowOff>
    </xdr:to>
    <xdr:sp macro="" textlink="印字値!$A$15">
      <xdr:nvSpPr>
        <xdr:cNvPr id="16" name="主表11">
          <a:extLst>
            <a:ext uri="{FF2B5EF4-FFF2-40B4-BE49-F238E27FC236}">
              <a16:creationId xmlns:a16="http://schemas.microsoft.com/office/drawing/2014/main" id="{FFBFE348-2A56-A8AE-8612-570D5C174F7D}"/>
            </a:ext>
          </a:extLst>
        </xdr:cNvPr>
        <xdr:cNvSpPr txBox="1"/>
      </xdr:nvSpPr>
      <xdr:spPr>
        <a:xfrm>
          <a:off x="3100451" y="4158869"/>
          <a:ext cx="584200" cy="2921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5F66BDCB-DE58-4138-A0F8-5FE923BD9307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570611</xdr:colOff>
      <xdr:row>1</xdr:row>
      <xdr:rowOff>996569</xdr:rowOff>
    </xdr:from>
    <xdr:to>
      <xdr:col>5</xdr:col>
      <xdr:colOff>522351</xdr:colOff>
      <xdr:row>1</xdr:row>
      <xdr:rowOff>1580769</xdr:rowOff>
    </xdr:to>
    <xdr:sp macro="" textlink="印字値!$A$16">
      <xdr:nvSpPr>
        <xdr:cNvPr id="17" name="主表12">
          <a:extLst>
            <a:ext uri="{FF2B5EF4-FFF2-40B4-BE49-F238E27FC236}">
              <a16:creationId xmlns:a16="http://schemas.microsoft.com/office/drawing/2014/main" id="{84DA9AD7-AD3A-EE7C-386E-8F4AE81E06BC}"/>
            </a:ext>
          </a:extLst>
        </xdr:cNvPr>
        <xdr:cNvSpPr txBox="1"/>
      </xdr:nvSpPr>
      <xdr:spPr>
        <a:xfrm>
          <a:off x="3100451" y="4555109"/>
          <a:ext cx="584200" cy="584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EDF3C526-2C6E-43CE-B09F-77AC6A6EC950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570611</xdr:colOff>
      <xdr:row>1</xdr:row>
      <xdr:rowOff>1689989</xdr:rowOff>
    </xdr:from>
    <xdr:to>
      <xdr:col>5</xdr:col>
      <xdr:colOff>522351</xdr:colOff>
      <xdr:row>1</xdr:row>
      <xdr:rowOff>1880489</xdr:rowOff>
    </xdr:to>
    <xdr:sp macro="" textlink="印字値!$A$17">
      <xdr:nvSpPr>
        <xdr:cNvPr id="18" name="主表13">
          <a:extLst>
            <a:ext uri="{FF2B5EF4-FFF2-40B4-BE49-F238E27FC236}">
              <a16:creationId xmlns:a16="http://schemas.microsoft.com/office/drawing/2014/main" id="{ABC550E0-7923-D9B6-739E-E515C634D269}"/>
            </a:ext>
          </a:extLst>
        </xdr:cNvPr>
        <xdr:cNvSpPr txBox="1"/>
      </xdr:nvSpPr>
      <xdr:spPr>
        <a:xfrm>
          <a:off x="3100451" y="5248529"/>
          <a:ext cx="584200" cy="1905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415EB6A2-B795-41B4-9532-387A0B59C719}" type="TxLink">
            <a:rPr kumimoji="1" lang="en-US" altLang="en-US" sz="56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56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570611</xdr:colOff>
      <xdr:row>1</xdr:row>
      <xdr:rowOff>1987169</xdr:rowOff>
    </xdr:from>
    <xdr:to>
      <xdr:col>5</xdr:col>
      <xdr:colOff>522351</xdr:colOff>
      <xdr:row>1</xdr:row>
      <xdr:rowOff>2279269</xdr:rowOff>
    </xdr:to>
    <xdr:sp macro="" textlink="印字値!$A$18">
      <xdr:nvSpPr>
        <xdr:cNvPr id="19" name="主表14">
          <a:extLst>
            <a:ext uri="{FF2B5EF4-FFF2-40B4-BE49-F238E27FC236}">
              <a16:creationId xmlns:a16="http://schemas.microsoft.com/office/drawing/2014/main" id="{61864969-188E-7729-AAF6-27D214406B38}"/>
            </a:ext>
          </a:extLst>
        </xdr:cNvPr>
        <xdr:cNvSpPr txBox="1"/>
      </xdr:nvSpPr>
      <xdr:spPr>
        <a:xfrm>
          <a:off x="3100451" y="5545709"/>
          <a:ext cx="584200" cy="2921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3CDF5300-B94A-4A6A-8B3D-9005B0D66727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570611</xdr:colOff>
      <xdr:row>1</xdr:row>
      <xdr:rowOff>2383663</xdr:rowOff>
    </xdr:from>
    <xdr:to>
      <xdr:col>5</xdr:col>
      <xdr:colOff>522351</xdr:colOff>
      <xdr:row>1</xdr:row>
      <xdr:rowOff>2675763</xdr:rowOff>
    </xdr:to>
    <xdr:sp macro="" textlink="印字値!$A$19">
      <xdr:nvSpPr>
        <xdr:cNvPr id="20" name="主表15">
          <a:extLst>
            <a:ext uri="{FF2B5EF4-FFF2-40B4-BE49-F238E27FC236}">
              <a16:creationId xmlns:a16="http://schemas.microsoft.com/office/drawing/2014/main" id="{690BD7E4-FCA8-825C-C7E8-DE4682F69B7A}"/>
            </a:ext>
          </a:extLst>
        </xdr:cNvPr>
        <xdr:cNvSpPr txBox="1"/>
      </xdr:nvSpPr>
      <xdr:spPr>
        <a:xfrm>
          <a:off x="3100451" y="5942203"/>
          <a:ext cx="584200" cy="2921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F914F8CE-EE57-45C6-8EA0-645F5F80D388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570611</xdr:colOff>
      <xdr:row>1</xdr:row>
      <xdr:rowOff>2779903</xdr:rowOff>
    </xdr:from>
    <xdr:to>
      <xdr:col>5</xdr:col>
      <xdr:colOff>522351</xdr:colOff>
      <xdr:row>1</xdr:row>
      <xdr:rowOff>3072003</xdr:rowOff>
    </xdr:to>
    <xdr:sp macro="" textlink="印字値!$A$20">
      <xdr:nvSpPr>
        <xdr:cNvPr id="21" name="主表16">
          <a:extLst>
            <a:ext uri="{FF2B5EF4-FFF2-40B4-BE49-F238E27FC236}">
              <a16:creationId xmlns:a16="http://schemas.microsoft.com/office/drawing/2014/main" id="{0A53D97F-9B9C-0A01-6AE2-6568F051DF9A}"/>
            </a:ext>
          </a:extLst>
        </xdr:cNvPr>
        <xdr:cNvSpPr txBox="1"/>
      </xdr:nvSpPr>
      <xdr:spPr>
        <a:xfrm>
          <a:off x="3100451" y="6338443"/>
          <a:ext cx="584200" cy="2921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CBC63514-BBD1-40A8-A487-ABF02065F3DA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570611</xdr:colOff>
      <xdr:row>1</xdr:row>
      <xdr:rowOff>3176143</xdr:rowOff>
    </xdr:from>
    <xdr:to>
      <xdr:col>5</xdr:col>
      <xdr:colOff>522351</xdr:colOff>
      <xdr:row>1</xdr:row>
      <xdr:rowOff>3468243</xdr:rowOff>
    </xdr:to>
    <xdr:sp macro="" textlink="印字値!$A$21">
      <xdr:nvSpPr>
        <xdr:cNvPr id="22" name="主表17">
          <a:extLst>
            <a:ext uri="{FF2B5EF4-FFF2-40B4-BE49-F238E27FC236}">
              <a16:creationId xmlns:a16="http://schemas.microsoft.com/office/drawing/2014/main" id="{6E457D64-1A81-F2BD-425E-C834B71E2878}"/>
            </a:ext>
          </a:extLst>
        </xdr:cNvPr>
        <xdr:cNvSpPr txBox="1"/>
      </xdr:nvSpPr>
      <xdr:spPr>
        <a:xfrm>
          <a:off x="3100451" y="6734683"/>
          <a:ext cx="584200" cy="2921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7ACDEF56-7DBF-4C83-9E3F-10D62654DA07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570611</xdr:colOff>
      <xdr:row>2</xdr:row>
      <xdr:rowOff>13843</xdr:rowOff>
    </xdr:from>
    <xdr:to>
      <xdr:col>5</xdr:col>
      <xdr:colOff>522351</xdr:colOff>
      <xdr:row>2</xdr:row>
      <xdr:rowOff>305943</xdr:rowOff>
    </xdr:to>
    <xdr:sp macro="" textlink="印字値!$A$22">
      <xdr:nvSpPr>
        <xdr:cNvPr id="23" name="主表18">
          <a:extLst>
            <a:ext uri="{FF2B5EF4-FFF2-40B4-BE49-F238E27FC236}">
              <a16:creationId xmlns:a16="http://schemas.microsoft.com/office/drawing/2014/main" id="{919B1B29-475D-AEA8-4B1F-747E1E057419}"/>
            </a:ext>
          </a:extLst>
        </xdr:cNvPr>
        <xdr:cNvSpPr txBox="1"/>
      </xdr:nvSpPr>
      <xdr:spPr>
        <a:xfrm>
          <a:off x="3100451" y="7130923"/>
          <a:ext cx="584200" cy="2921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9E0985D0-C80D-43D5-8737-F62BDB100786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570611</xdr:colOff>
      <xdr:row>2</xdr:row>
      <xdr:rowOff>410083</xdr:rowOff>
    </xdr:from>
    <xdr:to>
      <xdr:col>5</xdr:col>
      <xdr:colOff>522351</xdr:colOff>
      <xdr:row>2</xdr:row>
      <xdr:rowOff>702183</xdr:rowOff>
    </xdr:to>
    <xdr:sp macro="" textlink="印字値!$A$23">
      <xdr:nvSpPr>
        <xdr:cNvPr id="24" name="主表19">
          <a:extLst>
            <a:ext uri="{FF2B5EF4-FFF2-40B4-BE49-F238E27FC236}">
              <a16:creationId xmlns:a16="http://schemas.microsoft.com/office/drawing/2014/main" id="{7DF2F2F5-C5FE-1EA2-5E01-6D2771AE6D32}"/>
            </a:ext>
          </a:extLst>
        </xdr:cNvPr>
        <xdr:cNvSpPr txBox="1"/>
      </xdr:nvSpPr>
      <xdr:spPr>
        <a:xfrm>
          <a:off x="3100451" y="7527163"/>
          <a:ext cx="584200" cy="2921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ACEC1D3A-0139-4A89-AEEB-7719614F9512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570611</xdr:colOff>
      <xdr:row>2</xdr:row>
      <xdr:rowOff>806704</xdr:rowOff>
    </xdr:from>
    <xdr:to>
      <xdr:col>5</xdr:col>
      <xdr:colOff>522351</xdr:colOff>
      <xdr:row>2</xdr:row>
      <xdr:rowOff>1098804</xdr:rowOff>
    </xdr:to>
    <xdr:sp macro="" textlink="印字値!$A$24">
      <xdr:nvSpPr>
        <xdr:cNvPr id="25" name="主表20">
          <a:extLst>
            <a:ext uri="{FF2B5EF4-FFF2-40B4-BE49-F238E27FC236}">
              <a16:creationId xmlns:a16="http://schemas.microsoft.com/office/drawing/2014/main" id="{0631D81A-F036-7475-F8D0-4079FB3AEB44}"/>
            </a:ext>
          </a:extLst>
        </xdr:cNvPr>
        <xdr:cNvSpPr txBox="1"/>
      </xdr:nvSpPr>
      <xdr:spPr>
        <a:xfrm>
          <a:off x="3100451" y="7923784"/>
          <a:ext cx="584200" cy="2921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9809B73E-FFFD-4C32-B41D-1442E6450EEE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20,000,000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570611</xdr:colOff>
      <xdr:row>2</xdr:row>
      <xdr:rowOff>1202944</xdr:rowOff>
    </xdr:from>
    <xdr:to>
      <xdr:col>5</xdr:col>
      <xdr:colOff>319151</xdr:colOff>
      <xdr:row>2</xdr:row>
      <xdr:rowOff>1495044</xdr:rowOff>
    </xdr:to>
    <xdr:sp macro="" textlink="印字値!$A$25">
      <xdr:nvSpPr>
        <xdr:cNvPr id="26" name="主表21">
          <a:extLst>
            <a:ext uri="{FF2B5EF4-FFF2-40B4-BE49-F238E27FC236}">
              <a16:creationId xmlns:a16="http://schemas.microsoft.com/office/drawing/2014/main" id="{58AC26DE-A482-40F6-778A-999F52FF602F}"/>
            </a:ext>
          </a:extLst>
        </xdr:cNvPr>
        <xdr:cNvSpPr txBox="1"/>
      </xdr:nvSpPr>
      <xdr:spPr>
        <a:xfrm>
          <a:off x="3100451" y="8320024"/>
          <a:ext cx="381000" cy="2921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B898F2C6-EA54-4E2C-A497-85D2BD4D5720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342646</xdr:colOff>
      <xdr:row>0</xdr:row>
      <xdr:rowOff>3366008</xdr:rowOff>
    </xdr:from>
    <xdr:to>
      <xdr:col>10</xdr:col>
      <xdr:colOff>294386</xdr:colOff>
      <xdr:row>1</xdr:row>
      <xdr:rowOff>594868</xdr:rowOff>
    </xdr:to>
    <xdr:sp macro="" textlink="印字値!$A$26">
      <xdr:nvSpPr>
        <xdr:cNvPr id="27" name="主表22">
          <a:extLst>
            <a:ext uri="{FF2B5EF4-FFF2-40B4-BE49-F238E27FC236}">
              <a16:creationId xmlns:a16="http://schemas.microsoft.com/office/drawing/2014/main" id="{69BE7697-7419-8A0D-3539-4AB8D14D16D2}"/>
            </a:ext>
          </a:extLst>
        </xdr:cNvPr>
        <xdr:cNvSpPr txBox="1"/>
      </xdr:nvSpPr>
      <xdr:spPr>
        <a:xfrm>
          <a:off x="6034786" y="3366008"/>
          <a:ext cx="584200" cy="787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0EE9EA1E-1198-44FA-B21B-182A88A066EF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342646</xdr:colOff>
      <xdr:row>1</xdr:row>
      <xdr:rowOff>699389</xdr:rowOff>
    </xdr:from>
    <xdr:to>
      <xdr:col>10</xdr:col>
      <xdr:colOff>294386</xdr:colOff>
      <xdr:row>1</xdr:row>
      <xdr:rowOff>1778889</xdr:rowOff>
    </xdr:to>
    <xdr:sp macro="" textlink="印字値!$A$27">
      <xdr:nvSpPr>
        <xdr:cNvPr id="28" name="主表23">
          <a:extLst>
            <a:ext uri="{FF2B5EF4-FFF2-40B4-BE49-F238E27FC236}">
              <a16:creationId xmlns:a16="http://schemas.microsoft.com/office/drawing/2014/main" id="{FFEAD6DD-B23D-4477-DFD4-0F80A9F48A65}"/>
            </a:ext>
          </a:extLst>
        </xdr:cNvPr>
        <xdr:cNvSpPr txBox="1"/>
      </xdr:nvSpPr>
      <xdr:spPr>
        <a:xfrm>
          <a:off x="6034786" y="4257929"/>
          <a:ext cx="584200" cy="10795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D598420D-1222-4EDE-A48F-70BD7A7B992B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342646</xdr:colOff>
      <xdr:row>1</xdr:row>
      <xdr:rowOff>1888109</xdr:rowOff>
    </xdr:from>
    <xdr:to>
      <xdr:col>10</xdr:col>
      <xdr:colOff>294386</xdr:colOff>
      <xdr:row>1</xdr:row>
      <xdr:rowOff>2472309</xdr:rowOff>
    </xdr:to>
    <xdr:sp macro="" textlink="印字値!$A$28">
      <xdr:nvSpPr>
        <xdr:cNvPr id="29" name="主表24">
          <a:extLst>
            <a:ext uri="{FF2B5EF4-FFF2-40B4-BE49-F238E27FC236}">
              <a16:creationId xmlns:a16="http://schemas.microsoft.com/office/drawing/2014/main" id="{B1300B40-509B-2F3F-4C37-8C66A4309EB5}"/>
            </a:ext>
          </a:extLst>
        </xdr:cNvPr>
        <xdr:cNvSpPr txBox="1"/>
      </xdr:nvSpPr>
      <xdr:spPr>
        <a:xfrm>
          <a:off x="6034786" y="5446649"/>
          <a:ext cx="584200" cy="584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04203AD1-2D13-40CA-8F5B-A6B9CA9DA9C8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342646</xdr:colOff>
      <xdr:row>1</xdr:row>
      <xdr:rowOff>2581783</xdr:rowOff>
    </xdr:from>
    <xdr:to>
      <xdr:col>10</xdr:col>
      <xdr:colOff>294386</xdr:colOff>
      <xdr:row>1</xdr:row>
      <xdr:rowOff>3064383</xdr:rowOff>
    </xdr:to>
    <xdr:sp macro="" textlink="印字値!$A$29">
      <xdr:nvSpPr>
        <xdr:cNvPr id="30" name="主表25">
          <a:extLst>
            <a:ext uri="{FF2B5EF4-FFF2-40B4-BE49-F238E27FC236}">
              <a16:creationId xmlns:a16="http://schemas.microsoft.com/office/drawing/2014/main" id="{C945F8E5-48BE-A255-E9FC-67B02A4315B9}"/>
            </a:ext>
          </a:extLst>
        </xdr:cNvPr>
        <xdr:cNvSpPr txBox="1"/>
      </xdr:nvSpPr>
      <xdr:spPr>
        <a:xfrm>
          <a:off x="6034786" y="6140323"/>
          <a:ext cx="584200" cy="482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C0F1221E-674B-43FA-B878-BF4C0DB31EC5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342646</xdr:colOff>
      <xdr:row>1</xdr:row>
      <xdr:rowOff>3176143</xdr:rowOff>
    </xdr:from>
    <xdr:to>
      <xdr:col>10</xdr:col>
      <xdr:colOff>294386</xdr:colOff>
      <xdr:row>2</xdr:row>
      <xdr:rowOff>201803</xdr:rowOff>
    </xdr:to>
    <xdr:sp macro="" textlink="印字値!$A$30">
      <xdr:nvSpPr>
        <xdr:cNvPr id="31" name="主表26">
          <a:extLst>
            <a:ext uri="{FF2B5EF4-FFF2-40B4-BE49-F238E27FC236}">
              <a16:creationId xmlns:a16="http://schemas.microsoft.com/office/drawing/2014/main" id="{5D77B9E1-30CC-13EC-802B-41D402AF0353}"/>
            </a:ext>
          </a:extLst>
        </xdr:cNvPr>
        <xdr:cNvSpPr txBox="1"/>
      </xdr:nvSpPr>
      <xdr:spPr>
        <a:xfrm>
          <a:off x="6034786" y="6734683"/>
          <a:ext cx="584200" cy="584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05A656A9-F639-46BD-9FFE-9EB5A511A28E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342646</xdr:colOff>
      <xdr:row>2</xdr:row>
      <xdr:rowOff>311023</xdr:rowOff>
    </xdr:from>
    <xdr:to>
      <xdr:col>10</xdr:col>
      <xdr:colOff>294386</xdr:colOff>
      <xdr:row>2</xdr:row>
      <xdr:rowOff>895223</xdr:rowOff>
    </xdr:to>
    <xdr:sp macro="" textlink="印字値!$A$31">
      <xdr:nvSpPr>
        <xdr:cNvPr id="32" name="主表27">
          <a:extLst>
            <a:ext uri="{FF2B5EF4-FFF2-40B4-BE49-F238E27FC236}">
              <a16:creationId xmlns:a16="http://schemas.microsoft.com/office/drawing/2014/main" id="{C7720C5C-2EF4-FCAF-DEF6-BA92F9EC17F3}"/>
            </a:ext>
          </a:extLst>
        </xdr:cNvPr>
        <xdr:cNvSpPr txBox="1"/>
      </xdr:nvSpPr>
      <xdr:spPr>
        <a:xfrm>
          <a:off x="6034786" y="7428103"/>
          <a:ext cx="584200" cy="584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F153638F-C0EB-46D4-8BA7-DB2B6848BE1B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342646</xdr:colOff>
      <xdr:row>2</xdr:row>
      <xdr:rowOff>1004824</xdr:rowOff>
    </xdr:from>
    <xdr:to>
      <xdr:col>10</xdr:col>
      <xdr:colOff>294386</xdr:colOff>
      <xdr:row>2</xdr:row>
      <xdr:rowOff>1487424</xdr:rowOff>
    </xdr:to>
    <xdr:sp macro="" textlink="印字値!$A$32">
      <xdr:nvSpPr>
        <xdr:cNvPr id="33" name="主表28">
          <a:extLst>
            <a:ext uri="{FF2B5EF4-FFF2-40B4-BE49-F238E27FC236}">
              <a16:creationId xmlns:a16="http://schemas.microsoft.com/office/drawing/2014/main" id="{6C71B430-A0AB-E4EC-BA26-949B51A7DBB3}"/>
            </a:ext>
          </a:extLst>
        </xdr:cNvPr>
        <xdr:cNvSpPr txBox="1"/>
      </xdr:nvSpPr>
      <xdr:spPr>
        <a:xfrm>
          <a:off x="6034786" y="8121904"/>
          <a:ext cx="584200" cy="482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9136E409-B7EB-4E2F-84F4-D0752B755CD3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570611</xdr:colOff>
      <xdr:row>0</xdr:row>
      <xdr:rowOff>3353308</xdr:rowOff>
    </xdr:from>
    <xdr:to>
      <xdr:col>5</xdr:col>
      <xdr:colOff>496951</xdr:colOff>
      <xdr:row>0</xdr:row>
      <xdr:rowOff>3454908</xdr:rowOff>
    </xdr:to>
    <xdr:sp macro="" textlink="印字値!$B$5">
      <xdr:nvSpPr>
        <xdr:cNvPr id="34" name="主表09内書">
          <a:extLst>
            <a:ext uri="{FF2B5EF4-FFF2-40B4-BE49-F238E27FC236}">
              <a16:creationId xmlns:a16="http://schemas.microsoft.com/office/drawing/2014/main" id="{629783DF-BFBB-8792-B12D-4A952C011093}"/>
            </a:ext>
          </a:extLst>
        </xdr:cNvPr>
        <xdr:cNvSpPr txBox="1"/>
      </xdr:nvSpPr>
      <xdr:spPr>
        <a:xfrm>
          <a:off x="3100451" y="3353308"/>
          <a:ext cx="558800" cy="101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>
          <a:normAutofit/>
        </a:bodyPr>
        <a:lstStyle/>
        <a:p>
          <a:pPr algn="r"/>
          <a:fld id="{248283E6-416E-44E9-96F4-B5A13AD0886C}" type="TxLink">
            <a:rPr kumimoji="1" lang="en-US" altLang="en-US" sz="52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52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11</xdr:col>
      <xdr:colOff>603504</xdr:colOff>
      <xdr:row>3</xdr:row>
      <xdr:rowOff>16764</xdr:rowOff>
    </xdr:to>
    <xdr:pic>
      <xdr:nvPicPr>
        <xdr:cNvPr id="3" name="国税庁公式様式_背景">
          <a:extLst>
            <a:ext uri="{FF2B5EF4-FFF2-40B4-BE49-F238E27FC236}">
              <a16:creationId xmlns:a16="http://schemas.microsoft.com/office/drawing/2014/main" id="{384829F7-B0B8-7D5F-CA68-53B70B97FA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60564" cy="10692384"/>
        </a:xfrm>
        <a:prstGeom prst="rect">
          <a:avLst/>
        </a:prstGeom>
      </xdr:spPr>
    </xdr:pic>
    <xdr:clientData/>
  </xdr:twoCellAnchor>
  <xdr:twoCellAnchor editAs="absolute">
    <xdr:from>
      <xdr:col>6</xdr:col>
      <xdr:colOff>370205</xdr:colOff>
      <xdr:row>0</xdr:row>
      <xdr:rowOff>458724</xdr:rowOff>
    </xdr:from>
    <xdr:to>
      <xdr:col>8</xdr:col>
      <xdr:colOff>83185</xdr:colOff>
      <xdr:row>0</xdr:row>
      <xdr:rowOff>827024</xdr:rowOff>
    </xdr:to>
    <xdr:sp macro="" textlink="印字値!$A$2">
      <xdr:nvSpPr>
        <xdr:cNvPr id="4" name="事業年度">
          <a:extLst>
            <a:ext uri="{FF2B5EF4-FFF2-40B4-BE49-F238E27FC236}">
              <a16:creationId xmlns:a16="http://schemas.microsoft.com/office/drawing/2014/main" id="{EB29E936-8844-C95F-FF50-FE25979AFABF}"/>
            </a:ext>
          </a:extLst>
        </xdr:cNvPr>
        <xdr:cNvSpPr txBox="1"/>
      </xdr:nvSpPr>
      <xdr:spPr>
        <a:xfrm>
          <a:off x="4164965" y="458724"/>
          <a:ext cx="977900" cy="368300"/>
        </a:xfrm>
        <a:prstGeom prst="rect">
          <a:avLst/>
        </a:prstGeom>
        <a:solidFill>
          <a:srgbClr val="FFFFFF"/>
        </a:solidFill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ctr">
          <a:normAutofit/>
        </a:bodyPr>
        <a:lstStyle/>
        <a:p>
          <a:pPr algn="ctr"/>
          <a:fld id="{DC051CA8-CFDF-419F-AC84-D6A8F579E1F1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ctr"/>
            <a:t>2024.4.1
2025.3.31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8</xdr:col>
      <xdr:colOff>446786</xdr:colOff>
      <xdr:row>0</xdr:row>
      <xdr:rowOff>458724</xdr:rowOff>
    </xdr:from>
    <xdr:to>
      <xdr:col>10</xdr:col>
      <xdr:colOff>489966</xdr:colOff>
      <xdr:row>0</xdr:row>
      <xdr:rowOff>827024</xdr:rowOff>
    </xdr:to>
    <xdr:sp macro="" textlink="印字値!$A$1">
      <xdr:nvSpPr>
        <xdr:cNvPr id="5" name="法人名">
          <a:extLst>
            <a:ext uri="{FF2B5EF4-FFF2-40B4-BE49-F238E27FC236}">
              <a16:creationId xmlns:a16="http://schemas.microsoft.com/office/drawing/2014/main" id="{8822B709-7217-005C-C6DF-F21331AA4BDA}"/>
            </a:ext>
          </a:extLst>
        </xdr:cNvPr>
        <xdr:cNvSpPr txBox="1"/>
      </xdr:nvSpPr>
      <xdr:spPr>
        <a:xfrm>
          <a:off x="5506466" y="458724"/>
          <a:ext cx="1308100" cy="368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ctr">
          <a:normAutofit/>
        </a:bodyPr>
        <a:lstStyle/>
        <a:p>
          <a:pPr algn="l"/>
          <a:fld id="{A71605D1-D111-438A-966C-7F41C1635370}" type="TxLink">
            <a:rPr kumimoji="1" lang="en-US" altLang="en-US" sz="51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l"/>
            <a:t> </a:t>
          </a:fld>
          <a:endParaRPr kumimoji="1" lang="ja-JP" altLang="en-US" sz="51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402971</xdr:colOff>
      <xdr:row>0</xdr:row>
      <xdr:rowOff>900684</xdr:rowOff>
    </xdr:from>
    <xdr:to>
      <xdr:col>5</xdr:col>
      <xdr:colOff>519811</xdr:colOff>
      <xdr:row>0</xdr:row>
      <xdr:rowOff>1256284</xdr:rowOff>
    </xdr:to>
    <xdr:sp macro="" textlink="印字値!$C$5">
      <xdr:nvSpPr>
        <xdr:cNvPr id="6" name="付表01">
          <a:extLst>
            <a:ext uri="{FF2B5EF4-FFF2-40B4-BE49-F238E27FC236}">
              <a16:creationId xmlns:a16="http://schemas.microsoft.com/office/drawing/2014/main" id="{7DE51DC8-3350-E10B-094D-8DD1E0F52684}"/>
            </a:ext>
          </a:extLst>
        </xdr:cNvPr>
        <xdr:cNvSpPr txBox="1"/>
      </xdr:nvSpPr>
      <xdr:spPr>
        <a:xfrm>
          <a:off x="2932811" y="900684"/>
          <a:ext cx="749300" cy="355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8B11604C-E96E-42CC-ABA9-C844BB48466D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402971</xdr:colOff>
      <xdr:row>0</xdr:row>
      <xdr:rowOff>1358646</xdr:rowOff>
    </xdr:from>
    <xdr:to>
      <xdr:col>5</xdr:col>
      <xdr:colOff>519811</xdr:colOff>
      <xdr:row>0</xdr:row>
      <xdr:rowOff>1714246</xdr:rowOff>
    </xdr:to>
    <xdr:sp macro="" textlink="印字値!$C$6">
      <xdr:nvSpPr>
        <xdr:cNvPr id="7" name="付表02">
          <a:extLst>
            <a:ext uri="{FF2B5EF4-FFF2-40B4-BE49-F238E27FC236}">
              <a16:creationId xmlns:a16="http://schemas.microsoft.com/office/drawing/2014/main" id="{E2F8675E-0E2A-20A7-177C-AC755B14587E}"/>
            </a:ext>
          </a:extLst>
        </xdr:cNvPr>
        <xdr:cNvSpPr txBox="1"/>
      </xdr:nvSpPr>
      <xdr:spPr>
        <a:xfrm>
          <a:off x="2932811" y="1358646"/>
          <a:ext cx="749300" cy="355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5905411F-9EF9-44B1-BEB2-4C46B5FEECB2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402971</xdr:colOff>
      <xdr:row>0</xdr:row>
      <xdr:rowOff>1816100</xdr:rowOff>
    </xdr:from>
    <xdr:to>
      <xdr:col>5</xdr:col>
      <xdr:colOff>519811</xdr:colOff>
      <xdr:row>0</xdr:row>
      <xdr:rowOff>2171700</xdr:rowOff>
    </xdr:to>
    <xdr:sp macro="" textlink="印字値!$C$7">
      <xdr:nvSpPr>
        <xdr:cNvPr id="8" name="付表03">
          <a:extLst>
            <a:ext uri="{FF2B5EF4-FFF2-40B4-BE49-F238E27FC236}">
              <a16:creationId xmlns:a16="http://schemas.microsoft.com/office/drawing/2014/main" id="{5EB731BC-B4FF-91D7-7FBA-A1A544F58EEF}"/>
            </a:ext>
          </a:extLst>
        </xdr:cNvPr>
        <xdr:cNvSpPr txBox="1"/>
      </xdr:nvSpPr>
      <xdr:spPr>
        <a:xfrm>
          <a:off x="2932811" y="1816100"/>
          <a:ext cx="749300" cy="355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BCFCFC4F-2A77-4C87-83D0-307D1EBC67F3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402971</xdr:colOff>
      <xdr:row>0</xdr:row>
      <xdr:rowOff>2273300</xdr:rowOff>
    </xdr:from>
    <xdr:to>
      <xdr:col>5</xdr:col>
      <xdr:colOff>519811</xdr:colOff>
      <xdr:row>0</xdr:row>
      <xdr:rowOff>2628900</xdr:rowOff>
    </xdr:to>
    <xdr:sp macro="" textlink="印字値!$C$8">
      <xdr:nvSpPr>
        <xdr:cNvPr id="9" name="付表04">
          <a:extLst>
            <a:ext uri="{FF2B5EF4-FFF2-40B4-BE49-F238E27FC236}">
              <a16:creationId xmlns:a16="http://schemas.microsoft.com/office/drawing/2014/main" id="{954442E5-8552-697A-C33D-33B817B18CD9}"/>
            </a:ext>
          </a:extLst>
        </xdr:cNvPr>
        <xdr:cNvSpPr txBox="1"/>
      </xdr:nvSpPr>
      <xdr:spPr>
        <a:xfrm>
          <a:off x="2932811" y="2273300"/>
          <a:ext cx="749300" cy="355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51FD977C-1C61-498F-8637-9AD4C2F8298A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402971</xdr:colOff>
      <xdr:row>0</xdr:row>
      <xdr:rowOff>2730500</xdr:rowOff>
    </xdr:from>
    <xdr:to>
      <xdr:col>5</xdr:col>
      <xdr:colOff>519811</xdr:colOff>
      <xdr:row>0</xdr:row>
      <xdr:rowOff>3086100</xdr:rowOff>
    </xdr:to>
    <xdr:sp macro="" textlink="印字値!$C$9">
      <xdr:nvSpPr>
        <xdr:cNvPr id="10" name="付表05">
          <a:extLst>
            <a:ext uri="{FF2B5EF4-FFF2-40B4-BE49-F238E27FC236}">
              <a16:creationId xmlns:a16="http://schemas.microsoft.com/office/drawing/2014/main" id="{FD5E7D8D-69A9-3380-76B7-53199101D927}"/>
            </a:ext>
          </a:extLst>
        </xdr:cNvPr>
        <xdr:cNvSpPr txBox="1"/>
      </xdr:nvSpPr>
      <xdr:spPr>
        <a:xfrm>
          <a:off x="2932811" y="2730500"/>
          <a:ext cx="749300" cy="355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9E04CCBE-97AA-49C9-9AAF-09FB5D0F1893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402971</xdr:colOff>
      <xdr:row>0</xdr:row>
      <xdr:rowOff>3187700</xdr:rowOff>
    </xdr:from>
    <xdr:to>
      <xdr:col>5</xdr:col>
      <xdr:colOff>519811</xdr:colOff>
      <xdr:row>0</xdr:row>
      <xdr:rowOff>3543300</xdr:rowOff>
    </xdr:to>
    <xdr:sp macro="" textlink="印字値!$C$10">
      <xdr:nvSpPr>
        <xdr:cNvPr id="11" name="付表06">
          <a:extLst>
            <a:ext uri="{FF2B5EF4-FFF2-40B4-BE49-F238E27FC236}">
              <a16:creationId xmlns:a16="http://schemas.microsoft.com/office/drawing/2014/main" id="{DFDD54E8-295B-BE26-D82E-DFC8363950F2}"/>
            </a:ext>
          </a:extLst>
        </xdr:cNvPr>
        <xdr:cNvSpPr txBox="1"/>
      </xdr:nvSpPr>
      <xdr:spPr>
        <a:xfrm>
          <a:off x="2932811" y="3187700"/>
          <a:ext cx="749300" cy="355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D6E19309-2BD8-40A1-816E-E82379E589BC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402971</xdr:colOff>
      <xdr:row>1</xdr:row>
      <xdr:rowOff>86741</xdr:rowOff>
    </xdr:from>
    <xdr:to>
      <xdr:col>5</xdr:col>
      <xdr:colOff>519811</xdr:colOff>
      <xdr:row>1</xdr:row>
      <xdr:rowOff>442341</xdr:rowOff>
    </xdr:to>
    <xdr:sp macro="" textlink="印字値!$C$11">
      <xdr:nvSpPr>
        <xdr:cNvPr id="12" name="付表07">
          <a:extLst>
            <a:ext uri="{FF2B5EF4-FFF2-40B4-BE49-F238E27FC236}">
              <a16:creationId xmlns:a16="http://schemas.microsoft.com/office/drawing/2014/main" id="{4B4E05FD-8D47-F801-37ED-DAD2BCA141C2}"/>
            </a:ext>
          </a:extLst>
        </xdr:cNvPr>
        <xdr:cNvSpPr txBox="1"/>
      </xdr:nvSpPr>
      <xdr:spPr>
        <a:xfrm>
          <a:off x="2932811" y="3645281"/>
          <a:ext cx="749300" cy="355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184415F8-5D20-4F4B-8B32-D6D3039EDD91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402971</xdr:colOff>
      <xdr:row>1</xdr:row>
      <xdr:rowOff>543941</xdr:rowOff>
    </xdr:from>
    <xdr:to>
      <xdr:col>5</xdr:col>
      <xdr:colOff>519811</xdr:colOff>
      <xdr:row>1</xdr:row>
      <xdr:rowOff>1013841</xdr:rowOff>
    </xdr:to>
    <xdr:sp macro="" textlink="印字値!$C$12">
      <xdr:nvSpPr>
        <xdr:cNvPr id="13" name="付表08">
          <a:extLst>
            <a:ext uri="{FF2B5EF4-FFF2-40B4-BE49-F238E27FC236}">
              <a16:creationId xmlns:a16="http://schemas.microsoft.com/office/drawing/2014/main" id="{F4BF29C4-585B-43D0-8E5C-320CB3DF88DE}"/>
            </a:ext>
          </a:extLst>
        </xdr:cNvPr>
        <xdr:cNvSpPr txBox="1"/>
      </xdr:nvSpPr>
      <xdr:spPr>
        <a:xfrm>
          <a:off x="2932811" y="4102481"/>
          <a:ext cx="749300" cy="469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2591E774-85FA-4949-AADD-96E5350B34F1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20,000,000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402971</xdr:colOff>
      <xdr:row>1</xdr:row>
      <xdr:rowOff>1115441</xdr:rowOff>
    </xdr:from>
    <xdr:to>
      <xdr:col>5</xdr:col>
      <xdr:colOff>519811</xdr:colOff>
      <xdr:row>1</xdr:row>
      <xdr:rowOff>1471041</xdr:rowOff>
    </xdr:to>
    <xdr:sp macro="" textlink="印字値!$C$13">
      <xdr:nvSpPr>
        <xdr:cNvPr id="14" name="付表09">
          <a:extLst>
            <a:ext uri="{FF2B5EF4-FFF2-40B4-BE49-F238E27FC236}">
              <a16:creationId xmlns:a16="http://schemas.microsoft.com/office/drawing/2014/main" id="{39A30558-BF49-C67D-9060-DD6AB1CCD81C}"/>
            </a:ext>
          </a:extLst>
        </xdr:cNvPr>
        <xdr:cNvSpPr txBox="1"/>
      </xdr:nvSpPr>
      <xdr:spPr>
        <a:xfrm>
          <a:off x="2932811" y="4673981"/>
          <a:ext cx="749300" cy="355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D738D3D3-648B-4C5F-8BE0-4FCF32364BB6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402971</xdr:colOff>
      <xdr:row>1</xdr:row>
      <xdr:rowOff>1572641</xdr:rowOff>
    </xdr:from>
    <xdr:to>
      <xdr:col>5</xdr:col>
      <xdr:colOff>519811</xdr:colOff>
      <xdr:row>1</xdr:row>
      <xdr:rowOff>2042541</xdr:rowOff>
    </xdr:to>
    <xdr:sp macro="" textlink="印字値!$C$14">
      <xdr:nvSpPr>
        <xdr:cNvPr id="15" name="付表10">
          <a:extLst>
            <a:ext uri="{FF2B5EF4-FFF2-40B4-BE49-F238E27FC236}">
              <a16:creationId xmlns:a16="http://schemas.microsoft.com/office/drawing/2014/main" id="{46D1E48D-781B-0B6B-FD1C-D3690674DC25}"/>
            </a:ext>
          </a:extLst>
        </xdr:cNvPr>
        <xdr:cNvSpPr txBox="1"/>
      </xdr:nvSpPr>
      <xdr:spPr>
        <a:xfrm>
          <a:off x="2932811" y="5131181"/>
          <a:ext cx="749300" cy="469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01A58F97-8C30-45FE-987F-464A13AAA0B5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402971</xdr:colOff>
      <xdr:row>1</xdr:row>
      <xdr:rowOff>2144395</xdr:rowOff>
    </xdr:from>
    <xdr:to>
      <xdr:col>5</xdr:col>
      <xdr:colOff>519811</xdr:colOff>
      <xdr:row>1</xdr:row>
      <xdr:rowOff>2614295</xdr:rowOff>
    </xdr:to>
    <xdr:sp macro="" textlink="印字値!$C$15">
      <xdr:nvSpPr>
        <xdr:cNvPr id="16" name="付表11">
          <a:extLst>
            <a:ext uri="{FF2B5EF4-FFF2-40B4-BE49-F238E27FC236}">
              <a16:creationId xmlns:a16="http://schemas.microsoft.com/office/drawing/2014/main" id="{06814B7B-1468-F18D-D975-B6E0D2153DC9}"/>
            </a:ext>
          </a:extLst>
        </xdr:cNvPr>
        <xdr:cNvSpPr txBox="1"/>
      </xdr:nvSpPr>
      <xdr:spPr>
        <a:xfrm>
          <a:off x="2932811" y="5702935"/>
          <a:ext cx="749300" cy="469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CE20606B-38E2-4DBB-826C-EACFC52A254B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402971</xdr:colOff>
      <xdr:row>1</xdr:row>
      <xdr:rowOff>2715895</xdr:rowOff>
    </xdr:from>
    <xdr:to>
      <xdr:col>5</xdr:col>
      <xdr:colOff>519811</xdr:colOff>
      <xdr:row>1</xdr:row>
      <xdr:rowOff>3300095</xdr:rowOff>
    </xdr:to>
    <xdr:sp macro="" textlink="印字値!$C$16">
      <xdr:nvSpPr>
        <xdr:cNvPr id="17" name="付表12">
          <a:extLst>
            <a:ext uri="{FF2B5EF4-FFF2-40B4-BE49-F238E27FC236}">
              <a16:creationId xmlns:a16="http://schemas.microsoft.com/office/drawing/2014/main" id="{58BCE5A6-55A9-CC6A-11AA-5AB8A82A871B}"/>
            </a:ext>
          </a:extLst>
        </xdr:cNvPr>
        <xdr:cNvSpPr txBox="1"/>
      </xdr:nvSpPr>
      <xdr:spPr>
        <a:xfrm>
          <a:off x="2932811" y="6274435"/>
          <a:ext cx="749300" cy="584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8FDEB91B-F5C8-4D4F-A63B-E4B4D216F851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402971</xdr:colOff>
      <xdr:row>1</xdr:row>
      <xdr:rowOff>3401695</xdr:rowOff>
    </xdr:from>
    <xdr:to>
      <xdr:col>5</xdr:col>
      <xdr:colOff>519811</xdr:colOff>
      <xdr:row>2</xdr:row>
      <xdr:rowOff>313055</xdr:rowOff>
    </xdr:to>
    <xdr:sp macro="" textlink="印字値!$C$17">
      <xdr:nvSpPr>
        <xdr:cNvPr id="18" name="付表13">
          <a:extLst>
            <a:ext uri="{FF2B5EF4-FFF2-40B4-BE49-F238E27FC236}">
              <a16:creationId xmlns:a16="http://schemas.microsoft.com/office/drawing/2014/main" id="{17B479A3-E764-FD39-B76D-61163DCC4651}"/>
            </a:ext>
          </a:extLst>
        </xdr:cNvPr>
        <xdr:cNvSpPr txBox="1"/>
      </xdr:nvSpPr>
      <xdr:spPr>
        <a:xfrm>
          <a:off x="2932811" y="6960235"/>
          <a:ext cx="749300" cy="469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F62A969E-0A0F-4857-9A0C-DDC9D2CFB7F0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402971</xdr:colOff>
      <xdr:row>2</xdr:row>
      <xdr:rowOff>414655</xdr:rowOff>
    </xdr:from>
    <xdr:to>
      <xdr:col>5</xdr:col>
      <xdr:colOff>519811</xdr:colOff>
      <xdr:row>2</xdr:row>
      <xdr:rowOff>998855</xdr:rowOff>
    </xdr:to>
    <xdr:sp macro="" textlink="印字値!$C$18">
      <xdr:nvSpPr>
        <xdr:cNvPr id="19" name="付表14">
          <a:extLst>
            <a:ext uri="{FF2B5EF4-FFF2-40B4-BE49-F238E27FC236}">
              <a16:creationId xmlns:a16="http://schemas.microsoft.com/office/drawing/2014/main" id="{6807BFDE-472B-E965-B75E-2DBA2D4A348F}"/>
            </a:ext>
          </a:extLst>
        </xdr:cNvPr>
        <xdr:cNvSpPr txBox="1"/>
      </xdr:nvSpPr>
      <xdr:spPr>
        <a:xfrm>
          <a:off x="2932811" y="7531735"/>
          <a:ext cx="749300" cy="584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A93F7773-069D-42AF-866D-397F717B6077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402971</xdr:colOff>
      <xdr:row>2</xdr:row>
      <xdr:rowOff>1100836</xdr:rowOff>
    </xdr:from>
    <xdr:to>
      <xdr:col>5</xdr:col>
      <xdr:colOff>519811</xdr:colOff>
      <xdr:row>2</xdr:row>
      <xdr:rowOff>1570736</xdr:rowOff>
    </xdr:to>
    <xdr:sp macro="" textlink="印字値!$C$19">
      <xdr:nvSpPr>
        <xdr:cNvPr id="20" name="付表15">
          <a:extLst>
            <a:ext uri="{FF2B5EF4-FFF2-40B4-BE49-F238E27FC236}">
              <a16:creationId xmlns:a16="http://schemas.microsoft.com/office/drawing/2014/main" id="{FC21E36C-7A36-58FC-B547-3753C403736E}"/>
            </a:ext>
          </a:extLst>
        </xdr:cNvPr>
        <xdr:cNvSpPr txBox="1"/>
      </xdr:nvSpPr>
      <xdr:spPr>
        <a:xfrm>
          <a:off x="2932811" y="8217916"/>
          <a:ext cx="749300" cy="469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D4C296CB-8401-41D8-8788-DC75081906FB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402971</xdr:colOff>
      <xdr:row>2</xdr:row>
      <xdr:rowOff>1672336</xdr:rowOff>
    </xdr:from>
    <xdr:to>
      <xdr:col>5</xdr:col>
      <xdr:colOff>519811</xdr:colOff>
      <xdr:row>2</xdr:row>
      <xdr:rowOff>2142236</xdr:rowOff>
    </xdr:to>
    <xdr:sp macro="" textlink="印字値!$C$20">
      <xdr:nvSpPr>
        <xdr:cNvPr id="21" name="付表16">
          <a:extLst>
            <a:ext uri="{FF2B5EF4-FFF2-40B4-BE49-F238E27FC236}">
              <a16:creationId xmlns:a16="http://schemas.microsoft.com/office/drawing/2014/main" id="{34FA0366-8FED-30B4-40D8-E85DA9E8B952}"/>
            </a:ext>
          </a:extLst>
        </xdr:cNvPr>
        <xdr:cNvSpPr txBox="1"/>
      </xdr:nvSpPr>
      <xdr:spPr>
        <a:xfrm>
          <a:off x="2932811" y="8789416"/>
          <a:ext cx="749300" cy="469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CF821534-531B-46D2-892D-D9F617F31CC5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342646</xdr:colOff>
      <xdr:row>0</xdr:row>
      <xdr:rowOff>900684</xdr:rowOff>
    </xdr:from>
    <xdr:to>
      <xdr:col>10</xdr:col>
      <xdr:colOff>459486</xdr:colOff>
      <xdr:row>0</xdr:row>
      <xdr:rowOff>1256284</xdr:rowOff>
    </xdr:to>
    <xdr:sp macro="" textlink="印字値!$C$21">
      <xdr:nvSpPr>
        <xdr:cNvPr id="22" name="付表17">
          <a:extLst>
            <a:ext uri="{FF2B5EF4-FFF2-40B4-BE49-F238E27FC236}">
              <a16:creationId xmlns:a16="http://schemas.microsoft.com/office/drawing/2014/main" id="{4A96B54A-E18B-F026-E4EA-7690DD889754}"/>
            </a:ext>
          </a:extLst>
        </xdr:cNvPr>
        <xdr:cNvSpPr txBox="1"/>
      </xdr:nvSpPr>
      <xdr:spPr>
        <a:xfrm>
          <a:off x="6034786" y="900684"/>
          <a:ext cx="749300" cy="355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E260E9C3-A6AC-45D4-921C-6D499749C1AC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342646</xdr:colOff>
      <xdr:row>0</xdr:row>
      <xdr:rowOff>1358646</xdr:rowOff>
    </xdr:from>
    <xdr:to>
      <xdr:col>10</xdr:col>
      <xdr:colOff>459486</xdr:colOff>
      <xdr:row>0</xdr:row>
      <xdr:rowOff>1714246</xdr:rowOff>
    </xdr:to>
    <xdr:sp macro="" textlink="印字値!$C$22">
      <xdr:nvSpPr>
        <xdr:cNvPr id="23" name="付表18">
          <a:extLst>
            <a:ext uri="{FF2B5EF4-FFF2-40B4-BE49-F238E27FC236}">
              <a16:creationId xmlns:a16="http://schemas.microsoft.com/office/drawing/2014/main" id="{708071AB-BA36-8EED-7068-451EFB4934A6}"/>
            </a:ext>
          </a:extLst>
        </xdr:cNvPr>
        <xdr:cNvSpPr txBox="1"/>
      </xdr:nvSpPr>
      <xdr:spPr>
        <a:xfrm>
          <a:off x="6034786" y="1358646"/>
          <a:ext cx="749300" cy="355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AA05791F-B74B-48CF-9BE3-45BECC55DAA0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342646</xdr:colOff>
      <xdr:row>0</xdr:row>
      <xdr:rowOff>1816100</xdr:rowOff>
    </xdr:from>
    <xdr:to>
      <xdr:col>10</xdr:col>
      <xdr:colOff>459486</xdr:colOff>
      <xdr:row>0</xdr:row>
      <xdr:rowOff>2171700</xdr:rowOff>
    </xdr:to>
    <xdr:sp macro="" textlink="印字値!$C$23">
      <xdr:nvSpPr>
        <xdr:cNvPr id="24" name="付表19">
          <a:extLst>
            <a:ext uri="{FF2B5EF4-FFF2-40B4-BE49-F238E27FC236}">
              <a16:creationId xmlns:a16="http://schemas.microsoft.com/office/drawing/2014/main" id="{ABC6A3E9-8F8B-9245-C5C7-4BD7D0949257}"/>
            </a:ext>
          </a:extLst>
        </xdr:cNvPr>
        <xdr:cNvSpPr txBox="1"/>
      </xdr:nvSpPr>
      <xdr:spPr>
        <a:xfrm>
          <a:off x="6034786" y="1816100"/>
          <a:ext cx="749300" cy="355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31B8BE09-9649-461F-8437-AB23AFAEF7F6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342646</xdr:colOff>
      <xdr:row>0</xdr:row>
      <xdr:rowOff>2273300</xdr:rowOff>
    </xdr:from>
    <xdr:to>
      <xdr:col>10</xdr:col>
      <xdr:colOff>459486</xdr:colOff>
      <xdr:row>0</xdr:row>
      <xdr:rowOff>2628900</xdr:rowOff>
    </xdr:to>
    <xdr:sp macro="" textlink="印字値!$C$24">
      <xdr:nvSpPr>
        <xdr:cNvPr id="25" name="付表20">
          <a:extLst>
            <a:ext uri="{FF2B5EF4-FFF2-40B4-BE49-F238E27FC236}">
              <a16:creationId xmlns:a16="http://schemas.microsoft.com/office/drawing/2014/main" id="{C7ACBB19-278C-C8E8-CF13-072FB7F37718}"/>
            </a:ext>
          </a:extLst>
        </xdr:cNvPr>
        <xdr:cNvSpPr txBox="1"/>
      </xdr:nvSpPr>
      <xdr:spPr>
        <a:xfrm>
          <a:off x="6034786" y="2273300"/>
          <a:ext cx="749300" cy="355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A4E8FBBB-1977-4231-B655-D8A5489D8B61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342646</xdr:colOff>
      <xdr:row>0</xdr:row>
      <xdr:rowOff>2730500</xdr:rowOff>
    </xdr:from>
    <xdr:to>
      <xdr:col>10</xdr:col>
      <xdr:colOff>459486</xdr:colOff>
      <xdr:row>0</xdr:row>
      <xdr:rowOff>3086100</xdr:rowOff>
    </xdr:to>
    <xdr:sp macro="" textlink="印字値!$C$25">
      <xdr:nvSpPr>
        <xdr:cNvPr id="26" name="付表21">
          <a:extLst>
            <a:ext uri="{FF2B5EF4-FFF2-40B4-BE49-F238E27FC236}">
              <a16:creationId xmlns:a16="http://schemas.microsoft.com/office/drawing/2014/main" id="{CFB9CA26-BAAA-8185-0D4F-25DF292A6E83}"/>
            </a:ext>
          </a:extLst>
        </xdr:cNvPr>
        <xdr:cNvSpPr txBox="1"/>
      </xdr:nvSpPr>
      <xdr:spPr>
        <a:xfrm>
          <a:off x="6034786" y="2730500"/>
          <a:ext cx="749300" cy="355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35662288-FC2A-420A-B456-5009D5462DED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342646</xdr:colOff>
      <xdr:row>0</xdr:row>
      <xdr:rowOff>3187700</xdr:rowOff>
    </xdr:from>
    <xdr:to>
      <xdr:col>10</xdr:col>
      <xdr:colOff>459486</xdr:colOff>
      <xdr:row>0</xdr:row>
      <xdr:rowOff>3543300</xdr:rowOff>
    </xdr:to>
    <xdr:sp macro="" textlink="印字値!$C$26">
      <xdr:nvSpPr>
        <xdr:cNvPr id="27" name="付表22">
          <a:extLst>
            <a:ext uri="{FF2B5EF4-FFF2-40B4-BE49-F238E27FC236}">
              <a16:creationId xmlns:a16="http://schemas.microsoft.com/office/drawing/2014/main" id="{995071AD-E911-A362-D6DA-A3EF2D5BABDF}"/>
            </a:ext>
          </a:extLst>
        </xdr:cNvPr>
        <xdr:cNvSpPr txBox="1"/>
      </xdr:nvSpPr>
      <xdr:spPr>
        <a:xfrm>
          <a:off x="6034786" y="3187700"/>
          <a:ext cx="749300" cy="355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7797C63F-8FD7-46B2-AD96-FC11B0BE3EA7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342646</xdr:colOff>
      <xdr:row>1</xdr:row>
      <xdr:rowOff>86741</xdr:rowOff>
    </xdr:from>
    <xdr:to>
      <xdr:col>10</xdr:col>
      <xdr:colOff>459486</xdr:colOff>
      <xdr:row>1</xdr:row>
      <xdr:rowOff>442341</xdr:rowOff>
    </xdr:to>
    <xdr:sp macro="" textlink="印字値!$C$27">
      <xdr:nvSpPr>
        <xdr:cNvPr id="28" name="付表23">
          <a:extLst>
            <a:ext uri="{FF2B5EF4-FFF2-40B4-BE49-F238E27FC236}">
              <a16:creationId xmlns:a16="http://schemas.microsoft.com/office/drawing/2014/main" id="{F394E90B-F3EC-FF84-FBE1-EFBDFD7F4520}"/>
            </a:ext>
          </a:extLst>
        </xdr:cNvPr>
        <xdr:cNvSpPr txBox="1"/>
      </xdr:nvSpPr>
      <xdr:spPr>
        <a:xfrm>
          <a:off x="6034786" y="3645281"/>
          <a:ext cx="749300" cy="355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326380EF-71E2-4619-AF07-A40AC6F4985F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342646</xdr:colOff>
      <xdr:row>1</xdr:row>
      <xdr:rowOff>543941</xdr:rowOff>
    </xdr:from>
    <xdr:to>
      <xdr:col>10</xdr:col>
      <xdr:colOff>459486</xdr:colOff>
      <xdr:row>1</xdr:row>
      <xdr:rowOff>899541</xdr:rowOff>
    </xdr:to>
    <xdr:sp macro="" textlink="印字値!$C$28">
      <xdr:nvSpPr>
        <xdr:cNvPr id="29" name="付表24">
          <a:extLst>
            <a:ext uri="{FF2B5EF4-FFF2-40B4-BE49-F238E27FC236}">
              <a16:creationId xmlns:a16="http://schemas.microsoft.com/office/drawing/2014/main" id="{64157606-3557-D757-2DE5-E376730C4106}"/>
            </a:ext>
          </a:extLst>
        </xdr:cNvPr>
        <xdr:cNvSpPr txBox="1"/>
      </xdr:nvSpPr>
      <xdr:spPr>
        <a:xfrm>
          <a:off x="6034786" y="4102481"/>
          <a:ext cx="749300" cy="355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EA199848-C4AA-47A8-B59F-253FF176A6DE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342646</xdr:colOff>
      <xdr:row>1</xdr:row>
      <xdr:rowOff>1001141</xdr:rowOff>
    </xdr:from>
    <xdr:to>
      <xdr:col>10</xdr:col>
      <xdr:colOff>459486</xdr:colOff>
      <xdr:row>1</xdr:row>
      <xdr:rowOff>1356741</xdr:rowOff>
    </xdr:to>
    <xdr:sp macro="" textlink="印字値!$C$29">
      <xdr:nvSpPr>
        <xdr:cNvPr id="30" name="付表25">
          <a:extLst>
            <a:ext uri="{FF2B5EF4-FFF2-40B4-BE49-F238E27FC236}">
              <a16:creationId xmlns:a16="http://schemas.microsoft.com/office/drawing/2014/main" id="{4B319555-14DB-98F4-9AEE-0F8AB9EAF862}"/>
            </a:ext>
          </a:extLst>
        </xdr:cNvPr>
        <xdr:cNvSpPr txBox="1"/>
      </xdr:nvSpPr>
      <xdr:spPr>
        <a:xfrm>
          <a:off x="6034786" y="4559681"/>
          <a:ext cx="749300" cy="355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C9E33A50-34C2-4A9F-B7B0-26B5382CBD84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342646</xdr:colOff>
      <xdr:row>1</xdr:row>
      <xdr:rowOff>1458341</xdr:rowOff>
    </xdr:from>
    <xdr:to>
      <xdr:col>10</xdr:col>
      <xdr:colOff>459486</xdr:colOff>
      <xdr:row>1</xdr:row>
      <xdr:rowOff>1928241</xdr:rowOff>
    </xdr:to>
    <xdr:sp macro="" textlink="印字値!$C$30">
      <xdr:nvSpPr>
        <xdr:cNvPr id="31" name="付表26">
          <a:extLst>
            <a:ext uri="{FF2B5EF4-FFF2-40B4-BE49-F238E27FC236}">
              <a16:creationId xmlns:a16="http://schemas.microsoft.com/office/drawing/2014/main" id="{0093F89A-85F4-A8AC-A2C2-DA9DFF19ED52}"/>
            </a:ext>
          </a:extLst>
        </xdr:cNvPr>
        <xdr:cNvSpPr txBox="1"/>
      </xdr:nvSpPr>
      <xdr:spPr>
        <a:xfrm>
          <a:off x="6034786" y="5016881"/>
          <a:ext cx="749300" cy="469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3E95EA37-62C1-45DF-AABE-D6760FF3275D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342646</xdr:colOff>
      <xdr:row>1</xdr:row>
      <xdr:rowOff>2029841</xdr:rowOff>
    </xdr:from>
    <xdr:to>
      <xdr:col>10</xdr:col>
      <xdr:colOff>459486</xdr:colOff>
      <xdr:row>1</xdr:row>
      <xdr:rowOff>2499741</xdr:rowOff>
    </xdr:to>
    <xdr:sp macro="" textlink="印字値!$C$31">
      <xdr:nvSpPr>
        <xdr:cNvPr id="32" name="付表27">
          <a:extLst>
            <a:ext uri="{FF2B5EF4-FFF2-40B4-BE49-F238E27FC236}">
              <a16:creationId xmlns:a16="http://schemas.microsoft.com/office/drawing/2014/main" id="{3A4C1B56-5DC4-C8EA-30EA-F26D2CB579D0}"/>
            </a:ext>
          </a:extLst>
        </xdr:cNvPr>
        <xdr:cNvSpPr txBox="1"/>
      </xdr:nvSpPr>
      <xdr:spPr>
        <a:xfrm>
          <a:off x="6034786" y="5588381"/>
          <a:ext cx="749300" cy="469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A303E7D2-91C3-47DC-BE94-C0B011A85BB6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342646</xdr:colOff>
      <xdr:row>1</xdr:row>
      <xdr:rowOff>2601595</xdr:rowOff>
    </xdr:from>
    <xdr:to>
      <xdr:col>10</xdr:col>
      <xdr:colOff>459486</xdr:colOff>
      <xdr:row>1</xdr:row>
      <xdr:rowOff>2957195</xdr:rowOff>
    </xdr:to>
    <xdr:sp macro="" textlink="印字値!$C$32">
      <xdr:nvSpPr>
        <xdr:cNvPr id="33" name="付表28">
          <a:extLst>
            <a:ext uri="{FF2B5EF4-FFF2-40B4-BE49-F238E27FC236}">
              <a16:creationId xmlns:a16="http://schemas.microsoft.com/office/drawing/2014/main" id="{5883F878-A9B4-4A18-1C61-42D112B980B6}"/>
            </a:ext>
          </a:extLst>
        </xdr:cNvPr>
        <xdr:cNvSpPr txBox="1"/>
      </xdr:nvSpPr>
      <xdr:spPr>
        <a:xfrm>
          <a:off x="6034786" y="6160135"/>
          <a:ext cx="749300" cy="355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D7A19F0A-4A7E-445F-8F5C-739DE0FE5573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342646</xdr:colOff>
      <xdr:row>1</xdr:row>
      <xdr:rowOff>3058795</xdr:rowOff>
    </xdr:from>
    <xdr:to>
      <xdr:col>10</xdr:col>
      <xdr:colOff>459486</xdr:colOff>
      <xdr:row>1</xdr:row>
      <xdr:rowOff>3414395</xdr:rowOff>
    </xdr:to>
    <xdr:sp macro="" textlink="印字値!$C$33">
      <xdr:nvSpPr>
        <xdr:cNvPr id="34" name="付表29">
          <a:extLst>
            <a:ext uri="{FF2B5EF4-FFF2-40B4-BE49-F238E27FC236}">
              <a16:creationId xmlns:a16="http://schemas.microsoft.com/office/drawing/2014/main" id="{58A294CE-41D1-74D5-A20F-EB3AE2E633F5}"/>
            </a:ext>
          </a:extLst>
        </xdr:cNvPr>
        <xdr:cNvSpPr txBox="1"/>
      </xdr:nvSpPr>
      <xdr:spPr>
        <a:xfrm>
          <a:off x="6034786" y="6617335"/>
          <a:ext cx="749300" cy="355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6541BB0A-3C6A-4CA7-B587-ACA6D5508031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342646</xdr:colOff>
      <xdr:row>1</xdr:row>
      <xdr:rowOff>3515995</xdr:rowOff>
    </xdr:from>
    <xdr:to>
      <xdr:col>10</xdr:col>
      <xdr:colOff>459486</xdr:colOff>
      <xdr:row>2</xdr:row>
      <xdr:rowOff>541655</xdr:rowOff>
    </xdr:to>
    <xdr:sp macro="" textlink="印字値!$C$34">
      <xdr:nvSpPr>
        <xdr:cNvPr id="35" name="付表30">
          <a:extLst>
            <a:ext uri="{FF2B5EF4-FFF2-40B4-BE49-F238E27FC236}">
              <a16:creationId xmlns:a16="http://schemas.microsoft.com/office/drawing/2014/main" id="{C879932D-ED44-449F-267B-5E5ACD119677}"/>
            </a:ext>
          </a:extLst>
        </xdr:cNvPr>
        <xdr:cNvSpPr txBox="1"/>
      </xdr:nvSpPr>
      <xdr:spPr>
        <a:xfrm>
          <a:off x="6034786" y="7074535"/>
          <a:ext cx="749300" cy="584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6D9A5271-E782-4290-A7A0-2D818C38C0A8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342646</xdr:colOff>
      <xdr:row>2</xdr:row>
      <xdr:rowOff>643636</xdr:rowOff>
    </xdr:from>
    <xdr:to>
      <xdr:col>10</xdr:col>
      <xdr:colOff>459486</xdr:colOff>
      <xdr:row>2</xdr:row>
      <xdr:rowOff>1227836</xdr:rowOff>
    </xdr:to>
    <xdr:sp macro="" textlink="印字値!$C$35">
      <xdr:nvSpPr>
        <xdr:cNvPr id="36" name="付表31">
          <a:extLst>
            <a:ext uri="{FF2B5EF4-FFF2-40B4-BE49-F238E27FC236}">
              <a16:creationId xmlns:a16="http://schemas.microsoft.com/office/drawing/2014/main" id="{F374A22D-A3F0-5B20-519D-81FF4928423E}"/>
            </a:ext>
          </a:extLst>
        </xdr:cNvPr>
        <xdr:cNvSpPr txBox="1"/>
      </xdr:nvSpPr>
      <xdr:spPr>
        <a:xfrm>
          <a:off x="6034786" y="7760716"/>
          <a:ext cx="749300" cy="584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A6A906A4-0581-4B40-9CE6-751B929E2C9B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342646</xdr:colOff>
      <xdr:row>2</xdr:row>
      <xdr:rowOff>1329436</xdr:rowOff>
    </xdr:from>
    <xdr:to>
      <xdr:col>10</xdr:col>
      <xdr:colOff>459486</xdr:colOff>
      <xdr:row>2</xdr:row>
      <xdr:rowOff>1685036</xdr:rowOff>
    </xdr:to>
    <xdr:sp macro="" textlink="印字値!$C$36">
      <xdr:nvSpPr>
        <xdr:cNvPr id="37" name="付表32">
          <a:extLst>
            <a:ext uri="{FF2B5EF4-FFF2-40B4-BE49-F238E27FC236}">
              <a16:creationId xmlns:a16="http://schemas.microsoft.com/office/drawing/2014/main" id="{A1D8C7EC-C00D-3F15-8DAC-37F7C6FFA47C}"/>
            </a:ext>
          </a:extLst>
        </xdr:cNvPr>
        <xdr:cNvSpPr txBox="1"/>
      </xdr:nvSpPr>
      <xdr:spPr>
        <a:xfrm>
          <a:off x="6034786" y="8446516"/>
          <a:ext cx="749300" cy="355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EF0D3478-1066-4114-8F0D-58004DFEEECB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342646</xdr:colOff>
      <xdr:row>2</xdr:row>
      <xdr:rowOff>1786636</xdr:rowOff>
    </xdr:from>
    <xdr:to>
      <xdr:col>10</xdr:col>
      <xdr:colOff>459486</xdr:colOff>
      <xdr:row>2</xdr:row>
      <xdr:rowOff>2142236</xdr:rowOff>
    </xdr:to>
    <xdr:sp macro="" textlink="印字値!$C$37">
      <xdr:nvSpPr>
        <xdr:cNvPr id="38" name="付表33">
          <a:extLst>
            <a:ext uri="{FF2B5EF4-FFF2-40B4-BE49-F238E27FC236}">
              <a16:creationId xmlns:a16="http://schemas.microsoft.com/office/drawing/2014/main" id="{5E592D29-900A-C4DF-1F90-4F0946D9746B}"/>
            </a:ext>
          </a:extLst>
        </xdr:cNvPr>
        <xdr:cNvSpPr txBox="1"/>
      </xdr:nvSpPr>
      <xdr:spPr>
        <a:xfrm>
          <a:off x="6034786" y="8903716"/>
          <a:ext cx="749300" cy="355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08E4DC40-DDFB-48AD-8DF2-1CCC08E9637F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20,000,000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11</xdr:col>
      <xdr:colOff>603504</xdr:colOff>
      <xdr:row>3</xdr:row>
      <xdr:rowOff>16764</xdr:rowOff>
    </xdr:to>
    <xdr:pic>
      <xdr:nvPicPr>
        <xdr:cNvPr id="3" name="国税庁公式様式_背景">
          <a:extLst>
            <a:ext uri="{FF2B5EF4-FFF2-40B4-BE49-F238E27FC236}">
              <a16:creationId xmlns:a16="http://schemas.microsoft.com/office/drawing/2014/main" id="{646E2501-4B06-B744-CD43-33C123C0ED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60564" cy="10692384"/>
        </a:xfrm>
        <a:prstGeom prst="rect">
          <a:avLst/>
        </a:prstGeom>
      </xdr:spPr>
    </xdr:pic>
    <xdr:clientData/>
  </xdr:twoCellAnchor>
  <xdr:twoCellAnchor editAs="absolute">
    <xdr:from>
      <xdr:col>6</xdr:col>
      <xdr:colOff>370205</xdr:colOff>
      <xdr:row>0</xdr:row>
      <xdr:rowOff>457200</xdr:rowOff>
    </xdr:from>
    <xdr:to>
      <xdr:col>7</xdr:col>
      <xdr:colOff>626745</xdr:colOff>
      <xdr:row>0</xdr:row>
      <xdr:rowOff>825500</xdr:rowOff>
    </xdr:to>
    <xdr:sp macro="" textlink="印字値!$A$2">
      <xdr:nvSpPr>
        <xdr:cNvPr id="4" name="事業年度">
          <a:extLst>
            <a:ext uri="{FF2B5EF4-FFF2-40B4-BE49-F238E27FC236}">
              <a16:creationId xmlns:a16="http://schemas.microsoft.com/office/drawing/2014/main" id="{8683DEF6-4C89-6AE2-A042-7A05A0E769DE}"/>
            </a:ext>
          </a:extLst>
        </xdr:cNvPr>
        <xdr:cNvSpPr txBox="1"/>
      </xdr:nvSpPr>
      <xdr:spPr>
        <a:xfrm>
          <a:off x="4164965" y="457200"/>
          <a:ext cx="889000" cy="368300"/>
        </a:xfrm>
        <a:prstGeom prst="rect">
          <a:avLst/>
        </a:prstGeom>
        <a:solidFill>
          <a:srgbClr val="FFFFFF"/>
        </a:solidFill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ctr">
          <a:normAutofit/>
        </a:bodyPr>
        <a:lstStyle/>
        <a:p>
          <a:pPr algn="ctr"/>
          <a:fld id="{0A799F20-BF08-4BB2-9813-6701F616827C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ctr"/>
            <a:t>2024.4.1
2025.3.31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8</xdr:col>
      <xdr:colOff>362585</xdr:colOff>
      <xdr:row>0</xdr:row>
      <xdr:rowOff>457200</xdr:rowOff>
    </xdr:from>
    <xdr:to>
      <xdr:col>10</xdr:col>
      <xdr:colOff>494665</xdr:colOff>
      <xdr:row>0</xdr:row>
      <xdr:rowOff>825500</xdr:rowOff>
    </xdr:to>
    <xdr:sp macro="" textlink="印字値!$A$1">
      <xdr:nvSpPr>
        <xdr:cNvPr id="5" name="法人名">
          <a:extLst>
            <a:ext uri="{FF2B5EF4-FFF2-40B4-BE49-F238E27FC236}">
              <a16:creationId xmlns:a16="http://schemas.microsoft.com/office/drawing/2014/main" id="{43ED1501-8E40-1C97-07EA-DDEAA9A7A795}"/>
            </a:ext>
          </a:extLst>
        </xdr:cNvPr>
        <xdr:cNvSpPr txBox="1"/>
      </xdr:nvSpPr>
      <xdr:spPr>
        <a:xfrm>
          <a:off x="5422265" y="457200"/>
          <a:ext cx="1397000" cy="368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ctr">
          <a:normAutofit/>
        </a:bodyPr>
        <a:lstStyle/>
        <a:p>
          <a:pPr algn="l"/>
          <a:fld id="{7BC96AED-4F2D-4DF9-8AB9-A8325668DE8C}" type="TxLink">
            <a:rPr kumimoji="1" lang="en-US" altLang="en-US" sz="51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l"/>
            <a:t> </a:t>
          </a:fld>
          <a:endParaRPr kumimoji="1" lang="ja-JP" altLang="en-US" sz="51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486791</xdr:colOff>
      <xdr:row>0</xdr:row>
      <xdr:rowOff>1079754</xdr:rowOff>
    </xdr:from>
    <xdr:to>
      <xdr:col>5</xdr:col>
      <xdr:colOff>527431</xdr:colOff>
      <xdr:row>0</xdr:row>
      <xdr:rowOff>1460754</xdr:rowOff>
    </xdr:to>
    <xdr:sp macro="" textlink="印字値!$E$5">
      <xdr:nvSpPr>
        <xdr:cNvPr id="6" name="付表二01">
          <a:extLst>
            <a:ext uri="{FF2B5EF4-FFF2-40B4-BE49-F238E27FC236}">
              <a16:creationId xmlns:a16="http://schemas.microsoft.com/office/drawing/2014/main" id="{A31C62E0-FD99-1D47-C767-6C5F23A1CC3C}"/>
            </a:ext>
          </a:extLst>
        </xdr:cNvPr>
        <xdr:cNvSpPr txBox="1"/>
      </xdr:nvSpPr>
      <xdr:spPr>
        <a:xfrm>
          <a:off x="3016631" y="1079754"/>
          <a:ext cx="673100" cy="381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E65A9EBD-7028-4FAF-A22E-B056881DA70F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486791</xdr:colOff>
      <xdr:row>0</xdr:row>
      <xdr:rowOff>1561592</xdr:rowOff>
    </xdr:from>
    <xdr:to>
      <xdr:col>5</xdr:col>
      <xdr:colOff>527431</xdr:colOff>
      <xdr:row>0</xdr:row>
      <xdr:rowOff>1942592</xdr:rowOff>
    </xdr:to>
    <xdr:sp macro="" textlink="印字値!$E$6">
      <xdr:nvSpPr>
        <xdr:cNvPr id="7" name="付表二02">
          <a:extLst>
            <a:ext uri="{FF2B5EF4-FFF2-40B4-BE49-F238E27FC236}">
              <a16:creationId xmlns:a16="http://schemas.microsoft.com/office/drawing/2014/main" id="{D1FCE177-7381-45BE-A56F-AD99FCCFD9FF}"/>
            </a:ext>
          </a:extLst>
        </xdr:cNvPr>
        <xdr:cNvSpPr txBox="1"/>
      </xdr:nvSpPr>
      <xdr:spPr>
        <a:xfrm>
          <a:off x="3016631" y="1561592"/>
          <a:ext cx="673100" cy="381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17863454-8C18-40B0-A82E-971B73E607E0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486791</xdr:colOff>
      <xdr:row>0</xdr:row>
      <xdr:rowOff>2043176</xdr:rowOff>
    </xdr:from>
    <xdr:to>
      <xdr:col>5</xdr:col>
      <xdr:colOff>527431</xdr:colOff>
      <xdr:row>0</xdr:row>
      <xdr:rowOff>2424176</xdr:rowOff>
    </xdr:to>
    <xdr:sp macro="" textlink="印字値!$E$7">
      <xdr:nvSpPr>
        <xdr:cNvPr id="8" name="付表二03">
          <a:extLst>
            <a:ext uri="{FF2B5EF4-FFF2-40B4-BE49-F238E27FC236}">
              <a16:creationId xmlns:a16="http://schemas.microsoft.com/office/drawing/2014/main" id="{C1AC84CE-4CD1-4B68-0BD8-D1B980647379}"/>
            </a:ext>
          </a:extLst>
        </xdr:cNvPr>
        <xdr:cNvSpPr txBox="1"/>
      </xdr:nvSpPr>
      <xdr:spPr>
        <a:xfrm>
          <a:off x="3016631" y="2043176"/>
          <a:ext cx="673100" cy="381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E4B9B79D-1AC9-4EF3-8606-E3C767B9F666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486791</xdr:colOff>
      <xdr:row>0</xdr:row>
      <xdr:rowOff>2524760</xdr:rowOff>
    </xdr:from>
    <xdr:to>
      <xdr:col>5</xdr:col>
      <xdr:colOff>527431</xdr:colOff>
      <xdr:row>0</xdr:row>
      <xdr:rowOff>2905760</xdr:rowOff>
    </xdr:to>
    <xdr:sp macro="" textlink="印字値!$E$8">
      <xdr:nvSpPr>
        <xdr:cNvPr id="9" name="付表二04">
          <a:extLst>
            <a:ext uri="{FF2B5EF4-FFF2-40B4-BE49-F238E27FC236}">
              <a16:creationId xmlns:a16="http://schemas.microsoft.com/office/drawing/2014/main" id="{7618CF0F-FE0E-95D2-D5E2-5A036F9B7DA6}"/>
            </a:ext>
          </a:extLst>
        </xdr:cNvPr>
        <xdr:cNvSpPr txBox="1"/>
      </xdr:nvSpPr>
      <xdr:spPr>
        <a:xfrm>
          <a:off x="3016631" y="2524760"/>
          <a:ext cx="673100" cy="381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A06C5EBB-B113-4B89-B0ED-D9C474BF0A9E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486791</xdr:colOff>
      <xdr:row>0</xdr:row>
      <xdr:rowOff>3006344</xdr:rowOff>
    </xdr:from>
    <xdr:to>
      <xdr:col>5</xdr:col>
      <xdr:colOff>527431</xdr:colOff>
      <xdr:row>0</xdr:row>
      <xdr:rowOff>3387344</xdr:rowOff>
    </xdr:to>
    <xdr:sp macro="" textlink="印字値!$E$9">
      <xdr:nvSpPr>
        <xdr:cNvPr id="10" name="付表二05">
          <a:extLst>
            <a:ext uri="{FF2B5EF4-FFF2-40B4-BE49-F238E27FC236}">
              <a16:creationId xmlns:a16="http://schemas.microsoft.com/office/drawing/2014/main" id="{FEC05C2C-3374-097C-860B-7CD222A30DC9}"/>
            </a:ext>
          </a:extLst>
        </xdr:cNvPr>
        <xdr:cNvSpPr txBox="1"/>
      </xdr:nvSpPr>
      <xdr:spPr>
        <a:xfrm>
          <a:off x="3016631" y="3006344"/>
          <a:ext cx="673100" cy="381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CB937212-4797-446D-9E16-67A9E75AFBAD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426466</xdr:colOff>
      <xdr:row>0</xdr:row>
      <xdr:rowOff>1079754</xdr:rowOff>
    </xdr:from>
    <xdr:to>
      <xdr:col>10</xdr:col>
      <xdr:colOff>467106</xdr:colOff>
      <xdr:row>0</xdr:row>
      <xdr:rowOff>1460754</xdr:rowOff>
    </xdr:to>
    <xdr:sp macro="" textlink="印字値!$E$10">
      <xdr:nvSpPr>
        <xdr:cNvPr id="11" name="付表二06">
          <a:extLst>
            <a:ext uri="{FF2B5EF4-FFF2-40B4-BE49-F238E27FC236}">
              <a16:creationId xmlns:a16="http://schemas.microsoft.com/office/drawing/2014/main" id="{C4C92007-77CA-8236-D508-D032C847D52C}"/>
            </a:ext>
          </a:extLst>
        </xdr:cNvPr>
        <xdr:cNvSpPr txBox="1"/>
      </xdr:nvSpPr>
      <xdr:spPr>
        <a:xfrm>
          <a:off x="6118606" y="1079754"/>
          <a:ext cx="673100" cy="381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5D43B3A4-0B2E-4E78-9B80-F7FF5D39F51F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426466</xdr:colOff>
      <xdr:row>0</xdr:row>
      <xdr:rowOff>1561592</xdr:rowOff>
    </xdr:from>
    <xdr:to>
      <xdr:col>10</xdr:col>
      <xdr:colOff>467106</xdr:colOff>
      <xdr:row>0</xdr:row>
      <xdr:rowOff>1942592</xdr:rowOff>
    </xdr:to>
    <xdr:sp macro="" textlink="印字値!$E$11">
      <xdr:nvSpPr>
        <xdr:cNvPr id="12" name="付表二07">
          <a:extLst>
            <a:ext uri="{FF2B5EF4-FFF2-40B4-BE49-F238E27FC236}">
              <a16:creationId xmlns:a16="http://schemas.microsoft.com/office/drawing/2014/main" id="{BA54DA78-245D-53A5-CF50-0A41599E2A60}"/>
            </a:ext>
          </a:extLst>
        </xdr:cNvPr>
        <xdr:cNvSpPr txBox="1"/>
      </xdr:nvSpPr>
      <xdr:spPr>
        <a:xfrm>
          <a:off x="6118606" y="1561592"/>
          <a:ext cx="673100" cy="381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245D1C72-E11E-4C9B-9DA8-E6D020D3D630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426466</xdr:colOff>
      <xdr:row>0</xdr:row>
      <xdr:rowOff>2043176</xdr:rowOff>
    </xdr:from>
    <xdr:to>
      <xdr:col>10</xdr:col>
      <xdr:colOff>467106</xdr:colOff>
      <xdr:row>0</xdr:row>
      <xdr:rowOff>2424176</xdr:rowOff>
    </xdr:to>
    <xdr:sp macro="" textlink="印字値!$E$12">
      <xdr:nvSpPr>
        <xdr:cNvPr id="13" name="付表二08">
          <a:extLst>
            <a:ext uri="{FF2B5EF4-FFF2-40B4-BE49-F238E27FC236}">
              <a16:creationId xmlns:a16="http://schemas.microsoft.com/office/drawing/2014/main" id="{B5AADA7D-B53B-3344-50A7-85E823786540}"/>
            </a:ext>
          </a:extLst>
        </xdr:cNvPr>
        <xdr:cNvSpPr txBox="1"/>
      </xdr:nvSpPr>
      <xdr:spPr>
        <a:xfrm>
          <a:off x="6118606" y="2043176"/>
          <a:ext cx="673100" cy="381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38429749-EA28-4A97-8804-CCCBA3C5A8AE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426466</xdr:colOff>
      <xdr:row>0</xdr:row>
      <xdr:rowOff>2524760</xdr:rowOff>
    </xdr:from>
    <xdr:to>
      <xdr:col>10</xdr:col>
      <xdr:colOff>467106</xdr:colOff>
      <xdr:row>0</xdr:row>
      <xdr:rowOff>2905760</xdr:rowOff>
    </xdr:to>
    <xdr:sp macro="" textlink="印字値!$E$13">
      <xdr:nvSpPr>
        <xdr:cNvPr id="14" name="付表二09">
          <a:extLst>
            <a:ext uri="{FF2B5EF4-FFF2-40B4-BE49-F238E27FC236}">
              <a16:creationId xmlns:a16="http://schemas.microsoft.com/office/drawing/2014/main" id="{DD06DD47-F61F-DFA1-2111-E1928EF2B202}"/>
            </a:ext>
          </a:extLst>
        </xdr:cNvPr>
        <xdr:cNvSpPr txBox="1"/>
      </xdr:nvSpPr>
      <xdr:spPr>
        <a:xfrm>
          <a:off x="6118606" y="2524760"/>
          <a:ext cx="673100" cy="381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021E9C88-69A5-45DF-994F-AFB1EBF1D13F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426466</xdr:colOff>
      <xdr:row>0</xdr:row>
      <xdr:rowOff>3006344</xdr:rowOff>
    </xdr:from>
    <xdr:to>
      <xdr:col>10</xdr:col>
      <xdr:colOff>467106</xdr:colOff>
      <xdr:row>0</xdr:row>
      <xdr:rowOff>3387344</xdr:rowOff>
    </xdr:to>
    <xdr:sp macro="" textlink="印字値!$E$14">
      <xdr:nvSpPr>
        <xdr:cNvPr id="15" name="付表二10">
          <a:extLst>
            <a:ext uri="{FF2B5EF4-FFF2-40B4-BE49-F238E27FC236}">
              <a16:creationId xmlns:a16="http://schemas.microsoft.com/office/drawing/2014/main" id="{EE78F49A-DD98-2FAC-3C1A-5AA7BB499D5B}"/>
            </a:ext>
          </a:extLst>
        </xdr:cNvPr>
        <xdr:cNvSpPr txBox="1"/>
      </xdr:nvSpPr>
      <xdr:spPr>
        <a:xfrm>
          <a:off x="6118606" y="3006344"/>
          <a:ext cx="673100" cy="381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7D91F407-7358-4356-8F42-3963D6601DD9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486791</xdr:colOff>
      <xdr:row>1</xdr:row>
      <xdr:rowOff>109601</xdr:rowOff>
    </xdr:from>
    <xdr:to>
      <xdr:col>5</xdr:col>
      <xdr:colOff>527431</xdr:colOff>
      <xdr:row>1</xdr:row>
      <xdr:rowOff>693801</xdr:rowOff>
    </xdr:to>
    <xdr:sp macro="" textlink="印字値!$E$15">
      <xdr:nvSpPr>
        <xdr:cNvPr id="16" name="付表二11">
          <a:extLst>
            <a:ext uri="{FF2B5EF4-FFF2-40B4-BE49-F238E27FC236}">
              <a16:creationId xmlns:a16="http://schemas.microsoft.com/office/drawing/2014/main" id="{DC8F0E05-F9ED-0786-8671-CE0ED4B75477}"/>
            </a:ext>
          </a:extLst>
        </xdr:cNvPr>
        <xdr:cNvSpPr txBox="1"/>
      </xdr:nvSpPr>
      <xdr:spPr>
        <a:xfrm>
          <a:off x="3016631" y="3668141"/>
          <a:ext cx="673100" cy="584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3C5223AB-8DA6-45DD-85EA-93210A08D33F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486791</xdr:colOff>
      <xdr:row>1</xdr:row>
      <xdr:rowOff>795401</xdr:rowOff>
    </xdr:from>
    <xdr:to>
      <xdr:col>5</xdr:col>
      <xdr:colOff>527431</xdr:colOff>
      <xdr:row>1</xdr:row>
      <xdr:rowOff>1379601</xdr:rowOff>
    </xdr:to>
    <xdr:sp macro="" textlink="印字値!$E$16">
      <xdr:nvSpPr>
        <xdr:cNvPr id="17" name="付表二12">
          <a:extLst>
            <a:ext uri="{FF2B5EF4-FFF2-40B4-BE49-F238E27FC236}">
              <a16:creationId xmlns:a16="http://schemas.microsoft.com/office/drawing/2014/main" id="{7C3CFB63-5955-E4C2-3948-57EB24AE34A4}"/>
            </a:ext>
          </a:extLst>
        </xdr:cNvPr>
        <xdr:cNvSpPr txBox="1"/>
      </xdr:nvSpPr>
      <xdr:spPr>
        <a:xfrm>
          <a:off x="3016631" y="4353941"/>
          <a:ext cx="673100" cy="584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5783CB30-D9DA-4687-BD43-AE8707E2FDE3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486791</xdr:colOff>
      <xdr:row>1</xdr:row>
      <xdr:rowOff>1481201</xdr:rowOff>
    </xdr:from>
    <xdr:to>
      <xdr:col>5</xdr:col>
      <xdr:colOff>527431</xdr:colOff>
      <xdr:row>1</xdr:row>
      <xdr:rowOff>2065401</xdr:rowOff>
    </xdr:to>
    <xdr:sp macro="" textlink="印字値!$E$17">
      <xdr:nvSpPr>
        <xdr:cNvPr id="18" name="付表二13">
          <a:extLst>
            <a:ext uri="{FF2B5EF4-FFF2-40B4-BE49-F238E27FC236}">
              <a16:creationId xmlns:a16="http://schemas.microsoft.com/office/drawing/2014/main" id="{2A7CC590-1278-D00A-AC4F-7EAE7E87E0E5}"/>
            </a:ext>
          </a:extLst>
        </xdr:cNvPr>
        <xdr:cNvSpPr txBox="1"/>
      </xdr:nvSpPr>
      <xdr:spPr>
        <a:xfrm>
          <a:off x="3016631" y="5039741"/>
          <a:ext cx="673100" cy="584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5517BD1F-5304-48FE-BE3C-DBC9BF8B9600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426466</xdr:colOff>
      <xdr:row>1</xdr:row>
      <xdr:rowOff>109601</xdr:rowOff>
    </xdr:from>
    <xdr:to>
      <xdr:col>10</xdr:col>
      <xdr:colOff>467106</xdr:colOff>
      <xdr:row>1</xdr:row>
      <xdr:rowOff>465201</xdr:rowOff>
    </xdr:to>
    <xdr:sp macro="" textlink="印字値!$E$18">
      <xdr:nvSpPr>
        <xdr:cNvPr id="19" name="付表二14">
          <a:extLst>
            <a:ext uri="{FF2B5EF4-FFF2-40B4-BE49-F238E27FC236}">
              <a16:creationId xmlns:a16="http://schemas.microsoft.com/office/drawing/2014/main" id="{3FC92E00-3F16-24A4-AE58-9C9D153DD337}"/>
            </a:ext>
          </a:extLst>
        </xdr:cNvPr>
        <xdr:cNvSpPr txBox="1"/>
      </xdr:nvSpPr>
      <xdr:spPr>
        <a:xfrm>
          <a:off x="6118606" y="3668141"/>
          <a:ext cx="673100" cy="355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CAA33779-20A7-4200-B0BD-E43B37553D9C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426466</xdr:colOff>
      <xdr:row>1</xdr:row>
      <xdr:rowOff>566801</xdr:rowOff>
    </xdr:from>
    <xdr:to>
      <xdr:col>10</xdr:col>
      <xdr:colOff>467106</xdr:colOff>
      <xdr:row>1</xdr:row>
      <xdr:rowOff>922401</xdr:rowOff>
    </xdr:to>
    <xdr:sp macro="" textlink="印字値!$E$19">
      <xdr:nvSpPr>
        <xdr:cNvPr id="20" name="付表二15">
          <a:extLst>
            <a:ext uri="{FF2B5EF4-FFF2-40B4-BE49-F238E27FC236}">
              <a16:creationId xmlns:a16="http://schemas.microsoft.com/office/drawing/2014/main" id="{ADE25CE0-2D8B-BCFE-6926-954802253F9B}"/>
            </a:ext>
          </a:extLst>
        </xdr:cNvPr>
        <xdr:cNvSpPr txBox="1"/>
      </xdr:nvSpPr>
      <xdr:spPr>
        <a:xfrm>
          <a:off x="6118606" y="4125341"/>
          <a:ext cx="673100" cy="355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67EC8A01-CC8C-4F7E-9E6C-B65615A3BFE4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426466</xdr:colOff>
      <xdr:row>1</xdr:row>
      <xdr:rowOff>1024001</xdr:rowOff>
    </xdr:from>
    <xdr:to>
      <xdr:col>10</xdr:col>
      <xdr:colOff>467106</xdr:colOff>
      <xdr:row>1</xdr:row>
      <xdr:rowOff>1379601</xdr:rowOff>
    </xdr:to>
    <xdr:sp macro="" textlink="印字値!$E$20">
      <xdr:nvSpPr>
        <xdr:cNvPr id="21" name="付表二16">
          <a:extLst>
            <a:ext uri="{FF2B5EF4-FFF2-40B4-BE49-F238E27FC236}">
              <a16:creationId xmlns:a16="http://schemas.microsoft.com/office/drawing/2014/main" id="{AC2AED64-5050-AF6A-ABAB-85A90EAF69A0}"/>
            </a:ext>
          </a:extLst>
        </xdr:cNvPr>
        <xdr:cNvSpPr txBox="1"/>
      </xdr:nvSpPr>
      <xdr:spPr>
        <a:xfrm>
          <a:off x="6118606" y="4582541"/>
          <a:ext cx="673100" cy="355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EB0DEF60-90FE-4155-8C79-9777E36F86B6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426466</xdr:colOff>
      <xdr:row>1</xdr:row>
      <xdr:rowOff>1481201</xdr:rowOff>
    </xdr:from>
    <xdr:to>
      <xdr:col>10</xdr:col>
      <xdr:colOff>467106</xdr:colOff>
      <xdr:row>1</xdr:row>
      <xdr:rowOff>2065401</xdr:rowOff>
    </xdr:to>
    <xdr:sp macro="" textlink="印字値!$E$21">
      <xdr:nvSpPr>
        <xdr:cNvPr id="22" name="付表二17">
          <a:extLst>
            <a:ext uri="{FF2B5EF4-FFF2-40B4-BE49-F238E27FC236}">
              <a16:creationId xmlns:a16="http://schemas.microsoft.com/office/drawing/2014/main" id="{A25864D4-97D7-6B94-715D-BE01BD80426B}"/>
            </a:ext>
          </a:extLst>
        </xdr:cNvPr>
        <xdr:cNvSpPr txBox="1"/>
      </xdr:nvSpPr>
      <xdr:spPr>
        <a:xfrm>
          <a:off x="6118606" y="5039741"/>
          <a:ext cx="673100" cy="584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E4B1FF8E-7452-4E31-96C5-08793ADE4DD2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486791</xdr:colOff>
      <xdr:row>1</xdr:row>
      <xdr:rowOff>2347087</xdr:rowOff>
    </xdr:from>
    <xdr:to>
      <xdr:col>5</xdr:col>
      <xdr:colOff>527431</xdr:colOff>
      <xdr:row>1</xdr:row>
      <xdr:rowOff>2728087</xdr:rowOff>
    </xdr:to>
    <xdr:sp macro="" textlink="印字値!$E$22">
      <xdr:nvSpPr>
        <xdr:cNvPr id="23" name="付表二18">
          <a:extLst>
            <a:ext uri="{FF2B5EF4-FFF2-40B4-BE49-F238E27FC236}">
              <a16:creationId xmlns:a16="http://schemas.microsoft.com/office/drawing/2014/main" id="{C2A38AB7-38A4-F628-0CF6-736E39109C9F}"/>
            </a:ext>
          </a:extLst>
        </xdr:cNvPr>
        <xdr:cNvSpPr txBox="1"/>
      </xdr:nvSpPr>
      <xdr:spPr>
        <a:xfrm>
          <a:off x="3016631" y="5905627"/>
          <a:ext cx="673100" cy="381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35D8A2D6-662E-4A0C-9B74-381321F2CB8D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486791</xdr:colOff>
      <xdr:row>1</xdr:row>
      <xdr:rowOff>2828671</xdr:rowOff>
    </xdr:from>
    <xdr:to>
      <xdr:col>5</xdr:col>
      <xdr:colOff>527431</xdr:colOff>
      <xdr:row>1</xdr:row>
      <xdr:rowOff>3209671</xdr:rowOff>
    </xdr:to>
    <xdr:sp macro="" textlink="印字値!$E$23">
      <xdr:nvSpPr>
        <xdr:cNvPr id="24" name="付表二19">
          <a:extLst>
            <a:ext uri="{FF2B5EF4-FFF2-40B4-BE49-F238E27FC236}">
              <a16:creationId xmlns:a16="http://schemas.microsoft.com/office/drawing/2014/main" id="{D85A9384-71F2-C985-DDAE-E376A2B1FA72}"/>
            </a:ext>
          </a:extLst>
        </xdr:cNvPr>
        <xdr:cNvSpPr txBox="1"/>
      </xdr:nvSpPr>
      <xdr:spPr>
        <a:xfrm>
          <a:off x="3016631" y="6387211"/>
          <a:ext cx="673100" cy="381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0ED715F6-B071-4F3D-A33C-1A6388F0D6D5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486791</xdr:colOff>
      <xdr:row>1</xdr:row>
      <xdr:rowOff>3310255</xdr:rowOff>
    </xdr:from>
    <xdr:to>
      <xdr:col>5</xdr:col>
      <xdr:colOff>527431</xdr:colOff>
      <xdr:row>2</xdr:row>
      <xdr:rowOff>132715</xdr:rowOff>
    </xdr:to>
    <xdr:sp macro="" textlink="印字値!$E$24">
      <xdr:nvSpPr>
        <xdr:cNvPr id="25" name="付表二20">
          <a:extLst>
            <a:ext uri="{FF2B5EF4-FFF2-40B4-BE49-F238E27FC236}">
              <a16:creationId xmlns:a16="http://schemas.microsoft.com/office/drawing/2014/main" id="{BF0AA0B7-4099-3E77-134B-903819577406}"/>
            </a:ext>
          </a:extLst>
        </xdr:cNvPr>
        <xdr:cNvSpPr txBox="1"/>
      </xdr:nvSpPr>
      <xdr:spPr>
        <a:xfrm>
          <a:off x="3016631" y="6868795"/>
          <a:ext cx="673100" cy="381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15071717-291F-4DCC-AF2A-AF1E00EA326D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486791</xdr:colOff>
      <xdr:row>2</xdr:row>
      <xdr:rowOff>233299</xdr:rowOff>
    </xdr:from>
    <xdr:to>
      <xdr:col>5</xdr:col>
      <xdr:colOff>527431</xdr:colOff>
      <xdr:row>2</xdr:row>
      <xdr:rowOff>614299</xdr:rowOff>
    </xdr:to>
    <xdr:sp macro="" textlink="印字値!$E$25">
      <xdr:nvSpPr>
        <xdr:cNvPr id="26" name="付表二21">
          <a:extLst>
            <a:ext uri="{FF2B5EF4-FFF2-40B4-BE49-F238E27FC236}">
              <a16:creationId xmlns:a16="http://schemas.microsoft.com/office/drawing/2014/main" id="{2ADA477D-1615-9B88-4EC9-6D79B4277694}"/>
            </a:ext>
          </a:extLst>
        </xdr:cNvPr>
        <xdr:cNvSpPr txBox="1"/>
      </xdr:nvSpPr>
      <xdr:spPr>
        <a:xfrm>
          <a:off x="3016631" y="7350379"/>
          <a:ext cx="673100" cy="381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4E02A574-BECA-4392-BCD5-1EB7B7B4194D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486791</xdr:colOff>
      <xdr:row>2</xdr:row>
      <xdr:rowOff>714883</xdr:rowOff>
    </xdr:from>
    <xdr:to>
      <xdr:col>5</xdr:col>
      <xdr:colOff>527431</xdr:colOff>
      <xdr:row>2</xdr:row>
      <xdr:rowOff>1083183</xdr:rowOff>
    </xdr:to>
    <xdr:sp macro="" textlink="印字値!$E$26">
      <xdr:nvSpPr>
        <xdr:cNvPr id="27" name="付表二22">
          <a:extLst>
            <a:ext uri="{FF2B5EF4-FFF2-40B4-BE49-F238E27FC236}">
              <a16:creationId xmlns:a16="http://schemas.microsoft.com/office/drawing/2014/main" id="{7EE6B00E-9CC8-7CDD-40CE-D8F769D261AB}"/>
            </a:ext>
          </a:extLst>
        </xdr:cNvPr>
        <xdr:cNvSpPr txBox="1"/>
      </xdr:nvSpPr>
      <xdr:spPr>
        <a:xfrm>
          <a:off x="3016631" y="7831963"/>
          <a:ext cx="673100" cy="368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6F7A5AFE-4C78-4931-A7F8-05C421B0427A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426466</xdr:colOff>
      <xdr:row>1</xdr:row>
      <xdr:rowOff>2347087</xdr:rowOff>
    </xdr:from>
    <xdr:to>
      <xdr:col>10</xdr:col>
      <xdr:colOff>467106</xdr:colOff>
      <xdr:row>1</xdr:row>
      <xdr:rowOff>2842387</xdr:rowOff>
    </xdr:to>
    <xdr:sp macro="" textlink="印字値!$E$27">
      <xdr:nvSpPr>
        <xdr:cNvPr id="28" name="付表二23">
          <a:extLst>
            <a:ext uri="{FF2B5EF4-FFF2-40B4-BE49-F238E27FC236}">
              <a16:creationId xmlns:a16="http://schemas.microsoft.com/office/drawing/2014/main" id="{EC1B9852-B266-42EA-C5C5-A5A5676154D7}"/>
            </a:ext>
          </a:extLst>
        </xdr:cNvPr>
        <xdr:cNvSpPr txBox="1"/>
      </xdr:nvSpPr>
      <xdr:spPr>
        <a:xfrm>
          <a:off x="6118606" y="5905627"/>
          <a:ext cx="673100" cy="495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67283670-DC17-4453-87A7-2982584173B8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426466</xdr:colOff>
      <xdr:row>1</xdr:row>
      <xdr:rowOff>2949067</xdr:rowOff>
    </xdr:from>
    <xdr:to>
      <xdr:col>10</xdr:col>
      <xdr:colOff>467106</xdr:colOff>
      <xdr:row>1</xdr:row>
      <xdr:rowOff>3444367</xdr:rowOff>
    </xdr:to>
    <xdr:sp macro="" textlink="印字値!$E$28">
      <xdr:nvSpPr>
        <xdr:cNvPr id="29" name="付表二24">
          <a:extLst>
            <a:ext uri="{FF2B5EF4-FFF2-40B4-BE49-F238E27FC236}">
              <a16:creationId xmlns:a16="http://schemas.microsoft.com/office/drawing/2014/main" id="{B0A899B8-5515-9524-FFB8-51DA4788311C}"/>
            </a:ext>
          </a:extLst>
        </xdr:cNvPr>
        <xdr:cNvSpPr txBox="1"/>
      </xdr:nvSpPr>
      <xdr:spPr>
        <a:xfrm>
          <a:off x="6118606" y="6507607"/>
          <a:ext cx="673100" cy="495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9C10C1EC-3BB0-4722-8B74-847DA633AF99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426466</xdr:colOff>
      <xdr:row>1</xdr:row>
      <xdr:rowOff>3551047</xdr:rowOff>
    </xdr:from>
    <xdr:to>
      <xdr:col>10</xdr:col>
      <xdr:colOff>467106</xdr:colOff>
      <xdr:row>2</xdr:row>
      <xdr:rowOff>487807</xdr:rowOff>
    </xdr:to>
    <xdr:sp macro="" textlink="印字値!$E$29">
      <xdr:nvSpPr>
        <xdr:cNvPr id="30" name="付表二25">
          <a:extLst>
            <a:ext uri="{FF2B5EF4-FFF2-40B4-BE49-F238E27FC236}">
              <a16:creationId xmlns:a16="http://schemas.microsoft.com/office/drawing/2014/main" id="{CF7AD1AC-4566-EF45-4962-143A26D19DBE}"/>
            </a:ext>
          </a:extLst>
        </xdr:cNvPr>
        <xdr:cNvSpPr txBox="1"/>
      </xdr:nvSpPr>
      <xdr:spPr>
        <a:xfrm>
          <a:off x="6118606" y="7109587"/>
          <a:ext cx="673100" cy="495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0A889C5A-B6CF-4A4D-988C-B112695FEAE5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426466</xdr:colOff>
      <xdr:row>2</xdr:row>
      <xdr:rowOff>594487</xdr:rowOff>
    </xdr:from>
    <xdr:to>
      <xdr:col>10</xdr:col>
      <xdr:colOff>467106</xdr:colOff>
      <xdr:row>2</xdr:row>
      <xdr:rowOff>1089787</xdr:rowOff>
    </xdr:to>
    <xdr:sp macro="" textlink="印字値!$E$30">
      <xdr:nvSpPr>
        <xdr:cNvPr id="31" name="付表二26">
          <a:extLst>
            <a:ext uri="{FF2B5EF4-FFF2-40B4-BE49-F238E27FC236}">
              <a16:creationId xmlns:a16="http://schemas.microsoft.com/office/drawing/2014/main" id="{7CF3A5E4-361A-36B2-1F58-CA4C65EE7A02}"/>
            </a:ext>
          </a:extLst>
        </xdr:cNvPr>
        <xdr:cNvSpPr txBox="1"/>
      </xdr:nvSpPr>
      <xdr:spPr>
        <a:xfrm>
          <a:off x="6118606" y="7711567"/>
          <a:ext cx="673100" cy="495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49166525-250F-4103-9C5C-5D4744B175C1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ta.go.jp/law/tsutatsu/kihon/hojin/16/16_01_02.htm" TargetMode="External"/><Relationship Id="rId3" Type="http://schemas.openxmlformats.org/officeDocument/2006/relationships/hyperlink" Target="https://www.nta.go.jp/taxes/tetsuzuki/shinsei/annai/hojin/shinkoku/itiran2024/pdf/03%2801%29-ki.pdf" TargetMode="External"/><Relationship Id="rId7" Type="http://schemas.openxmlformats.org/officeDocument/2006/relationships/hyperlink" Target="https://www.nta.go.jp/taxes/tetsuzuki/shinsei/annai/hojin/shinkoku/itiran2024/pdf/03%2801%29-f2-ki.pdf" TargetMode="External"/><Relationship Id="rId2" Type="http://schemas.openxmlformats.org/officeDocument/2006/relationships/hyperlink" Target="https://www.nta.go.jp/taxes/tetsuzuki/shinsei/annai/hojin/shinkoku/itiran2024/pdf/03%2801%29.pdf" TargetMode="External"/><Relationship Id="rId1" Type="http://schemas.openxmlformats.org/officeDocument/2006/relationships/hyperlink" Target="https://www.nta.go.jp/taxes/tetsuzuki/shinsei/annai/hojin/shinkoku/itiran2024/01.htm" TargetMode="External"/><Relationship Id="rId6" Type="http://schemas.openxmlformats.org/officeDocument/2006/relationships/hyperlink" Target="https://www.nta.go.jp/taxes/tetsuzuki/shinsei/annai/hojin/shinkoku/itiran2024/pdf/03%2801%29-f2.pdf" TargetMode="External"/><Relationship Id="rId11" Type="http://schemas.openxmlformats.org/officeDocument/2006/relationships/printerSettings" Target="../printerSettings/printerSettings10.bin"/><Relationship Id="rId5" Type="http://schemas.openxmlformats.org/officeDocument/2006/relationships/hyperlink" Target="https://www.nta.go.jp/taxes/tetsuzuki/shinsei/annai/hojin/shinkoku/itiran2024/pdf/03%2801%29-f1-ki.pdf" TargetMode="External"/><Relationship Id="rId10" Type="http://schemas.openxmlformats.org/officeDocument/2006/relationships/hyperlink" Target="https://laws.e-gov.go.jp/law/337AC0000000066" TargetMode="External"/><Relationship Id="rId4" Type="http://schemas.openxmlformats.org/officeDocument/2006/relationships/hyperlink" Target="https://www.nta.go.jp/taxes/tetsuzuki/shinsei/annai/hojin/shinkoku/itiran2024/pdf/03%2801%29-f1.pdf" TargetMode="External"/><Relationship Id="rId9" Type="http://schemas.openxmlformats.org/officeDocument/2006/relationships/hyperlink" Target="https://laws.e-gov.go.jp/law/340AC00000000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34B4E-5C42-4CEC-9564-C22020B475B5}">
  <sheetPr>
    <tabColor rgb="FF17365D"/>
    <pageSetUpPr fitToPage="1"/>
  </sheetPr>
  <dimension ref="A1:H40"/>
  <sheetViews>
    <sheetView showGridLines="0" tabSelected="1" zoomScale="90" zoomScaleNormal="90" workbookViewId="0">
      <selection sqref="A1:H1"/>
    </sheetView>
  </sheetViews>
  <sheetFormatPr defaultRowHeight="18"/>
  <cols>
    <col min="1" max="8" width="15.69921875" customWidth="1"/>
  </cols>
  <sheetData>
    <row r="1" spans="1:8" ht="28.8">
      <c r="A1" s="38" t="s">
        <v>371</v>
      </c>
      <c r="B1" s="3"/>
      <c r="C1" s="3"/>
      <c r="D1" s="3"/>
      <c r="E1" s="3"/>
      <c r="F1" s="3"/>
      <c r="G1" s="3"/>
      <c r="H1" s="3"/>
    </row>
    <row r="2" spans="1:8">
      <c r="A2" s="39" t="s">
        <v>372</v>
      </c>
      <c r="B2" s="3"/>
      <c r="C2" s="3"/>
      <c r="D2" s="3"/>
      <c r="E2" s="3"/>
      <c r="F2" s="3"/>
      <c r="G2" s="3"/>
      <c r="H2" s="3"/>
    </row>
    <row r="3" spans="1:8">
      <c r="A3" s="5"/>
      <c r="B3" s="5"/>
      <c r="C3" s="5"/>
      <c r="D3" s="5"/>
      <c r="E3" s="5"/>
      <c r="F3" s="5"/>
      <c r="G3" s="5"/>
      <c r="H3" s="5"/>
    </row>
    <row r="4" spans="1:8" ht="22.95" customHeight="1">
      <c r="A4" s="6" t="s">
        <v>373</v>
      </c>
      <c r="B4" s="6"/>
      <c r="C4" s="6"/>
      <c r="D4" s="6"/>
      <c r="E4" s="6"/>
      <c r="F4" s="6"/>
      <c r="G4" s="6"/>
      <c r="H4" s="6"/>
    </row>
    <row r="5" spans="1:8">
      <c r="A5" s="8" t="s">
        <v>374</v>
      </c>
      <c r="B5" s="8"/>
      <c r="C5" s="8"/>
      <c r="D5" s="8"/>
      <c r="E5" s="8"/>
      <c r="F5" s="40">
        <f>out_retained_tax</f>
        <v>0</v>
      </c>
      <c r="G5" s="41"/>
      <c r="H5" s="41"/>
    </row>
    <row r="6" spans="1:8">
      <c r="A6" s="8" t="s">
        <v>375</v>
      </c>
      <c r="B6" s="8"/>
      <c r="C6" s="8"/>
      <c r="D6" s="8"/>
      <c r="E6" s="8"/>
      <c r="F6" s="40">
        <f>out_taxable_retained</f>
        <v>0</v>
      </c>
      <c r="G6" s="41"/>
      <c r="H6" s="41"/>
    </row>
    <row r="7" spans="1:8">
      <c r="A7" s="8" t="s">
        <v>376</v>
      </c>
      <c r="B7" s="8"/>
      <c r="C7" s="8"/>
      <c r="D7" s="8"/>
      <c r="E7" s="8"/>
      <c r="F7" s="40">
        <f>out_retention_allowance</f>
        <v>20000000</v>
      </c>
      <c r="G7" s="41"/>
      <c r="H7" s="41"/>
    </row>
    <row r="8" spans="1:8">
      <c r="A8" s="8" t="s">
        <v>377</v>
      </c>
      <c r="B8" s="8"/>
      <c r="C8" s="8"/>
      <c r="D8" s="8"/>
      <c r="E8" s="8"/>
      <c r="F8" s="40">
        <f>out_municipal_tax</f>
        <v>0</v>
      </c>
      <c r="G8" s="41"/>
      <c r="H8" s="41"/>
    </row>
    <row r="9" spans="1:8">
      <c r="A9" s="5"/>
      <c r="B9" s="5"/>
      <c r="C9" s="5"/>
      <c r="D9" s="5"/>
      <c r="E9" s="5"/>
      <c r="F9" s="5"/>
      <c r="G9" s="5"/>
      <c r="H9" s="5"/>
    </row>
    <row r="10" spans="1:8" ht="22.95" customHeight="1">
      <c r="A10" s="6" t="s">
        <v>378</v>
      </c>
      <c r="B10" s="6"/>
      <c r="C10" s="6"/>
      <c r="D10" s="6"/>
      <c r="E10" s="6"/>
      <c r="F10" s="6"/>
      <c r="G10" s="6"/>
      <c r="H10" s="6"/>
    </row>
    <row r="11" spans="1:8">
      <c r="A11" s="8" t="s">
        <v>379</v>
      </c>
      <c r="B11" s="8"/>
      <c r="C11" s="8"/>
      <c r="D11" s="8"/>
      <c r="E11" s="8"/>
      <c r="F11" s="12" t="str">
        <f>IF(cfg_applicable,"OK","要確認：開始日・終了日がこの年度版の対象外")</f>
        <v>OK</v>
      </c>
      <c r="G11" s="12"/>
      <c r="H11" s="12"/>
    </row>
    <row r="12" spans="1:8">
      <c r="A12" s="8" t="s">
        <v>380</v>
      </c>
      <c r="B12" s="8"/>
      <c r="C12" s="8"/>
      <c r="D12" s="8"/>
      <c r="E12" s="8"/>
      <c r="F12" s="12" t="str">
        <f>IF(inp_special="はい","OK","対象外：別表二の判定を確認")</f>
        <v>OK</v>
      </c>
      <c r="G12" s="12"/>
      <c r="H12" s="12"/>
    </row>
    <row r="13" spans="1:8">
      <c r="A13" s="8" t="s">
        <v>381</v>
      </c>
      <c r="B13" s="8"/>
      <c r="C13" s="8"/>
      <c r="D13" s="8"/>
      <c r="E13" s="8"/>
      <c r="F13" s="12" t="str">
        <f>IF(inp_group&lt;&gt;"はい","非通算法人",IF(cfg_f2_input_valid,"付表二を計算・整合OK","要確認：付表二21・23欄の控除前合計額"))</f>
        <v>非通算法人</v>
      </c>
      <c r="G13" s="12"/>
      <c r="H13" s="12"/>
    </row>
    <row r="14" spans="1:8">
      <c r="A14" s="8" t="s">
        <v>382</v>
      </c>
      <c r="B14" s="8"/>
      <c r="C14" s="8"/>
      <c r="D14" s="8"/>
      <c r="E14" s="8"/>
      <c r="F14" s="12" t="str">
        <f>IF(AND(inp_months&gt;=1,inp_months&lt;=12),"OK："&amp;inp_months&amp;"か月","要確認")</f>
        <v>OK：12か月</v>
      </c>
      <c r="G14" s="12"/>
      <c r="H14" s="12"/>
    </row>
    <row r="15" spans="1:8">
      <c r="A15" s="5"/>
      <c r="B15" s="5"/>
      <c r="C15" s="5"/>
      <c r="D15" s="5"/>
      <c r="E15" s="5"/>
      <c r="F15" s="5"/>
      <c r="G15" s="5"/>
      <c r="H15" s="5"/>
    </row>
    <row r="16" spans="1:8" ht="22.95" customHeight="1">
      <c r="A16" s="42" t="s">
        <v>383</v>
      </c>
      <c r="B16" s="42"/>
      <c r="C16" s="42"/>
      <c r="D16" s="42"/>
      <c r="E16" s="42"/>
      <c r="F16" s="42"/>
      <c r="G16" s="42"/>
      <c r="H16" s="42"/>
    </row>
    <row r="17" spans="1:8" ht="28.05" customHeight="1">
      <c r="A17" s="32" t="s">
        <v>384</v>
      </c>
      <c r="B17" s="32"/>
      <c r="C17" s="32"/>
      <c r="D17" s="32"/>
      <c r="E17" s="32"/>
      <c r="F17" s="32"/>
      <c r="G17" s="32"/>
      <c r="H17" s="32"/>
    </row>
    <row r="18" spans="1:8" ht="28.05" customHeight="1">
      <c r="A18" s="32" t="s">
        <v>385</v>
      </c>
      <c r="B18" s="32"/>
      <c r="C18" s="32"/>
      <c r="D18" s="32"/>
      <c r="E18" s="32"/>
      <c r="F18" s="32"/>
      <c r="G18" s="32"/>
      <c r="H18" s="32"/>
    </row>
    <row r="19" spans="1:8" ht="28.05" customHeight="1">
      <c r="A19" s="32" t="s">
        <v>386</v>
      </c>
      <c r="B19" s="32"/>
      <c r="C19" s="32"/>
      <c r="D19" s="32"/>
      <c r="E19" s="32"/>
      <c r="F19" s="32"/>
      <c r="G19" s="32"/>
      <c r="H19" s="32"/>
    </row>
    <row r="20" spans="1:8" ht="28.05" customHeight="1">
      <c r="A20" s="32" t="s">
        <v>387</v>
      </c>
      <c r="B20" s="32"/>
      <c r="C20" s="32"/>
      <c r="D20" s="32"/>
      <c r="E20" s="32"/>
      <c r="F20" s="32"/>
      <c r="G20" s="32"/>
      <c r="H20" s="32"/>
    </row>
    <row r="21" spans="1:8">
      <c r="A21" s="5"/>
      <c r="B21" s="5"/>
      <c r="C21" s="5"/>
      <c r="D21" s="5"/>
      <c r="E21" s="5"/>
      <c r="F21" s="5"/>
      <c r="G21" s="5"/>
      <c r="H21" s="5"/>
    </row>
    <row r="22" spans="1:8" ht="22.95" customHeight="1">
      <c r="A22" s="42" t="s">
        <v>388</v>
      </c>
      <c r="B22" s="42"/>
      <c r="C22" s="42"/>
      <c r="D22" s="42"/>
      <c r="E22" s="42"/>
      <c r="F22" s="42"/>
      <c r="G22" s="42"/>
      <c r="H22" s="42"/>
    </row>
    <row r="23" spans="1:8">
      <c r="A23" s="43" t="s">
        <v>389</v>
      </c>
      <c r="B23" s="43" t="s">
        <v>390</v>
      </c>
      <c r="C23" s="43" t="s">
        <v>391</v>
      </c>
      <c r="D23" s="43" t="s">
        <v>392</v>
      </c>
      <c r="E23" s="43" t="s">
        <v>393</v>
      </c>
      <c r="F23" s="43" t="s">
        <v>394</v>
      </c>
      <c r="G23" s="43" t="s">
        <v>395</v>
      </c>
      <c r="H23" s="5"/>
    </row>
    <row r="24" spans="1:8">
      <c r="A24" s="5"/>
      <c r="B24" s="5"/>
      <c r="C24" s="5"/>
      <c r="D24" s="5"/>
      <c r="E24" s="5"/>
      <c r="F24" s="5"/>
      <c r="G24" s="5"/>
      <c r="H24" s="5"/>
    </row>
    <row r="25" spans="1:8">
      <c r="A25" s="5"/>
      <c r="B25" s="5"/>
      <c r="C25" s="5"/>
      <c r="D25" s="5"/>
      <c r="E25" s="5"/>
      <c r="F25" s="5"/>
      <c r="G25" s="5"/>
      <c r="H25" s="5"/>
    </row>
    <row r="26" spans="1:8">
      <c r="A26" s="5"/>
      <c r="B26" s="5"/>
      <c r="C26" s="5"/>
      <c r="D26" s="5"/>
      <c r="E26" s="5"/>
      <c r="F26" s="5"/>
      <c r="G26" s="5"/>
      <c r="H26" s="5"/>
    </row>
    <row r="27" spans="1:8">
      <c r="A27" s="5"/>
      <c r="B27" s="5"/>
      <c r="C27" s="5"/>
      <c r="D27" s="5"/>
      <c r="E27" s="5"/>
      <c r="F27" s="5"/>
      <c r="G27" s="5"/>
      <c r="H27" s="5"/>
    </row>
    <row r="28" spans="1:8">
      <c r="A28" s="5"/>
      <c r="B28" s="5"/>
      <c r="C28" s="5"/>
      <c r="D28" s="5"/>
      <c r="E28" s="5"/>
      <c r="F28" s="5"/>
      <c r="G28" s="5"/>
      <c r="H28" s="5"/>
    </row>
    <row r="29" spans="1:8">
      <c r="A29" s="5"/>
      <c r="B29" s="5"/>
      <c r="C29" s="5"/>
      <c r="D29" s="5"/>
      <c r="E29" s="5"/>
      <c r="F29" s="5"/>
      <c r="G29" s="5"/>
      <c r="H29" s="5"/>
    </row>
    <row r="30" spans="1:8">
      <c r="A30" s="5"/>
      <c r="B30" s="5"/>
      <c r="C30" s="5"/>
      <c r="D30" s="5"/>
      <c r="E30" s="5"/>
      <c r="F30" s="5"/>
      <c r="G30" s="5"/>
      <c r="H30" s="5"/>
    </row>
    <row r="31" spans="1:8">
      <c r="A31" s="5"/>
      <c r="B31" s="5"/>
      <c r="C31" s="5"/>
      <c r="D31" s="5"/>
      <c r="E31" s="5"/>
      <c r="F31" s="5"/>
      <c r="G31" s="5"/>
      <c r="H31" s="5"/>
    </row>
    <row r="32" spans="1:8">
      <c r="A32" s="5"/>
      <c r="B32" s="5"/>
      <c r="C32" s="5"/>
      <c r="D32" s="5"/>
      <c r="E32" s="5"/>
      <c r="F32" s="5"/>
      <c r="G32" s="5"/>
      <c r="H32" s="5"/>
    </row>
    <row r="33" spans="1:8">
      <c r="A33" s="5"/>
      <c r="B33" s="5"/>
      <c r="C33" s="5"/>
      <c r="D33" s="5"/>
      <c r="E33" s="5"/>
      <c r="F33" s="5"/>
      <c r="G33" s="5"/>
      <c r="H33" s="5"/>
    </row>
    <row r="34" spans="1:8">
      <c r="A34" s="5"/>
      <c r="B34" s="5"/>
      <c r="C34" s="5"/>
      <c r="D34" s="5"/>
      <c r="E34" s="5"/>
      <c r="F34" s="5"/>
      <c r="G34" s="5"/>
      <c r="H34" s="5"/>
    </row>
    <row r="35" spans="1:8">
      <c r="A35" s="5"/>
      <c r="B35" s="5"/>
      <c r="C35" s="5"/>
      <c r="D35" s="5"/>
      <c r="E35" s="5"/>
      <c r="F35" s="5"/>
      <c r="G35" s="5"/>
      <c r="H35" s="5"/>
    </row>
    <row r="36" spans="1:8">
      <c r="A36" s="5"/>
      <c r="B36" s="5"/>
      <c r="C36" s="5"/>
      <c r="D36" s="5"/>
      <c r="E36" s="5"/>
      <c r="F36" s="5"/>
      <c r="G36" s="5"/>
      <c r="H36" s="5"/>
    </row>
    <row r="37" spans="1:8">
      <c r="A37" s="5"/>
      <c r="B37" s="5"/>
      <c r="C37" s="5"/>
      <c r="D37" s="5"/>
      <c r="E37" s="5"/>
      <c r="F37" s="5"/>
      <c r="G37" s="5"/>
      <c r="H37" s="5"/>
    </row>
    <row r="38" spans="1:8">
      <c r="A38" s="5"/>
      <c r="B38" s="5"/>
      <c r="C38" s="5"/>
      <c r="D38" s="5"/>
      <c r="E38" s="5"/>
      <c r="F38" s="5"/>
      <c r="G38" s="5"/>
      <c r="H38" s="5"/>
    </row>
    <row r="39" spans="1:8">
      <c r="A39" s="5"/>
      <c r="B39" s="5"/>
      <c r="C39" s="5"/>
      <c r="D39" s="5"/>
      <c r="E39" s="5"/>
      <c r="F39" s="5"/>
      <c r="G39" s="5"/>
      <c r="H39" s="5"/>
    </row>
    <row r="40" spans="1:8">
      <c r="A40" s="5"/>
      <c r="B40" s="5"/>
      <c r="C40" s="5"/>
      <c r="D40" s="5"/>
      <c r="E40" s="5"/>
      <c r="F40" s="5"/>
      <c r="G40" s="5"/>
      <c r="H40" s="5"/>
    </row>
  </sheetData>
  <sheetProtection sheet="1" objects="1" scenarios="1"/>
  <mergeCells count="26">
    <mergeCell ref="A16:H16"/>
    <mergeCell ref="A17:H17"/>
    <mergeCell ref="A18:H18"/>
    <mergeCell ref="A19:H19"/>
    <mergeCell ref="A20:H20"/>
    <mergeCell ref="A22:H22"/>
    <mergeCell ref="A12:E12"/>
    <mergeCell ref="F12:H12"/>
    <mergeCell ref="A13:E13"/>
    <mergeCell ref="F13:H13"/>
    <mergeCell ref="A14:E14"/>
    <mergeCell ref="F14:H14"/>
    <mergeCell ref="A7:E7"/>
    <mergeCell ref="F7:H7"/>
    <mergeCell ref="A8:E8"/>
    <mergeCell ref="F8:H8"/>
    <mergeCell ref="A10:H10"/>
    <mergeCell ref="A11:E11"/>
    <mergeCell ref="F11:H11"/>
    <mergeCell ref="A1:H1"/>
    <mergeCell ref="A2:H2"/>
    <mergeCell ref="A4:H4"/>
    <mergeCell ref="A5:E5"/>
    <mergeCell ref="F5:H5"/>
    <mergeCell ref="A6:E6"/>
    <mergeCell ref="F6:H6"/>
  </mergeCells>
  <phoneticPr fontId="2"/>
  <hyperlinks>
    <hyperlink ref="A23" location="'入力'!A1" display="入力" xr:uid="{E5877F52-B420-4722-BB68-7AA4A4CB3478}"/>
    <hyperlink ref="B23" location="'別表三一_計算'!A1" display="主表計算" xr:uid="{C58B0FC4-7727-49E2-B5A2-E8990EA80345}"/>
    <hyperlink ref="C23" location="'付表一_計算'!A1" display="付表一_計算" xr:uid="{5A5F2CFA-7612-4B43-8F7D-F3FB7E868D25}"/>
    <hyperlink ref="D23" location="'付表二_計算'!A1" display="付表二計算" xr:uid="{E4DA66DE-A75B-4B7C-AE71-365DADEFCAFA}"/>
    <hyperlink ref="E23" location="'別表三(一)'!A1" display="公式様式" xr:uid="{2884CDBE-1877-420F-A729-8B92F7E04664}"/>
    <hyperlink ref="F23" location="'検算'!A1" display="検算" xr:uid="{000B4D18-F9E3-4B59-B3DD-4D43744B23A8}"/>
    <hyperlink ref="G23" location="'根拠・出典'!A1" display="根拠・出典" xr:uid="{42B763B1-7ECF-428C-BAB0-EFC3E61494FA}"/>
  </hyperlinks>
  <pageMargins left="0.7" right="0.7" top="0.75" bottom="0.75" header="0.3" footer="0.3"/>
  <pageSetup paperSize="9" fitToHeight="9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9205D-F030-4B0D-883A-624896735B31}">
  <sheetPr>
    <tabColor rgb="FFFFF2CC"/>
    <pageSetUpPr fitToPage="1"/>
  </sheetPr>
  <dimension ref="A1:H81"/>
  <sheetViews>
    <sheetView showGridLines="0" zoomScale="90" zoomScaleNormal="90" workbookViewId="0">
      <pane ySplit="13" topLeftCell="A14" activePane="bottomLeft" state="frozenSplit"/>
      <selection pane="bottomLeft" sqref="A1:H1"/>
    </sheetView>
  </sheetViews>
  <sheetFormatPr defaultRowHeight="18"/>
  <cols>
    <col min="1" max="1" width="29.69921875" customWidth="1"/>
    <col min="2" max="2" width="32.69921875" customWidth="1"/>
    <col min="3" max="3" width="48.69921875" customWidth="1"/>
    <col min="4" max="4" width="19.69921875" customWidth="1"/>
    <col min="5" max="5" width="29.69921875" customWidth="1"/>
    <col min="6" max="6" width="18.69921875" customWidth="1"/>
    <col min="7" max="7" width="14.69921875" customWidth="1"/>
    <col min="8" max="8" width="16.69921875" customWidth="1"/>
  </cols>
  <sheetData>
    <row r="1" spans="1:8" ht="26.4">
      <c r="A1" s="20" t="s">
        <v>0</v>
      </c>
      <c r="B1" s="21"/>
      <c r="C1" s="21"/>
      <c r="D1" s="21"/>
      <c r="E1" s="21"/>
      <c r="F1" s="21"/>
      <c r="G1" s="21"/>
      <c r="H1" s="21"/>
    </row>
    <row r="2" spans="1:8">
      <c r="A2" s="22" t="s">
        <v>1</v>
      </c>
      <c r="B2" s="21"/>
      <c r="C2" s="21"/>
      <c r="D2" s="21"/>
      <c r="E2" s="21"/>
      <c r="F2" s="21"/>
      <c r="G2" s="21"/>
      <c r="H2" s="21"/>
    </row>
    <row r="3" spans="1:8">
      <c r="A3" s="23"/>
      <c r="B3" s="23"/>
      <c r="C3" s="23"/>
      <c r="D3" s="23"/>
      <c r="E3" s="23"/>
      <c r="F3" s="23"/>
      <c r="G3" s="23"/>
      <c r="H3" s="23"/>
    </row>
    <row r="4" spans="1:8" ht="22.95" customHeight="1">
      <c r="A4" s="6" t="s">
        <v>9</v>
      </c>
      <c r="B4" s="6"/>
      <c r="C4" s="6"/>
      <c r="D4" s="6"/>
      <c r="E4" s="6"/>
      <c r="F4" s="7" t="s">
        <v>10</v>
      </c>
      <c r="G4" s="8"/>
      <c r="H4" s="8"/>
    </row>
    <row r="5" spans="1:8">
      <c r="A5" s="8" t="s">
        <v>2</v>
      </c>
      <c r="B5" s="8"/>
      <c r="C5" s="8"/>
      <c r="D5" s="53"/>
      <c r="E5" s="9"/>
      <c r="F5" s="8" t="s">
        <v>11</v>
      </c>
      <c r="G5" s="8"/>
      <c r="H5" s="10" t="b">
        <f>AND(inp_end&gt;=DATE(2024,4,1),inp_end&lt;DATE(2025,4,1))</f>
        <v>1</v>
      </c>
    </row>
    <row r="6" spans="1:8">
      <c r="A6" s="8" t="s">
        <v>3</v>
      </c>
      <c r="B6" s="8"/>
      <c r="C6" s="8"/>
      <c r="D6" s="54">
        <v>45383</v>
      </c>
      <c r="E6" s="9"/>
      <c r="F6" s="8" t="s">
        <v>12</v>
      </c>
      <c r="G6" s="8"/>
      <c r="H6" s="11">
        <f>10.4%</f>
        <v>0.10400000000000001</v>
      </c>
    </row>
    <row r="7" spans="1:8">
      <c r="A7" s="8" t="s">
        <v>4</v>
      </c>
      <c r="B7" s="8"/>
      <c r="C7" s="8"/>
      <c r="D7" s="54">
        <v>45747</v>
      </c>
      <c r="E7" s="9"/>
      <c r="F7" s="8" t="s">
        <v>13</v>
      </c>
      <c r="G7" s="8"/>
      <c r="H7" s="11">
        <f>40%</f>
        <v>0.4</v>
      </c>
    </row>
    <row r="8" spans="1:8">
      <c r="A8" s="8" t="s">
        <v>5</v>
      </c>
      <c r="B8" s="8"/>
      <c r="C8" s="8"/>
      <c r="D8" s="15">
        <f>IF(OR(D6="",D7="",D7&lt;D6),"",MAX(1,MIN(12,1+--(D7&gt;IF(DAY(EDATE(D6,1))&lt;DAY(D6),EDATE(D6,1),EDATE(D6,1)-1))+--(D7&gt;IF(DAY(EDATE(D6,2))&lt;DAY(D6),EDATE(D6,2),EDATE(D6,2)-1))+--(D7&gt;IF(DAY(EDATE(D6,3))&lt;DAY(D6),EDATE(D6,3),EDATE(D6,3)-1))+--(D7&gt;IF(DAY(EDATE(D6,4))&lt;DAY(D6),EDATE(D6,4),EDATE(D6,4)-1))+--(D7&gt;IF(DAY(EDATE(D6,5))&lt;DAY(D6),EDATE(D6,5),EDATE(D6,5)-1))+--(D7&gt;IF(DAY(EDATE(D6,6))&lt;DAY(D6),EDATE(D6,6),EDATE(D6,6)-1))+--(D7&gt;IF(DAY(EDATE(D6,7))&lt;DAY(D6),EDATE(D6,7),EDATE(D6,7)-1))+--(D7&gt;IF(DAY(EDATE(D6,8))&lt;DAY(D6),EDATE(D6,8),EDATE(D6,8)-1))+--(D7&gt;IF(DAY(EDATE(D6,9))&lt;DAY(D6),EDATE(D6,9),EDATE(D6,9)-1))+--(D7&gt;IF(DAY(EDATE(D6,10))&lt;DAY(D6),EDATE(D6,10),EDATE(D6,10)-1))+--(D7&gt;IF(DAY(EDATE(D6,11))&lt;DAY(D6),EDATE(D6,11),EDATE(D6,11)-1)))))</f>
        <v>12</v>
      </c>
      <c r="E8" s="9"/>
      <c r="F8" s="12" t="s">
        <v>14</v>
      </c>
      <c r="G8" s="12"/>
      <c r="H8" s="12"/>
    </row>
    <row r="9" spans="1:8">
      <c r="A9" s="8" t="s">
        <v>6</v>
      </c>
      <c r="B9" s="8"/>
      <c r="C9" s="8"/>
      <c r="D9" s="53" t="s">
        <v>438</v>
      </c>
      <c r="E9" s="9"/>
      <c r="F9" s="12"/>
      <c r="G9" s="12"/>
      <c r="H9" s="12"/>
    </row>
    <row r="10" spans="1:8">
      <c r="A10" s="8" t="s">
        <v>7</v>
      </c>
      <c r="B10" s="8"/>
      <c r="C10" s="8"/>
      <c r="D10" s="53" t="s">
        <v>437</v>
      </c>
      <c r="E10" s="9"/>
      <c r="F10" s="12"/>
      <c r="G10" s="12"/>
      <c r="H10" s="12"/>
    </row>
    <row r="11" spans="1:8">
      <c r="A11" s="8" t="s">
        <v>8</v>
      </c>
      <c r="B11" s="8"/>
      <c r="C11" s="8"/>
      <c r="D11" s="53" t="s">
        <v>439</v>
      </c>
      <c r="E11" s="9"/>
      <c r="F11" s="33" t="s">
        <v>370</v>
      </c>
      <c r="G11" s="34"/>
      <c r="H11" s="35" t="b">
        <f>AND(inp_f2_21&gt;=f2_20,inp_f2_23&gt;=f2_22,f2_24&gt;=0,f2_24&lt;=1)</f>
        <v>1</v>
      </c>
    </row>
    <row r="12" spans="1:8">
      <c r="A12" s="23"/>
      <c r="B12" s="23"/>
      <c r="C12" s="23"/>
      <c r="D12" s="16"/>
      <c r="E12" s="23"/>
      <c r="F12" s="36" t="str">
        <f>IF(H11,"付表二の控除前合計額と割合は整合","要確認：付表二21・23欄の控除前合計額")</f>
        <v>付表二の控除前合計額と割合は整合</v>
      </c>
      <c r="G12" s="37"/>
      <c r="H12" s="37"/>
    </row>
    <row r="13" spans="1:8" ht="22.95" customHeight="1">
      <c r="A13" s="6" t="s">
        <v>15</v>
      </c>
      <c r="B13" s="6"/>
      <c r="C13" s="6"/>
      <c r="D13" s="17"/>
      <c r="E13" s="6"/>
      <c r="F13" s="23"/>
      <c r="G13" s="23"/>
      <c r="H13" s="23"/>
    </row>
    <row r="14" spans="1:8">
      <c r="A14" s="13" t="s">
        <v>16</v>
      </c>
      <c r="B14" s="13" t="s">
        <v>17</v>
      </c>
      <c r="C14" s="13" t="s">
        <v>18</v>
      </c>
      <c r="D14" s="18" t="s">
        <v>19</v>
      </c>
      <c r="E14" s="13" t="s">
        <v>20</v>
      </c>
      <c r="F14" s="23"/>
      <c r="G14" s="23"/>
      <c r="H14" s="23"/>
    </row>
    <row r="15" spans="1:8" ht="31.95" customHeight="1">
      <c r="A15" s="9" t="s">
        <v>21</v>
      </c>
      <c r="B15" s="14" t="s">
        <v>22</v>
      </c>
      <c r="C15" s="14" t="s">
        <v>23</v>
      </c>
      <c r="D15" s="52">
        <v>0</v>
      </c>
      <c r="E15" s="14" t="s">
        <v>24</v>
      </c>
      <c r="F15" s="23"/>
      <c r="G15" s="23"/>
      <c r="H15" s="23"/>
    </row>
    <row r="16" spans="1:8" ht="31.95" customHeight="1">
      <c r="A16" s="9" t="s">
        <v>25</v>
      </c>
      <c r="B16" s="14" t="s">
        <v>26</v>
      </c>
      <c r="C16" s="14" t="s">
        <v>27</v>
      </c>
      <c r="D16" s="52">
        <v>0</v>
      </c>
      <c r="E16" s="14" t="s">
        <v>28</v>
      </c>
      <c r="F16" s="23"/>
      <c r="G16" s="23"/>
      <c r="H16" s="23"/>
    </row>
    <row r="17" spans="1:8" ht="31.95" customHeight="1">
      <c r="A17" s="9" t="s">
        <v>29</v>
      </c>
      <c r="B17" s="14" t="s">
        <v>30</v>
      </c>
      <c r="C17" s="14" t="s">
        <v>31</v>
      </c>
      <c r="D17" s="52">
        <v>0</v>
      </c>
      <c r="E17" s="14" t="s">
        <v>32</v>
      </c>
      <c r="F17" s="23"/>
      <c r="G17" s="23"/>
      <c r="H17" s="23"/>
    </row>
    <row r="18" spans="1:8" ht="31.95" customHeight="1">
      <c r="A18" s="9" t="s">
        <v>33</v>
      </c>
      <c r="B18" s="14" t="s">
        <v>34</v>
      </c>
      <c r="C18" s="14" t="s">
        <v>35</v>
      </c>
      <c r="D18" s="52">
        <v>0</v>
      </c>
      <c r="E18" s="14"/>
      <c r="F18" s="23"/>
      <c r="G18" s="23"/>
      <c r="H18" s="23"/>
    </row>
    <row r="19" spans="1:8" ht="31.95" customHeight="1">
      <c r="A19" s="9" t="s">
        <v>36</v>
      </c>
      <c r="B19" s="14" t="s">
        <v>37</v>
      </c>
      <c r="C19" s="14" t="s">
        <v>38</v>
      </c>
      <c r="D19" s="52">
        <v>0</v>
      </c>
      <c r="E19" s="14"/>
      <c r="F19" s="23"/>
      <c r="G19" s="23"/>
      <c r="H19" s="23"/>
    </row>
    <row r="20" spans="1:8" ht="31.95" customHeight="1">
      <c r="A20" s="9" t="s">
        <v>39</v>
      </c>
      <c r="B20" s="14" t="s">
        <v>40</v>
      </c>
      <c r="C20" s="14" t="s">
        <v>41</v>
      </c>
      <c r="D20" s="52">
        <v>0</v>
      </c>
      <c r="E20" s="14"/>
      <c r="F20" s="23"/>
      <c r="G20" s="23"/>
      <c r="H20" s="23"/>
    </row>
    <row r="21" spans="1:8" ht="31.95" customHeight="1">
      <c r="A21" s="9" t="s">
        <v>42</v>
      </c>
      <c r="B21" s="14" t="s">
        <v>43</v>
      </c>
      <c r="C21" s="14" t="s">
        <v>44</v>
      </c>
      <c r="D21" s="52">
        <v>0</v>
      </c>
      <c r="E21" s="14"/>
      <c r="F21" s="23"/>
      <c r="G21" s="23"/>
      <c r="H21" s="23"/>
    </row>
    <row r="22" spans="1:8" ht="31.95" customHeight="1">
      <c r="A22" s="9" t="s">
        <v>45</v>
      </c>
      <c r="B22" s="14" t="s">
        <v>46</v>
      </c>
      <c r="C22" s="14" t="s">
        <v>47</v>
      </c>
      <c r="D22" s="52">
        <v>0</v>
      </c>
      <c r="E22" s="14"/>
      <c r="F22" s="23"/>
      <c r="G22" s="23"/>
      <c r="H22" s="23"/>
    </row>
    <row r="23" spans="1:8" ht="31.95" customHeight="1">
      <c r="A23" s="9" t="s">
        <v>48</v>
      </c>
      <c r="B23" s="14" t="s">
        <v>49</v>
      </c>
      <c r="C23" s="14" t="s">
        <v>50</v>
      </c>
      <c r="D23" s="52">
        <v>0</v>
      </c>
      <c r="E23" s="14"/>
      <c r="F23" s="23"/>
      <c r="G23" s="23"/>
      <c r="H23" s="23"/>
    </row>
    <row r="24" spans="1:8" ht="31.95" customHeight="1">
      <c r="A24" s="9" t="s">
        <v>51</v>
      </c>
      <c r="B24" s="14" t="s">
        <v>52</v>
      </c>
      <c r="C24" s="14" t="s">
        <v>53</v>
      </c>
      <c r="D24" s="52">
        <v>0</v>
      </c>
      <c r="E24" s="14"/>
      <c r="F24" s="23"/>
      <c r="G24" s="23"/>
      <c r="H24" s="23"/>
    </row>
    <row r="25" spans="1:8" ht="31.95" customHeight="1">
      <c r="A25" s="9" t="s">
        <v>54</v>
      </c>
      <c r="B25" s="14" t="s">
        <v>55</v>
      </c>
      <c r="C25" s="14" t="s">
        <v>56</v>
      </c>
      <c r="D25" s="52">
        <v>0</v>
      </c>
      <c r="E25" s="14"/>
      <c r="F25" s="23"/>
      <c r="G25" s="23"/>
      <c r="H25" s="23"/>
    </row>
    <row r="26" spans="1:8" ht="31.95" customHeight="1">
      <c r="A26" s="9" t="s">
        <v>57</v>
      </c>
      <c r="B26" s="14" t="s">
        <v>58</v>
      </c>
      <c r="C26" s="14" t="s">
        <v>59</v>
      </c>
      <c r="D26" s="52">
        <v>0</v>
      </c>
      <c r="E26" s="14"/>
      <c r="F26" s="23"/>
      <c r="G26" s="23"/>
      <c r="H26" s="23"/>
    </row>
    <row r="27" spans="1:8" ht="31.95" customHeight="1">
      <c r="A27" s="9" t="s">
        <v>60</v>
      </c>
      <c r="B27" s="14" t="s">
        <v>61</v>
      </c>
      <c r="C27" s="14" t="s">
        <v>62</v>
      </c>
      <c r="D27" s="52">
        <v>0</v>
      </c>
      <c r="E27" s="14"/>
      <c r="F27" s="23"/>
      <c r="G27" s="23"/>
      <c r="H27" s="23"/>
    </row>
    <row r="28" spans="1:8" ht="31.95" customHeight="1">
      <c r="A28" s="9" t="s">
        <v>63</v>
      </c>
      <c r="B28" s="14" t="s">
        <v>64</v>
      </c>
      <c r="C28" s="14" t="s">
        <v>65</v>
      </c>
      <c r="D28" s="52">
        <v>0</v>
      </c>
      <c r="E28" s="14"/>
      <c r="F28" s="23"/>
      <c r="G28" s="23"/>
      <c r="H28" s="23"/>
    </row>
    <row r="29" spans="1:8" ht="31.95" customHeight="1">
      <c r="A29" s="9" t="s">
        <v>66</v>
      </c>
      <c r="B29" s="14" t="s">
        <v>67</v>
      </c>
      <c r="C29" s="14" t="s">
        <v>68</v>
      </c>
      <c r="D29" s="52">
        <v>0</v>
      </c>
      <c r="E29" s="14"/>
      <c r="F29" s="23"/>
      <c r="G29" s="23"/>
      <c r="H29" s="23"/>
    </row>
    <row r="30" spans="1:8" ht="31.95" customHeight="1">
      <c r="A30" s="9" t="s">
        <v>69</v>
      </c>
      <c r="B30" s="14" t="s">
        <v>70</v>
      </c>
      <c r="C30" s="14" t="s">
        <v>71</v>
      </c>
      <c r="D30" s="52">
        <v>0</v>
      </c>
      <c r="E30" s="14"/>
      <c r="F30" s="23"/>
      <c r="G30" s="23"/>
      <c r="H30" s="23"/>
    </row>
    <row r="31" spans="1:8" ht="31.95" customHeight="1">
      <c r="A31" s="9" t="s">
        <v>72</v>
      </c>
      <c r="B31" s="14" t="s">
        <v>73</v>
      </c>
      <c r="C31" s="14" t="s">
        <v>74</v>
      </c>
      <c r="D31" s="52">
        <v>0</v>
      </c>
      <c r="E31" s="14"/>
      <c r="F31" s="23"/>
      <c r="G31" s="23"/>
      <c r="H31" s="23"/>
    </row>
    <row r="32" spans="1:8" ht="31.95" customHeight="1">
      <c r="A32" s="9" t="s">
        <v>75</v>
      </c>
      <c r="B32" s="14" t="s">
        <v>76</v>
      </c>
      <c r="C32" s="14" t="s">
        <v>77</v>
      </c>
      <c r="D32" s="52">
        <v>0</v>
      </c>
      <c r="E32" s="14"/>
      <c r="F32" s="23"/>
      <c r="G32" s="23"/>
      <c r="H32" s="23"/>
    </row>
    <row r="33" spans="1:8" ht="31.95" customHeight="1">
      <c r="A33" s="9" t="s">
        <v>78</v>
      </c>
      <c r="B33" s="14" t="s">
        <v>79</v>
      </c>
      <c r="C33" s="14" t="s">
        <v>80</v>
      </c>
      <c r="D33" s="52">
        <v>0</v>
      </c>
      <c r="E33" s="14"/>
      <c r="F33" s="23"/>
      <c r="G33" s="23"/>
      <c r="H33" s="23"/>
    </row>
    <row r="34" spans="1:8" ht="31.95" customHeight="1">
      <c r="A34" s="9" t="s">
        <v>81</v>
      </c>
      <c r="B34" s="14" t="s">
        <v>82</v>
      </c>
      <c r="C34" s="14" t="s">
        <v>83</v>
      </c>
      <c r="D34" s="52">
        <v>0</v>
      </c>
      <c r="E34" s="14"/>
      <c r="F34" s="23"/>
      <c r="G34" s="23"/>
      <c r="H34" s="23"/>
    </row>
    <row r="35" spans="1:8" ht="31.95" customHeight="1">
      <c r="A35" s="9" t="s">
        <v>84</v>
      </c>
      <c r="B35" s="14" t="s">
        <v>85</v>
      </c>
      <c r="C35" s="14" t="s">
        <v>86</v>
      </c>
      <c r="D35" s="52">
        <v>0</v>
      </c>
      <c r="E35" s="14"/>
      <c r="F35" s="23"/>
      <c r="G35" s="23"/>
      <c r="H35" s="23"/>
    </row>
    <row r="36" spans="1:8" ht="31.95" customHeight="1">
      <c r="A36" s="9" t="s">
        <v>87</v>
      </c>
      <c r="B36" s="14" t="s">
        <v>88</v>
      </c>
      <c r="C36" s="14" t="s">
        <v>89</v>
      </c>
      <c r="D36" s="52">
        <v>0</v>
      </c>
      <c r="E36" s="14"/>
      <c r="F36" s="23"/>
      <c r="G36" s="23"/>
      <c r="H36" s="23"/>
    </row>
    <row r="37" spans="1:8" ht="31.95" customHeight="1">
      <c r="A37" s="9" t="s">
        <v>90</v>
      </c>
      <c r="B37" s="14" t="s">
        <v>91</v>
      </c>
      <c r="C37" s="14" t="s">
        <v>92</v>
      </c>
      <c r="D37" s="52">
        <v>0</v>
      </c>
      <c r="E37" s="14"/>
      <c r="F37" s="23"/>
      <c r="G37" s="23"/>
      <c r="H37" s="23"/>
    </row>
    <row r="38" spans="1:8" ht="31.95" customHeight="1">
      <c r="A38" s="9" t="s">
        <v>93</v>
      </c>
      <c r="B38" s="14" t="s">
        <v>94</v>
      </c>
      <c r="C38" s="14" t="s">
        <v>95</v>
      </c>
      <c r="D38" s="52">
        <v>0</v>
      </c>
      <c r="E38" s="14" t="s">
        <v>96</v>
      </c>
      <c r="F38" s="23"/>
      <c r="G38" s="23"/>
      <c r="H38" s="23"/>
    </row>
    <row r="39" spans="1:8" ht="31.95" customHeight="1">
      <c r="A39" s="9" t="s">
        <v>97</v>
      </c>
      <c r="B39" s="14" t="s">
        <v>98</v>
      </c>
      <c r="C39" s="14" t="s">
        <v>99</v>
      </c>
      <c r="D39" s="52">
        <v>0</v>
      </c>
      <c r="E39" s="14"/>
      <c r="F39" s="23"/>
      <c r="G39" s="23"/>
      <c r="H39" s="23"/>
    </row>
    <row r="40" spans="1:8">
      <c r="A40" s="9"/>
      <c r="B40" s="9"/>
      <c r="C40" s="9"/>
      <c r="D40" s="19"/>
      <c r="E40" s="9"/>
      <c r="F40" s="23"/>
      <c r="G40" s="23"/>
      <c r="H40" s="23"/>
    </row>
    <row r="41" spans="1:8" ht="22.95" customHeight="1">
      <c r="A41" s="6" t="s">
        <v>100</v>
      </c>
      <c r="B41" s="6"/>
      <c r="C41" s="6"/>
      <c r="D41" s="17"/>
      <c r="E41" s="6"/>
      <c r="F41" s="23"/>
      <c r="G41" s="23"/>
      <c r="H41" s="23"/>
    </row>
    <row r="42" spans="1:8">
      <c r="A42" s="13" t="s">
        <v>16</v>
      </c>
      <c r="B42" s="13" t="s">
        <v>17</v>
      </c>
      <c r="C42" s="13" t="s">
        <v>18</v>
      </c>
      <c r="D42" s="18" t="s">
        <v>19</v>
      </c>
      <c r="E42" s="13" t="s">
        <v>20</v>
      </c>
      <c r="F42" s="23"/>
      <c r="G42" s="23"/>
      <c r="H42" s="23"/>
    </row>
    <row r="43" spans="1:8" ht="31.95" customHeight="1">
      <c r="A43" s="9" t="s">
        <v>101</v>
      </c>
      <c r="B43" s="14" t="s">
        <v>102</v>
      </c>
      <c r="C43" s="14" t="s">
        <v>103</v>
      </c>
      <c r="D43" s="52">
        <v>0</v>
      </c>
      <c r="E43" s="14"/>
      <c r="F43" s="23"/>
      <c r="G43" s="23"/>
      <c r="H43" s="23"/>
    </row>
    <row r="44" spans="1:8" ht="31.95" customHeight="1">
      <c r="A44" s="9" t="s">
        <v>104</v>
      </c>
      <c r="B44" s="14" t="s">
        <v>105</v>
      </c>
      <c r="C44" s="14" t="s">
        <v>106</v>
      </c>
      <c r="D44" s="52">
        <v>0</v>
      </c>
      <c r="E44" s="14" t="s">
        <v>107</v>
      </c>
      <c r="F44" s="23"/>
      <c r="G44" s="23"/>
      <c r="H44" s="23"/>
    </row>
    <row r="45" spans="1:8" ht="31.95" customHeight="1">
      <c r="A45" s="9" t="s">
        <v>108</v>
      </c>
      <c r="B45" s="14" t="s">
        <v>109</v>
      </c>
      <c r="C45" s="14" t="s">
        <v>110</v>
      </c>
      <c r="D45" s="52">
        <v>0</v>
      </c>
      <c r="E45" s="14"/>
      <c r="F45" s="23"/>
      <c r="G45" s="23"/>
      <c r="H45" s="23"/>
    </row>
    <row r="46" spans="1:8" ht="31.95" customHeight="1">
      <c r="A46" s="9" t="s">
        <v>111</v>
      </c>
      <c r="B46" s="14" t="s">
        <v>112</v>
      </c>
      <c r="C46" s="14" t="s">
        <v>113</v>
      </c>
      <c r="D46" s="52">
        <v>0</v>
      </c>
      <c r="E46" s="14"/>
      <c r="F46" s="23"/>
      <c r="G46" s="23"/>
      <c r="H46" s="23"/>
    </row>
    <row r="47" spans="1:8" ht="31.95" customHeight="1">
      <c r="A47" s="9" t="s">
        <v>114</v>
      </c>
      <c r="B47" s="14" t="s">
        <v>115</v>
      </c>
      <c r="C47" s="14" t="s">
        <v>116</v>
      </c>
      <c r="D47" s="52">
        <v>0</v>
      </c>
      <c r="E47" s="14" t="s">
        <v>117</v>
      </c>
      <c r="F47" s="23"/>
      <c r="G47" s="23"/>
      <c r="H47" s="23"/>
    </row>
    <row r="48" spans="1:8" ht="31.95" customHeight="1">
      <c r="A48" s="9" t="s">
        <v>118</v>
      </c>
      <c r="B48" s="14" t="s">
        <v>119</v>
      </c>
      <c r="C48" s="14" t="s">
        <v>120</v>
      </c>
      <c r="D48" s="52">
        <v>0</v>
      </c>
      <c r="E48" s="14" t="s">
        <v>121</v>
      </c>
      <c r="F48" s="23"/>
      <c r="G48" s="23"/>
      <c r="H48" s="23"/>
    </row>
    <row r="49" spans="1:8" ht="31.95" customHeight="1">
      <c r="A49" s="9" t="s">
        <v>122</v>
      </c>
      <c r="B49" s="14" t="s">
        <v>123</v>
      </c>
      <c r="C49" s="14" t="s">
        <v>124</v>
      </c>
      <c r="D49" s="52">
        <v>0</v>
      </c>
      <c r="E49" s="14"/>
      <c r="F49" s="23"/>
      <c r="G49" s="23"/>
      <c r="H49" s="23"/>
    </row>
    <row r="50" spans="1:8" ht="31.95" customHeight="1">
      <c r="A50" s="9" t="s">
        <v>125</v>
      </c>
      <c r="B50" s="14" t="s">
        <v>126</v>
      </c>
      <c r="C50" s="14" t="s">
        <v>127</v>
      </c>
      <c r="D50" s="52">
        <v>0</v>
      </c>
      <c r="E50" s="14"/>
      <c r="F50" s="23"/>
      <c r="G50" s="23"/>
      <c r="H50" s="23"/>
    </row>
    <row r="51" spans="1:8" ht="31.95" customHeight="1">
      <c r="A51" s="9" t="s">
        <v>128</v>
      </c>
      <c r="B51" s="14" t="s">
        <v>129</v>
      </c>
      <c r="C51" s="14" t="s">
        <v>130</v>
      </c>
      <c r="D51" s="52">
        <v>0</v>
      </c>
      <c r="E51" s="14"/>
      <c r="F51" s="23"/>
      <c r="G51" s="23"/>
      <c r="H51" s="23"/>
    </row>
    <row r="52" spans="1:8" ht="31.95" customHeight="1">
      <c r="A52" s="9" t="s">
        <v>131</v>
      </c>
      <c r="B52" s="14" t="s">
        <v>132</v>
      </c>
      <c r="C52" s="14" t="s">
        <v>133</v>
      </c>
      <c r="D52" s="52">
        <v>0</v>
      </c>
      <c r="E52" s="14"/>
      <c r="F52" s="23"/>
      <c r="G52" s="23"/>
      <c r="H52" s="23"/>
    </row>
    <row r="53" spans="1:8" ht="31.95" customHeight="1">
      <c r="A53" s="9" t="s">
        <v>134</v>
      </c>
      <c r="B53" s="14" t="s">
        <v>135</v>
      </c>
      <c r="C53" s="14" t="s">
        <v>136</v>
      </c>
      <c r="D53" s="52">
        <v>0</v>
      </c>
      <c r="E53" s="14"/>
      <c r="F53" s="23"/>
      <c r="G53" s="23"/>
      <c r="H53" s="23"/>
    </row>
    <row r="54" spans="1:8" ht="31.95" customHeight="1">
      <c r="A54" s="9" t="s">
        <v>137</v>
      </c>
      <c r="B54" s="14" t="s">
        <v>138</v>
      </c>
      <c r="C54" s="14" t="s">
        <v>139</v>
      </c>
      <c r="D54" s="52">
        <v>0</v>
      </c>
      <c r="E54" s="14"/>
      <c r="F54" s="23"/>
      <c r="G54" s="23"/>
      <c r="H54" s="23"/>
    </row>
    <row r="55" spans="1:8" ht="31.95" customHeight="1">
      <c r="A55" s="9" t="s">
        <v>140</v>
      </c>
      <c r="B55" s="14" t="s">
        <v>141</v>
      </c>
      <c r="C55" s="14" t="s">
        <v>142</v>
      </c>
      <c r="D55" s="52">
        <v>0</v>
      </c>
      <c r="E55" s="14"/>
      <c r="F55" s="23"/>
      <c r="G55" s="23"/>
      <c r="H55" s="23"/>
    </row>
    <row r="56" spans="1:8" ht="31.95" customHeight="1">
      <c r="A56" s="9" t="s">
        <v>143</v>
      </c>
      <c r="B56" s="14" t="s">
        <v>144</v>
      </c>
      <c r="C56" s="14" t="s">
        <v>145</v>
      </c>
      <c r="D56" s="52">
        <v>0</v>
      </c>
      <c r="E56" s="14"/>
      <c r="F56" s="23"/>
      <c r="G56" s="23"/>
      <c r="H56" s="23"/>
    </row>
    <row r="57" spans="1:8" ht="31.95" customHeight="1">
      <c r="A57" s="9" t="s">
        <v>146</v>
      </c>
      <c r="B57" s="14" t="s">
        <v>147</v>
      </c>
      <c r="C57" s="14" t="s">
        <v>148</v>
      </c>
      <c r="D57" s="52">
        <v>0</v>
      </c>
      <c r="E57" s="14"/>
      <c r="F57" s="23"/>
      <c r="G57" s="23"/>
      <c r="H57" s="23"/>
    </row>
    <row r="58" spans="1:8" ht="31.95" customHeight="1">
      <c r="A58" s="9" t="s">
        <v>149</v>
      </c>
      <c r="B58" s="14" t="s">
        <v>150</v>
      </c>
      <c r="C58" s="14" t="s">
        <v>151</v>
      </c>
      <c r="D58" s="52">
        <v>0</v>
      </c>
      <c r="E58" s="14"/>
      <c r="F58" s="23"/>
      <c r="G58" s="23"/>
      <c r="H58" s="23"/>
    </row>
    <row r="59" spans="1:8" ht="31.95" customHeight="1">
      <c r="A59" s="9" t="s">
        <v>152</v>
      </c>
      <c r="B59" s="14" t="s">
        <v>153</v>
      </c>
      <c r="C59" s="14" t="s">
        <v>154</v>
      </c>
      <c r="D59" s="52">
        <v>0</v>
      </c>
      <c r="E59" s="14"/>
      <c r="F59" s="23"/>
      <c r="G59" s="23"/>
      <c r="H59" s="23"/>
    </row>
    <row r="60" spans="1:8" ht="31.95" customHeight="1">
      <c r="A60" s="9" t="s">
        <v>155</v>
      </c>
      <c r="B60" s="14" t="s">
        <v>156</v>
      </c>
      <c r="C60" s="14" t="s">
        <v>157</v>
      </c>
      <c r="D60" s="52">
        <v>0</v>
      </c>
      <c r="E60" s="14"/>
      <c r="F60" s="23"/>
      <c r="G60" s="23"/>
      <c r="H60" s="23"/>
    </row>
    <row r="61" spans="1:8" ht="31.95" customHeight="1">
      <c r="A61" s="9" t="s">
        <v>158</v>
      </c>
      <c r="B61" s="14" t="s">
        <v>159</v>
      </c>
      <c r="C61" s="14" t="s">
        <v>160</v>
      </c>
      <c r="D61" s="52">
        <v>0</v>
      </c>
      <c r="E61" s="14"/>
      <c r="F61" s="23"/>
      <c r="G61" s="23"/>
      <c r="H61" s="23"/>
    </row>
    <row r="62" spans="1:8" ht="31.95" customHeight="1">
      <c r="A62" s="9" t="s">
        <v>161</v>
      </c>
      <c r="B62" s="14" t="s">
        <v>162</v>
      </c>
      <c r="C62" s="14" t="s">
        <v>163</v>
      </c>
      <c r="D62" s="52">
        <v>0</v>
      </c>
      <c r="E62" s="14"/>
      <c r="F62" s="23"/>
      <c r="G62" s="23"/>
      <c r="H62" s="23"/>
    </row>
    <row r="63" spans="1:8" ht="31.95" customHeight="1">
      <c r="A63" s="9" t="s">
        <v>164</v>
      </c>
      <c r="B63" s="14" t="s">
        <v>165</v>
      </c>
      <c r="C63" s="14" t="s">
        <v>166</v>
      </c>
      <c r="D63" s="52">
        <v>0</v>
      </c>
      <c r="E63" s="14"/>
      <c r="F63" s="23"/>
      <c r="G63" s="23"/>
      <c r="H63" s="23"/>
    </row>
    <row r="64" spans="1:8" ht="31.95" customHeight="1">
      <c r="A64" s="9" t="s">
        <v>167</v>
      </c>
      <c r="B64" s="14" t="s">
        <v>168</v>
      </c>
      <c r="C64" s="14" t="s">
        <v>169</v>
      </c>
      <c r="D64" s="52">
        <v>0</v>
      </c>
      <c r="E64" s="14"/>
      <c r="F64" s="23"/>
      <c r="G64" s="23"/>
      <c r="H64" s="23"/>
    </row>
    <row r="65" spans="1:8" ht="31.95" customHeight="1">
      <c r="A65" s="9" t="s">
        <v>170</v>
      </c>
      <c r="B65" s="14" t="s">
        <v>171</v>
      </c>
      <c r="C65" s="14" t="s">
        <v>172</v>
      </c>
      <c r="D65" s="52">
        <v>0</v>
      </c>
      <c r="E65" s="14"/>
      <c r="F65" s="23"/>
      <c r="G65" s="23"/>
      <c r="H65" s="23"/>
    </row>
    <row r="66" spans="1:8" ht="31.95" customHeight="1">
      <c r="A66" s="9" t="s">
        <v>173</v>
      </c>
      <c r="B66" s="14" t="s">
        <v>174</v>
      </c>
      <c r="C66" s="14" t="s">
        <v>175</v>
      </c>
      <c r="D66" s="52">
        <v>0</v>
      </c>
      <c r="E66" s="14"/>
      <c r="F66" s="23"/>
      <c r="G66" s="23"/>
      <c r="H66" s="23"/>
    </row>
    <row r="67" spans="1:8">
      <c r="A67" s="9"/>
      <c r="B67" s="9"/>
      <c r="C67" s="9"/>
      <c r="D67" s="19"/>
      <c r="E67" s="9"/>
      <c r="F67" s="23"/>
      <c r="G67" s="23"/>
      <c r="H67" s="23"/>
    </row>
    <row r="68" spans="1:8" ht="22.95" customHeight="1">
      <c r="A68" s="6" t="s">
        <v>176</v>
      </c>
      <c r="B68" s="6"/>
      <c r="C68" s="6"/>
      <c r="D68" s="17"/>
      <c r="E68" s="6"/>
      <c r="F68" s="23"/>
      <c r="G68" s="23"/>
      <c r="H68" s="23"/>
    </row>
    <row r="69" spans="1:8">
      <c r="A69" s="13" t="s">
        <v>16</v>
      </c>
      <c r="B69" s="13" t="s">
        <v>17</v>
      </c>
      <c r="C69" s="13" t="s">
        <v>18</v>
      </c>
      <c r="D69" s="18" t="s">
        <v>19</v>
      </c>
      <c r="E69" s="13" t="s">
        <v>20</v>
      </c>
      <c r="F69" s="23"/>
      <c r="G69" s="23"/>
      <c r="H69" s="23"/>
    </row>
    <row r="70" spans="1:8" ht="31.95" customHeight="1">
      <c r="A70" s="9" t="s">
        <v>177</v>
      </c>
      <c r="B70" s="14" t="s">
        <v>178</v>
      </c>
      <c r="C70" s="14" t="s">
        <v>179</v>
      </c>
      <c r="D70" s="52">
        <v>0</v>
      </c>
      <c r="E70" s="14"/>
      <c r="F70" s="23"/>
      <c r="G70" s="23"/>
      <c r="H70" s="23"/>
    </row>
    <row r="71" spans="1:8" ht="31.95" customHeight="1">
      <c r="A71" s="9" t="s">
        <v>180</v>
      </c>
      <c r="B71" s="14" t="s">
        <v>181</v>
      </c>
      <c r="C71" s="14" t="s">
        <v>182</v>
      </c>
      <c r="D71" s="52">
        <v>0</v>
      </c>
      <c r="E71" s="14"/>
      <c r="F71" s="23"/>
      <c r="G71" s="23"/>
      <c r="H71" s="23"/>
    </row>
    <row r="72" spans="1:8" ht="31.95" customHeight="1">
      <c r="A72" s="9" t="s">
        <v>183</v>
      </c>
      <c r="B72" s="14" t="s">
        <v>184</v>
      </c>
      <c r="C72" s="14" t="s">
        <v>185</v>
      </c>
      <c r="D72" s="52">
        <v>0</v>
      </c>
      <c r="E72" s="14"/>
      <c r="F72" s="23"/>
      <c r="G72" s="23"/>
      <c r="H72" s="23"/>
    </row>
    <row r="73" spans="1:8" ht="31.95" customHeight="1">
      <c r="A73" s="9" t="s">
        <v>186</v>
      </c>
      <c r="B73" s="14" t="s">
        <v>184</v>
      </c>
      <c r="C73" s="14" t="s">
        <v>187</v>
      </c>
      <c r="D73" s="52">
        <v>0</v>
      </c>
      <c r="E73" s="14"/>
      <c r="F73" s="23"/>
      <c r="G73" s="23"/>
      <c r="H73" s="23"/>
    </row>
    <row r="74" spans="1:8" ht="31.95" customHeight="1">
      <c r="A74" s="9" t="s">
        <v>188</v>
      </c>
      <c r="B74" s="14" t="s">
        <v>189</v>
      </c>
      <c r="C74" s="14" t="s">
        <v>190</v>
      </c>
      <c r="D74" s="52">
        <v>0</v>
      </c>
      <c r="E74" s="14"/>
      <c r="F74" s="23"/>
      <c r="G74" s="23"/>
      <c r="H74" s="23"/>
    </row>
    <row r="75" spans="1:8" ht="31.95" customHeight="1">
      <c r="A75" s="9" t="s">
        <v>191</v>
      </c>
      <c r="B75" s="14" t="s">
        <v>192</v>
      </c>
      <c r="C75" s="14" t="s">
        <v>193</v>
      </c>
      <c r="D75" s="52">
        <v>0</v>
      </c>
      <c r="E75" s="14"/>
      <c r="F75" s="23"/>
      <c r="G75" s="23"/>
      <c r="H75" s="23"/>
    </row>
    <row r="76" spans="1:8" ht="31.95" customHeight="1">
      <c r="A76" s="9" t="s">
        <v>194</v>
      </c>
      <c r="B76" s="14" t="s">
        <v>195</v>
      </c>
      <c r="C76" s="14" t="s">
        <v>196</v>
      </c>
      <c r="D76" s="52">
        <v>0</v>
      </c>
      <c r="E76" s="14"/>
      <c r="F76" s="23"/>
      <c r="G76" s="23"/>
      <c r="H76" s="23"/>
    </row>
    <row r="77" spans="1:8" ht="31.95" customHeight="1">
      <c r="A77" s="9" t="s">
        <v>197</v>
      </c>
      <c r="B77" s="14" t="s">
        <v>198</v>
      </c>
      <c r="C77" s="14" t="s">
        <v>199</v>
      </c>
      <c r="D77" s="52">
        <v>0</v>
      </c>
      <c r="E77" s="14"/>
      <c r="F77" s="23"/>
      <c r="G77" s="23"/>
      <c r="H77" s="23"/>
    </row>
    <row r="78" spans="1:8" ht="31.95" customHeight="1">
      <c r="A78" s="9" t="s">
        <v>200</v>
      </c>
      <c r="B78" s="14" t="s">
        <v>201</v>
      </c>
      <c r="C78" s="14" t="s">
        <v>202</v>
      </c>
      <c r="D78" s="52">
        <v>0</v>
      </c>
      <c r="E78" s="14"/>
      <c r="F78" s="23"/>
      <c r="G78" s="23"/>
      <c r="H78" s="23"/>
    </row>
    <row r="79" spans="1:8" ht="31.95" customHeight="1">
      <c r="A79" s="9" t="s">
        <v>203</v>
      </c>
      <c r="B79" s="14" t="s">
        <v>204</v>
      </c>
      <c r="C79" s="14" t="s">
        <v>205</v>
      </c>
      <c r="D79" s="52">
        <v>0</v>
      </c>
      <c r="E79" s="14"/>
      <c r="F79" s="23"/>
      <c r="G79" s="23"/>
      <c r="H79" s="23"/>
    </row>
    <row r="80" spans="1:8" ht="31.95" customHeight="1">
      <c r="A80" s="9" t="s">
        <v>206</v>
      </c>
      <c r="B80" s="14" t="s">
        <v>207</v>
      </c>
      <c r="C80" s="14" t="s">
        <v>208</v>
      </c>
      <c r="D80" s="52">
        <v>0</v>
      </c>
      <c r="E80" s="14" t="s">
        <v>209</v>
      </c>
      <c r="F80" s="23"/>
      <c r="G80" s="23"/>
      <c r="H80" s="23"/>
    </row>
    <row r="81" spans="1:8" ht="31.95" customHeight="1">
      <c r="A81" s="9" t="s">
        <v>210</v>
      </c>
      <c r="B81" s="14" t="s">
        <v>211</v>
      </c>
      <c r="C81" s="14" t="s">
        <v>212</v>
      </c>
      <c r="D81" s="52">
        <v>0</v>
      </c>
      <c r="E81" s="14" t="s">
        <v>213</v>
      </c>
      <c r="F81" s="23"/>
      <c r="G81" s="23"/>
      <c r="H81" s="23"/>
    </row>
  </sheetData>
  <sheetProtection sheet="1" objects="1" scenarios="1"/>
  <mergeCells count="20">
    <mergeCell ref="A13:E13"/>
    <mergeCell ref="A41:E41"/>
    <mergeCell ref="A68:E68"/>
    <mergeCell ref="F11:G11"/>
    <mergeCell ref="F12:H12"/>
    <mergeCell ref="A8:C8"/>
    <mergeCell ref="A9:C9"/>
    <mergeCell ref="A10:C10"/>
    <mergeCell ref="A11:C11"/>
    <mergeCell ref="F4:H4"/>
    <mergeCell ref="F5:G5"/>
    <mergeCell ref="F6:G6"/>
    <mergeCell ref="F7:G7"/>
    <mergeCell ref="F8:H10"/>
    <mergeCell ref="A1:H1"/>
    <mergeCell ref="A2:H2"/>
    <mergeCell ref="A4:E4"/>
    <mergeCell ref="A5:C5"/>
    <mergeCell ref="A6:C6"/>
    <mergeCell ref="A7:C7"/>
  </mergeCells>
  <phoneticPr fontId="2"/>
  <dataValidations count="66">
    <dataValidation type="custom" showInputMessage="1" showErrorMessage="1" sqref="D6" xr:uid="{275C0F98-6073-4F34-B0A4-719F9FA54AE7}">
      <formula1>AND(ISNUMBER(D6),D6&gt;=DATE(1900,1,1),D6&lt;=DATE(2100,12,31))</formula1>
    </dataValidation>
    <dataValidation type="custom" showInputMessage="1" showErrorMessage="1" sqref="D7" xr:uid="{0A4BC6F4-4A0F-451B-913B-1248CC4FE330}">
      <formula1>AND(ISNUMBER(D7),ISNUMBER(D6),D7&gt;=D6,D7&lt;=IF(DAY(EDATE(D6,12))&lt;DAY(D6),EDATE(D6,12),EDATE(D6,12)-1))</formula1>
    </dataValidation>
    <dataValidation type="list" showInputMessage="1" showErrorMessage="1" sqref="D9" xr:uid="{DEF71741-131C-46AE-98F0-4BF76BD68066}">
      <formula1>"該当,非該当"</formula1>
    </dataValidation>
    <dataValidation type="list" showInputMessage="1" showErrorMessage="1" sqref="D10" xr:uid="{60A4095A-E4FC-4108-94C9-2B36E89DA504}">
      <formula1>"はい,いいえ"</formula1>
    </dataValidation>
    <dataValidation type="list" showInputMessage="1" showErrorMessage="1" sqref="D11" xr:uid="{0B07834B-1BE8-47B0-BBEA-7CDFB535BFD2}">
      <formula1>"はい,いいえ"</formula1>
    </dataValidation>
    <dataValidation type="custom" showInputMessage="1" showErrorMessage="1" errorTitle="入力エラー" error="絶対値1,000兆円未満の円単位整数を入力してください（負数可）。" sqref="D15" xr:uid="{1E2792AC-3825-4BC1-B2C8-5C4162D3B5B8}">
      <formula1>AND(ISNUMBER(D15),D15=INT(D15),ABS(D15)&lt;=999999999999999)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16" xr:uid="{5CAA6DD2-1C18-42A7-A1F7-0C2FBFAFC1A2}">
      <formula1>AND(ISNUMBER(D16),D16=INT(D16),D16&gt;=0,D16&lt;=999999999999999)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17" xr:uid="{0FC31B07-2AC5-44B1-8A10-6C1684299659}">
      <formula1>AND(ISNUMBER(D17),D17=INT(D17),D17&gt;=0,D17&lt;=999999999999999)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18" xr:uid="{E2F47D64-945D-4DC5-864C-93F7FD8D1BD7}">
      <formula1>AND(ISNUMBER(D18),D18=INT(D18),D18&gt;=0,D18&lt;=999999999999999)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19" xr:uid="{8610565D-7919-4102-8527-582753C9F676}">
      <formula1>AND(ISNUMBER(D19),D19=INT(D19),D19&gt;=0,D19&lt;=999999999999999)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20" xr:uid="{19C798FF-1783-4391-B430-8CEEF984D4EF}">
      <formula1>AND(ISNUMBER(D20),D20=INT(D20),D20&gt;=0,D20&lt;=999999999999999)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21" xr:uid="{DC8AC27B-3260-4541-ADB9-3E2EDF4B3EA8}">
      <formula1>AND(ISNUMBER(D21),D21=INT(D21),D21&gt;=0,D21&lt;=999999999999999)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22" xr:uid="{644C3087-2830-47BF-817C-23FA54570586}">
      <formula1>AND(ISNUMBER(D22),D22=INT(D22),D22&gt;=0,D22&lt;=999999999999999)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23" xr:uid="{7E2CDBFF-1B9A-454D-AF3B-873036DD7969}">
      <formula1>AND(ISNUMBER(D23),D23=INT(D23),D23&gt;=0,D23&lt;=999999999999999)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24" xr:uid="{2CD6CE5B-1696-43BC-9247-5041B8A1373B}">
      <formula1>AND(ISNUMBER(D24),D24=INT(D24),D24&gt;=0,D24&lt;=999999999999999)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25" xr:uid="{83B8E729-BC3E-4AB2-8BD5-E108CEABDA1D}">
      <formula1>AND(ISNUMBER(D25),D25=INT(D25),D25&gt;=0,D25&lt;=999999999999999)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26" xr:uid="{8E0C8FBE-EAC5-4AE7-B782-B46C51A114FC}">
      <formula1>AND(ISNUMBER(D26),D26=INT(D26),D26&gt;=0,D26&lt;=999999999999999)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27" xr:uid="{6EA55A40-F79E-45CA-A73F-FCB92821267A}">
      <formula1>AND(ISNUMBER(D27),D27=INT(D27),D27&gt;=0,D27&lt;=999999999999999)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28" xr:uid="{7129D8D2-8622-4ADE-BC67-C430596EEDE3}">
      <formula1>AND(ISNUMBER(D28),D28=INT(D28),D28&gt;=0,D28&lt;=999999999999999)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29" xr:uid="{D7AEA11C-AA1E-4878-91F2-EB562691EAF7}">
      <formula1>AND(ISNUMBER(D29),D29=INT(D29),D29&gt;=0,D29&lt;=999999999999999)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30" xr:uid="{D706FCFB-E416-4536-8278-D94A8C1496E7}">
      <formula1>AND(ISNUMBER(D30),D30=INT(D30),D30&gt;=0,D30&lt;=999999999999999)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31" xr:uid="{0D985055-B67E-4547-847F-C42B6A9F9E99}">
      <formula1>AND(ISNUMBER(D31),D31=INT(D31),D31&gt;=0,D31&lt;=999999999999999)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32" xr:uid="{91EF6E3C-7190-411B-8795-661F290BEEA3}">
      <formula1>AND(ISNUMBER(D32),D32=INT(D32),D32&gt;=0,D32&lt;=999999999999999)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33" xr:uid="{AC2A5617-C696-4343-8753-BCDF22ED98C9}">
      <formula1>AND(ISNUMBER(D33),D33=INT(D33),D33&gt;=0,D33&lt;=999999999999999)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34" xr:uid="{F6B7A3FE-A66F-4AB6-BC17-139C852A0179}">
      <formula1>AND(ISNUMBER(D34),D34=INT(D34),D34&gt;=0,D34&lt;=999999999999999)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35" xr:uid="{F13400D8-9D13-457C-A885-CCDC94174974}">
      <formula1>AND(ISNUMBER(D35),D35=INT(D35),D35&gt;=0,D35&lt;=999999999999999)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36" xr:uid="{76195775-D390-4158-BFEE-B2765C93A127}">
      <formula1>AND(ISNUMBER(D36),D36=INT(D36),D36&gt;=0,D36&lt;=999999999999999)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37" xr:uid="{3D11F3D6-622D-474F-8B40-932FB926B83E}">
      <formula1>AND(ISNUMBER(D37),D37=INT(D37),D37&gt;=0,D37&lt;=999999999999999)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38" xr:uid="{B2672F93-9FDD-436D-82DC-990B62759092}">
      <formula1>AND(ISNUMBER(D38),D38=INT(D38),D38&gt;=0,D38&lt;=999999999999999)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39" xr:uid="{6F24D873-A40C-48BB-9F91-AB168AFBEA41}">
      <formula1>AND(ISNUMBER(D39),D39=INT(D39),D39&gt;=0,D39&lt;=999999999999999)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43" xr:uid="{3B3275AF-2C10-4BE1-BD42-0C0D120AC6DA}">
      <formula1>AND(ISNUMBER(D43),D43=INT(D43),D43&gt;=0,D43&lt;=999999999999999)</formula1>
    </dataValidation>
    <dataValidation type="custom" showInputMessage="1" showErrorMessage="1" errorTitle="入力エラー" error="絶対値1,000兆円未満の円単位整数を入力してください（負数可）。" sqref="D44" xr:uid="{76D4D941-F74A-4485-B912-60EFB6ED4932}">
      <formula1>AND(ISNUMBER(D44),D44=INT(D44),ABS(D44)&lt;=999999999999999)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45" xr:uid="{800BE7A5-120A-453F-9DFD-AC90B629D614}">
      <formula1>AND(ISNUMBER(D45),D45=INT(D45),D45&gt;=0,D45&lt;=999999999999999)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46" xr:uid="{07F76563-CB4A-4E45-BB37-CE05B2B62D9A}">
      <formula1>AND(ISNUMBER(D46),D46=INT(D46),D46&gt;=0,D46&lt;=999999999999999)</formula1>
    </dataValidation>
    <dataValidation type="custom" showInputMessage="1" showErrorMessage="1" errorTitle="入力エラー" error="絶対値1,000兆円未満の円単位整数を入力してください（負数可）。" sqref="D47" xr:uid="{3E936650-AB4C-48C0-A57E-159AF7FB1457}">
      <formula1>AND(ISNUMBER(D47),D47=INT(D47),ABS(D47)&lt;=999999999999999)</formula1>
    </dataValidation>
    <dataValidation type="custom" showInputMessage="1" showErrorMessage="1" errorTitle="入力エラー" error="絶対値1,000兆円未満の円単位整数を入力してください（負数可）。" sqref="D48" xr:uid="{2171FD85-1496-42D0-B57C-00630F4ADFBF}">
      <formula1>AND(ISNUMBER(D48),D48=INT(D48),ABS(D48)&lt;=999999999999999)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49" xr:uid="{D95643F3-8917-4C97-B63F-85CFDD396C9D}">
      <formula1>AND(ISNUMBER(D49),D49=INT(D49),D49&gt;=0,D49&lt;=999999999999999)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50" xr:uid="{D49BE92A-6ED5-40B7-8310-6527EF3A8A29}">
      <formula1>AND(ISNUMBER(D50),D50=INT(D50),D50&gt;=0,D50&lt;=999999999999999)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51" xr:uid="{84DC22A9-FDC6-492E-AA43-6194D1610DDF}">
      <formula1>AND(ISNUMBER(D51),D51=INT(D51),D51&gt;=0,D51&lt;=999999999999999)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52" xr:uid="{77D3403E-9147-4A1A-96B0-BFC6E267EE30}">
      <formula1>AND(ISNUMBER(D52),D52=INT(D52),D52&gt;=0,D52&lt;=999999999999999)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53" xr:uid="{EE943DB2-9EE3-461B-BCD8-0BD818BD7851}">
      <formula1>AND(ISNUMBER(D53),D53=INT(D53),D53&gt;=0,D53&lt;=999999999999999)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54" xr:uid="{FB423AC6-2E8B-4740-AB91-32F513A859B1}">
      <formula1>AND(ISNUMBER(D54),D54=INT(D54),D54&gt;=0,D54&lt;=999999999999999)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55" xr:uid="{95466CDF-0F74-4D27-AC58-35525A4088DF}">
      <formula1>AND(ISNUMBER(D55),D55=INT(D55),D55&gt;=0,D55&lt;=999999999999999)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56" xr:uid="{9C546EDA-7440-4260-8124-18370D66B205}">
      <formula1>AND(ISNUMBER(D56),D56=INT(D56),D56&gt;=0,D56&lt;=999999999999999)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57" xr:uid="{D55625F9-313A-4300-8FAD-EDF0D2D9C1DC}">
      <formula1>AND(ISNUMBER(D57),D57=INT(D57),D57&gt;=0,D57&lt;=999999999999999)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58" xr:uid="{8E623238-3C6E-4C68-9418-D0C329D60621}">
      <formula1>AND(ISNUMBER(D58),D58=INT(D58),D58&gt;=0,D58&lt;=999999999999999)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59" xr:uid="{66861619-8AF3-4B08-A285-04D2CBF5B0D6}">
      <formula1>AND(ISNUMBER(D59),D59=INT(D59),D59&gt;=0,D59&lt;=999999999999999)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60" xr:uid="{80E6D842-210E-4C6A-A132-56F36A3511B7}">
      <formula1>AND(ISNUMBER(D60),D60=INT(D60),D60&gt;=0,D60&lt;=999999999999999)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61" xr:uid="{EF0512FE-390C-4973-A3F4-8E447813DDDD}">
      <formula1>AND(ISNUMBER(D61),D61=INT(D61),D61&gt;=0,D61&lt;=999999999999999)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62" xr:uid="{A4D95B10-BD3D-4983-B43C-23C7935B386B}">
      <formula1>AND(ISNUMBER(D62),D62=INT(D62),D62&gt;=0,D62&lt;=999999999999999)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63" xr:uid="{4E7DF0D7-1EB9-4B7C-9472-008630D45BCA}">
      <formula1>AND(ISNUMBER(D63),D63=INT(D63),D63&gt;=0,D63&lt;=999999999999999)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64" xr:uid="{2C8D8F3E-D6B6-4C89-807D-A9F0C098ED77}">
      <formula1>AND(ISNUMBER(D64),D64=INT(D64),D64&gt;=0,D64&lt;=999999999999999)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65" xr:uid="{AF51AF8C-1B2F-4FCB-910A-52016578B497}">
      <formula1>AND(ISNUMBER(D65),D65=INT(D65),D65&gt;=0,D65&lt;=999999999999999)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66" xr:uid="{1B8ADC54-AD6C-4384-91EF-301A105CC41B}">
      <formula1>AND(ISNUMBER(D66),D66=INT(D66),D66&gt;=0,D66&lt;=999999999999999)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70" xr:uid="{FA97A0E2-0683-4916-878D-7EFB34E710BF}">
      <formula1>AND(ISNUMBER(D70),D70=INT(D70),D70&gt;=0,D70&lt;=999999999999999)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71" xr:uid="{5344D9EE-F5EB-414A-B907-B59218D6309D}">
      <formula1>AND(ISNUMBER(D71),D71=INT(D71),D71&gt;=0,D71&lt;=999999999999999)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72" xr:uid="{99FFC5DC-7AB7-4078-AD22-0C8B31A8CC2A}">
      <formula1>AND(ISNUMBER(D72),D72=INT(D72),D72&gt;=0,D72&lt;=999999999999999)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73" xr:uid="{02522D91-18F7-49E4-A858-D37D625934FF}">
      <formula1>AND(ISNUMBER(D73),D73=INT(D73),D73&gt;=0,D73&lt;=999999999999999)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74" xr:uid="{73879223-A4C6-468E-A0AB-BC844DC5E940}">
      <formula1>AND(ISNUMBER(D74),D74=INT(D74),D74&gt;=0,D74&lt;=999999999999999)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75" xr:uid="{F584ADB8-ED8B-4252-81B4-D56624BAA794}">
      <formula1>AND(ISNUMBER(D75),D75=INT(D75),D75&gt;=0,D75&lt;=999999999999999)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76" xr:uid="{DC059493-22DC-4A75-ACBF-10301156AADD}">
      <formula1>AND(ISNUMBER(D76),D76=INT(D76),D76&gt;=0,D76&lt;=999999999999999)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77" xr:uid="{89020DAD-A54F-447B-9B3D-F91D7FC14773}">
      <formula1>AND(ISNUMBER(D77),D77=INT(D77),D77&gt;=0,D77&lt;=999999999999999)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78" xr:uid="{C4E30C7D-47BE-431C-94A5-11A9695D0658}">
      <formula1>AND(ISNUMBER(D78),D78=INT(D78),D78&gt;=0,D78&lt;=999999999999999)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79" xr:uid="{10A47D49-D6FF-4FA5-91A6-07B6AA425AF1}">
      <formula1>AND(ISNUMBER(D79),D79=INT(D79),D79&gt;=0,D79&lt;=999999999999999)</formula1>
    </dataValidation>
    <dataValidation type="custom" showInputMessage="1" showErrorMessage="1" errorTitle="入力エラー" error="付表二20欄の控除前合計額以上となる、1,000兆円未満の円単位整数を入力してください。" sqref="D80" xr:uid="{292473F6-8CD5-4C30-A035-FE3850A1EE45}">
      <formula1>AND(ISNUMBER(D80),D80=INT(D80),D80&gt;=IF(inp_group="はい",MIN(inp_f2_03,MAX(inp_f2_08-inp_f2_04,0)),0),D80&lt;=999999999999999)</formula1>
    </dataValidation>
    <dataValidation type="custom" showInputMessage="1" showErrorMessage="1" errorTitle="入力エラー" error="付表二22欄の控除前合計額以上となる、1,000兆円未満の円単位整数を入力してください。" sqref="D81" xr:uid="{ADBF2A9C-DBC7-41A2-BD3D-BDFBAF539837}">
      <formula1>AND(ISNUMBER(D81),D81=INT(D81),D81&gt;=IF(inp_group="はい",MAX(inp_f2_04-inp_f2_08,0),0),D81&lt;=999999999999999)</formula1>
    </dataValidation>
  </dataValidations>
  <pageMargins left="0.7" right="0.7" top="0.75" bottom="0.75" header="0.3" footer="0.3"/>
  <pageSetup paperSize="9" fitToHeight="999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6F27A-8C4F-4572-A15D-31FD23D32A09}">
  <sheetPr>
    <tabColor rgb="FF2F75B5"/>
    <pageSetUpPr fitToPage="1"/>
  </sheetPr>
  <dimension ref="A1:G32"/>
  <sheetViews>
    <sheetView showGridLines="0" zoomScale="90" zoomScaleNormal="90" workbookViewId="0">
      <pane ySplit="3" topLeftCell="A4" activePane="bottomLeft" state="frozenSplit"/>
      <selection pane="bottomLeft" sqref="A1:E1"/>
    </sheetView>
  </sheetViews>
  <sheetFormatPr defaultRowHeight="18"/>
  <cols>
    <col min="1" max="1" width="7.69921875" customWidth="1"/>
    <col min="2" max="2" width="37.69921875" customWidth="1"/>
    <col min="3" max="3" width="49.69921875" customWidth="1"/>
    <col min="4" max="4" width="18.69921875" customWidth="1"/>
    <col min="5" max="5" width="28.69921875" customWidth="1"/>
    <col min="6" max="6" width="31.69921875" customWidth="1"/>
    <col min="7" max="7" width="19.69921875" customWidth="1"/>
  </cols>
  <sheetData>
    <row r="1" spans="1:7" ht="30" customHeight="1">
      <c r="A1" s="2" t="s">
        <v>214</v>
      </c>
      <c r="B1" s="3"/>
      <c r="C1" s="3"/>
      <c r="D1" s="3"/>
      <c r="E1" s="3"/>
    </row>
    <row r="2" spans="1:7">
      <c r="A2" s="4" t="s">
        <v>215</v>
      </c>
      <c r="B2" s="3"/>
      <c r="C2" s="3"/>
      <c r="D2" s="3"/>
      <c r="E2" s="3"/>
    </row>
    <row r="3" spans="1:7">
      <c r="A3" s="5"/>
      <c r="B3" s="5"/>
      <c r="C3" s="5"/>
      <c r="D3" s="5"/>
      <c r="E3" s="5"/>
    </row>
    <row r="4" spans="1:7">
      <c r="A4" s="24" t="s">
        <v>216</v>
      </c>
      <c r="B4" s="24" t="s">
        <v>217</v>
      </c>
      <c r="C4" s="24" t="s">
        <v>218</v>
      </c>
      <c r="D4" s="24" t="s">
        <v>219</v>
      </c>
      <c r="E4" s="24" t="s">
        <v>220</v>
      </c>
      <c r="F4" s="28" t="s">
        <v>362</v>
      </c>
      <c r="G4" s="28" t="s">
        <v>363</v>
      </c>
    </row>
    <row r="5" spans="1:7" ht="37.950000000000003" customHeight="1">
      <c r="A5" s="25">
        <v>1</v>
      </c>
      <c r="B5" s="26" t="s">
        <v>221</v>
      </c>
      <c r="C5" s="26" t="s">
        <v>222</v>
      </c>
      <c r="D5" s="27">
        <f>MIN(m_21,IF(inp_months="",0,30000000*inp_months/12))</f>
        <v>0</v>
      </c>
      <c r="E5" s="26" t="s">
        <v>223</v>
      </c>
      <c r="F5" s="1" t="s">
        <v>364</v>
      </c>
      <c r="G5" s="29">
        <f>MAX(m_19-m_20,0)</f>
        <v>0</v>
      </c>
    </row>
    <row r="6" spans="1:7" ht="37.950000000000003" customHeight="1">
      <c r="A6" s="25">
        <v>2</v>
      </c>
      <c r="B6" s="26" t="s">
        <v>224</v>
      </c>
      <c r="C6" s="26" t="s">
        <v>225</v>
      </c>
      <c r="D6" s="27">
        <f>$G$10</f>
        <v>0</v>
      </c>
      <c r="E6" s="26" t="s">
        <v>226</v>
      </c>
      <c r="F6" s="1" t="s">
        <v>365</v>
      </c>
      <c r="G6" s="29">
        <f>G5-m_21</f>
        <v>0</v>
      </c>
    </row>
    <row r="7" spans="1:7" ht="37.950000000000003" customHeight="1">
      <c r="A7" s="25">
        <v>3</v>
      </c>
      <c r="B7" s="26" t="s">
        <v>227</v>
      </c>
      <c r="C7" s="26" t="s">
        <v>228</v>
      </c>
      <c r="D7" s="27">
        <f>m_21-m_01-m_02</f>
        <v>0</v>
      </c>
      <c r="E7" s="26" t="s">
        <v>223</v>
      </c>
      <c r="F7" s="1" t="s">
        <v>366</v>
      </c>
      <c r="G7" s="29">
        <f>IF(inp_months="",0,100000000*inp_months/12)</f>
        <v>100000000</v>
      </c>
    </row>
    <row r="8" spans="1:7" ht="37.950000000000003" customHeight="1">
      <c r="A8" s="25">
        <v>4</v>
      </c>
      <c r="B8" s="26" t="s">
        <v>229</v>
      </c>
      <c r="C8" s="26" t="s">
        <v>230</v>
      </c>
      <c r="D8" s="27">
        <f>SUM(m_01:m_03)</f>
        <v>0</v>
      </c>
      <c r="E8" s="26" t="s">
        <v>231</v>
      </c>
      <c r="F8" s="1" t="s">
        <v>367</v>
      </c>
      <c r="G8" s="29">
        <f>MAX(0,MIN(m_21-m_01,G7-m_01))</f>
        <v>0</v>
      </c>
    </row>
    <row r="9" spans="1:7" ht="37.950000000000003" customHeight="1">
      <c r="A9" s="25">
        <v>5</v>
      </c>
      <c r="B9" s="26" t="s">
        <v>232</v>
      </c>
      <c r="C9" s="26" t="s">
        <v>233</v>
      </c>
      <c r="D9" s="27">
        <f>ROUNDDOWN(m_01*10%,0)</f>
        <v>0</v>
      </c>
      <c r="E9" s="26" t="s">
        <v>234</v>
      </c>
      <c r="F9" s="1" t="s">
        <v>368</v>
      </c>
      <c r="G9" s="29">
        <f>G8-ROUNDDOWN(G8,-3)</f>
        <v>0</v>
      </c>
    </row>
    <row r="10" spans="1:7" ht="37.950000000000003" customHeight="1">
      <c r="A10" s="25">
        <v>6</v>
      </c>
      <c r="B10" s="26" t="s">
        <v>235</v>
      </c>
      <c r="C10" s="26" t="s">
        <v>236</v>
      </c>
      <c r="D10" s="27">
        <f>ROUNDDOWN(m_02*15%,0)</f>
        <v>0</v>
      </c>
      <c r="E10" s="26" t="s">
        <v>234</v>
      </c>
      <c r="F10" s="1" t="s">
        <v>369</v>
      </c>
      <c r="G10" s="29">
        <f>IF(G9&gt;G6,ROUNDUP(G8,-3),ROUNDDOWN(G8,-3))</f>
        <v>0</v>
      </c>
    </row>
    <row r="11" spans="1:7" ht="37.950000000000003" customHeight="1">
      <c r="A11" s="25">
        <v>7</v>
      </c>
      <c r="B11" s="26" t="s">
        <v>237</v>
      </c>
      <c r="C11" s="26" t="s">
        <v>238</v>
      </c>
      <c r="D11" s="27">
        <f>ROUNDDOWN(m_03*20%,0)</f>
        <v>0</v>
      </c>
      <c r="E11" s="26" t="s">
        <v>234</v>
      </c>
    </row>
    <row r="12" spans="1:7" ht="37.950000000000003" customHeight="1">
      <c r="A12" s="25">
        <v>8</v>
      </c>
      <c r="B12" s="26" t="s">
        <v>239</v>
      </c>
      <c r="C12" s="26" t="s">
        <v>240</v>
      </c>
      <c r="D12" s="31">
        <f>SUM(m_05:m_07)</f>
        <v>0</v>
      </c>
      <c r="E12" s="26" t="s">
        <v>241</v>
      </c>
    </row>
    <row r="13" spans="1:7" ht="37.950000000000003" customHeight="1">
      <c r="A13" s="25">
        <v>9</v>
      </c>
      <c r="B13" s="26" t="s">
        <v>242</v>
      </c>
      <c r="C13" s="26" t="s">
        <v>243</v>
      </c>
      <c r="D13" s="27">
        <f>inp_m9_base+inp_m9_extra</f>
        <v>0</v>
      </c>
      <c r="E13" s="26" t="s">
        <v>244</v>
      </c>
    </row>
    <row r="14" spans="1:7" ht="37.950000000000003" customHeight="1">
      <c r="A14" s="25">
        <v>10</v>
      </c>
      <c r="B14" s="26" t="s">
        <v>35</v>
      </c>
      <c r="C14" s="26" t="s">
        <v>245</v>
      </c>
      <c r="D14" s="27">
        <f>inp_prev_div</f>
        <v>0</v>
      </c>
      <c r="E14" s="26" t="s">
        <v>234</v>
      </c>
    </row>
    <row r="15" spans="1:7" ht="37.950000000000003" customHeight="1">
      <c r="A15" s="25">
        <v>11</v>
      </c>
      <c r="B15" s="26" t="s">
        <v>38</v>
      </c>
      <c r="C15" s="26" t="s">
        <v>37</v>
      </c>
      <c r="D15" s="27">
        <f>inp_curr_div</f>
        <v>0</v>
      </c>
      <c r="E15" s="26" t="s">
        <v>234</v>
      </c>
    </row>
    <row r="16" spans="1:7" ht="37.950000000000003" customHeight="1">
      <c r="A16" s="25">
        <v>12</v>
      </c>
      <c r="B16" s="26" t="s">
        <v>246</v>
      </c>
      <c r="C16" s="26" t="s">
        <v>247</v>
      </c>
      <c r="D16" s="27">
        <f>MAX(MAX((inp_b1_2-inp_b1_3+inp_b1_4+inp_b1_6+inp_b1_9out-inp_b1_11-inp_b1_18)-inp_b6_5_2_5_3,0)+MAX(inp_b1_31+inp_b1_32-inp_b1_36-inp_b1_65,0)-MAX(inp_b6_5_2_5_3-(inp_b1_2-inp_b1_3+inp_b1_4+inp_b1_6+inp_b1_9out),0),0)</f>
        <v>0</v>
      </c>
      <c r="E16" s="26" t="s">
        <v>248</v>
      </c>
    </row>
    <row r="17" spans="1:5" ht="37.950000000000003" customHeight="1">
      <c r="A17" s="25">
        <v>13</v>
      </c>
      <c r="B17" s="26" t="s">
        <v>249</v>
      </c>
      <c r="C17" s="26" t="s">
        <v>250</v>
      </c>
      <c r="D17" s="27">
        <f>m_28</f>
        <v>0</v>
      </c>
      <c r="E17" s="26" t="s">
        <v>234</v>
      </c>
    </row>
    <row r="18" spans="1:5" ht="37.950000000000003" customHeight="1">
      <c r="A18" s="25">
        <v>14</v>
      </c>
      <c r="B18" s="26" t="s">
        <v>251</v>
      </c>
      <c r="C18" s="26" t="s">
        <v>91</v>
      </c>
      <c r="D18" s="27">
        <f>inp_m14_foreign</f>
        <v>0</v>
      </c>
      <c r="E18" s="26" t="s">
        <v>234</v>
      </c>
    </row>
    <row r="19" spans="1:5" ht="37.950000000000003" customHeight="1">
      <c r="A19" s="25">
        <v>15</v>
      </c>
      <c r="B19" s="26" t="s">
        <v>252</v>
      </c>
      <c r="C19" s="26" t="s">
        <v>253</v>
      </c>
      <c r="D19" s="27">
        <f>MAX(m_12+m_13-m_14,0)</f>
        <v>0</v>
      </c>
      <c r="E19" s="26" t="s">
        <v>234</v>
      </c>
    </row>
    <row r="20" spans="1:5" ht="37.950000000000003" customHeight="1">
      <c r="A20" s="25">
        <v>16</v>
      </c>
      <c r="B20" s="26" t="s">
        <v>254</v>
      </c>
      <c r="C20" s="26" t="s">
        <v>255</v>
      </c>
      <c r="D20" s="27">
        <f>IF(inp_group="はい",f2_05,0)</f>
        <v>0</v>
      </c>
      <c r="E20" s="26" t="s">
        <v>234</v>
      </c>
    </row>
    <row r="21" spans="1:5" ht="37.950000000000003" customHeight="1">
      <c r="A21" s="25">
        <v>17</v>
      </c>
      <c r="B21" s="26" t="s">
        <v>256</v>
      </c>
      <c r="C21" s="26" t="s">
        <v>257</v>
      </c>
      <c r="D21" s="27">
        <f>IF(inp_group="はい",f2_10,0)</f>
        <v>0</v>
      </c>
      <c r="E21" s="26" t="s">
        <v>234</v>
      </c>
    </row>
    <row r="22" spans="1:5" ht="37.950000000000003" customHeight="1">
      <c r="A22" s="25">
        <v>18</v>
      </c>
      <c r="B22" s="26" t="s">
        <v>258</v>
      </c>
      <c r="C22" s="26" t="s">
        <v>259</v>
      </c>
      <c r="D22" s="27">
        <f>f1_19</f>
        <v>0</v>
      </c>
      <c r="E22" s="26" t="s">
        <v>234</v>
      </c>
    </row>
    <row r="23" spans="1:5" ht="37.950000000000003" customHeight="1">
      <c r="A23" s="25">
        <v>19</v>
      </c>
      <c r="B23" s="26" t="s">
        <v>260</v>
      </c>
      <c r="C23" s="26" t="s">
        <v>261</v>
      </c>
      <c r="D23" s="27">
        <f>m_09-inp_m9_inner+m_10-m_11-m_15+m_16-m_17-m_18</f>
        <v>0</v>
      </c>
      <c r="E23" s="26" t="s">
        <v>234</v>
      </c>
    </row>
    <row r="24" spans="1:5" ht="37.950000000000003" customHeight="1">
      <c r="A24" s="25">
        <v>20</v>
      </c>
      <c r="B24" s="26" t="s">
        <v>262</v>
      </c>
      <c r="C24" s="26" t="s">
        <v>263</v>
      </c>
      <c r="D24" s="27">
        <f>f1_33</f>
        <v>20000000</v>
      </c>
      <c r="E24" s="26" t="s">
        <v>234</v>
      </c>
    </row>
    <row r="25" spans="1:5" ht="37.950000000000003" customHeight="1">
      <c r="A25" s="25">
        <v>21</v>
      </c>
      <c r="B25" s="26" t="s">
        <v>264</v>
      </c>
      <c r="C25" s="26" t="s">
        <v>265</v>
      </c>
      <c r="D25" s="31">
        <f>ROUNDDOWN(MAX(m_19-m_20,0),-3)</f>
        <v>0</v>
      </c>
      <c r="E25" s="26" t="s">
        <v>266</v>
      </c>
    </row>
    <row r="26" spans="1:5" ht="37.950000000000003" customHeight="1">
      <c r="A26" s="25">
        <v>22</v>
      </c>
      <c r="B26" s="26" t="s">
        <v>267</v>
      </c>
      <c r="C26" s="26" t="s">
        <v>268</v>
      </c>
      <c r="D26" s="27">
        <f>inp_b1_2+(inp_b1_4-inp_m22_b1_4_adjust)+inp_b1_6+inp_b1_9out-inp_b1_11-inp_b1_17-inp_m22_credits</f>
        <v>0</v>
      </c>
      <c r="E26" s="26" t="s">
        <v>234</v>
      </c>
    </row>
    <row r="27" spans="1:5" ht="37.950000000000003" customHeight="1">
      <c r="A27" s="25">
        <v>23</v>
      </c>
      <c r="B27" s="26" t="s">
        <v>269</v>
      </c>
      <c r="C27" s="26" t="s">
        <v>268</v>
      </c>
      <c r="D27" s="27">
        <f>inp_b1_2+(inp_b1_4-inp_m23_b1_4_adjust)+inp_b1_6+inp_b1_9out-inp_b1_11-inp_b1_17-inp_m23_credits</f>
        <v>0</v>
      </c>
      <c r="E27" s="26" t="s">
        <v>234</v>
      </c>
    </row>
    <row r="28" spans="1:5" ht="37.950000000000003" customHeight="1">
      <c r="A28" s="25">
        <v>24</v>
      </c>
      <c r="B28" s="26" t="s">
        <v>249</v>
      </c>
      <c r="C28" s="26" t="s">
        <v>270</v>
      </c>
      <c r="D28" s="27">
        <f>ROUNDDOWN(MAX(0,IF(inp_class="該当",m_23,m_22))*cfg_resident_rate,0)</f>
        <v>0</v>
      </c>
      <c r="E28" s="26" t="s">
        <v>234</v>
      </c>
    </row>
    <row r="29" spans="1:5" ht="37.950000000000003" customHeight="1">
      <c r="A29" s="25">
        <v>25</v>
      </c>
      <c r="B29" s="26" t="s">
        <v>271</v>
      </c>
      <c r="C29" s="26" t="s">
        <v>272</v>
      </c>
      <c r="D29" s="27">
        <f>ROUNDDOWN(inp_specific_donation_total*cfg_donation_rate,0)</f>
        <v>0</v>
      </c>
      <c r="E29" s="26" t="s">
        <v>234</v>
      </c>
    </row>
    <row r="30" spans="1:5" ht="37.950000000000003" customHeight="1">
      <c r="A30" s="25">
        <v>26</v>
      </c>
      <c r="B30" s="26" t="s">
        <v>273</v>
      </c>
      <c r="C30" s="26" t="s">
        <v>274</v>
      </c>
      <c r="D30" s="27">
        <f>ROUNDDOWN(MAX(0,m_24+(inp_b1_11+inp_b1_17-inp_adjust_local_credit)*cfg_resident_rate)*20%,0)</f>
        <v>0</v>
      </c>
      <c r="E30" s="26" t="s">
        <v>234</v>
      </c>
    </row>
    <row r="31" spans="1:5" ht="37.950000000000003" customHeight="1">
      <c r="A31" s="25">
        <v>27</v>
      </c>
      <c r="B31" s="26" t="s">
        <v>275</v>
      </c>
      <c r="C31" s="26" t="s">
        <v>276</v>
      </c>
      <c r="D31" s="27">
        <f>MIN(m_25,m_26)</f>
        <v>0</v>
      </c>
      <c r="E31" s="26" t="s">
        <v>234</v>
      </c>
    </row>
    <row r="32" spans="1:5" ht="37.950000000000003" customHeight="1">
      <c r="A32" s="25">
        <v>28</v>
      </c>
      <c r="B32" s="26" t="s">
        <v>249</v>
      </c>
      <c r="C32" s="26" t="s">
        <v>277</v>
      </c>
      <c r="D32" s="27">
        <f>m_24-m_27</f>
        <v>0</v>
      </c>
      <c r="E32" s="26" t="s">
        <v>278</v>
      </c>
    </row>
  </sheetData>
  <sheetProtection sheet="1" objects="1" scenarios="1"/>
  <mergeCells count="2">
    <mergeCell ref="A1:E1"/>
    <mergeCell ref="A2:E2"/>
  </mergeCells>
  <phoneticPr fontId="2"/>
  <pageMargins left="0.7" right="0.7" top="0.75" bottom="0.75" header="0.3" footer="0.3"/>
  <pageSetup paperSize="9" fitToHeight="999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441AD-306F-42BA-8B18-A7CE1D1E051F}">
  <sheetPr>
    <tabColor rgb="FF2F75B5"/>
    <pageSetUpPr fitToPage="1"/>
  </sheetPr>
  <dimension ref="A1:E37"/>
  <sheetViews>
    <sheetView showGridLines="0" zoomScale="90" zoomScaleNormal="90" workbookViewId="0">
      <pane ySplit="3" topLeftCell="A4" activePane="bottomLeft" state="frozenSplit"/>
      <selection pane="bottomLeft" sqref="A1:E1"/>
    </sheetView>
  </sheetViews>
  <sheetFormatPr defaultRowHeight="18"/>
  <cols>
    <col min="1" max="1" width="7.69921875" customWidth="1"/>
    <col min="2" max="2" width="37.69921875" customWidth="1"/>
    <col min="3" max="3" width="49.69921875" customWidth="1"/>
    <col min="4" max="4" width="18.69921875" customWidth="1"/>
    <col min="5" max="5" width="28.69921875" customWidth="1"/>
  </cols>
  <sheetData>
    <row r="1" spans="1:5" ht="30" customHeight="1">
      <c r="A1" s="2" t="s">
        <v>279</v>
      </c>
      <c r="B1" s="3"/>
      <c r="C1" s="3"/>
      <c r="D1" s="3"/>
      <c r="E1" s="3"/>
    </row>
    <row r="2" spans="1:5">
      <c r="A2" s="4" t="s">
        <v>215</v>
      </c>
      <c r="B2" s="3"/>
      <c r="C2" s="3"/>
      <c r="D2" s="3"/>
      <c r="E2" s="3"/>
    </row>
    <row r="3" spans="1:5">
      <c r="A3" s="5"/>
      <c r="B3" s="5"/>
      <c r="C3" s="5"/>
      <c r="D3" s="5"/>
      <c r="E3" s="5"/>
    </row>
    <row r="4" spans="1:5">
      <c r="A4" s="24" t="s">
        <v>216</v>
      </c>
      <c r="B4" s="24" t="s">
        <v>217</v>
      </c>
      <c r="C4" s="24" t="s">
        <v>218</v>
      </c>
      <c r="D4" s="24" t="s">
        <v>219</v>
      </c>
      <c r="E4" s="24" t="s">
        <v>220</v>
      </c>
    </row>
    <row r="5" spans="1:5" ht="37.950000000000003" customHeight="1">
      <c r="A5" s="25">
        <v>1</v>
      </c>
      <c r="B5" s="26" t="s">
        <v>280</v>
      </c>
      <c r="C5" s="26" t="s">
        <v>281</v>
      </c>
      <c r="D5" s="27">
        <f>inp_f1_capital</f>
        <v>0</v>
      </c>
      <c r="E5" s="26" t="s">
        <v>234</v>
      </c>
    </row>
    <row r="6" spans="1:5" ht="37.950000000000003" customHeight="1">
      <c r="A6" s="25">
        <v>2</v>
      </c>
      <c r="B6" s="26" t="s">
        <v>282</v>
      </c>
      <c r="C6" s="26" t="s">
        <v>283</v>
      </c>
      <c r="D6" s="27">
        <f>ROUNDDOWN(f1_01*25%,0)</f>
        <v>0</v>
      </c>
      <c r="E6" s="26" t="s">
        <v>284</v>
      </c>
    </row>
    <row r="7" spans="1:5" ht="37.950000000000003" customHeight="1">
      <c r="A7" s="25">
        <v>3</v>
      </c>
      <c r="B7" s="26" t="s">
        <v>285</v>
      </c>
      <c r="C7" s="26" t="s">
        <v>286</v>
      </c>
      <c r="D7" s="27">
        <f>inp_f1_opening_profit-inp_prev_div</f>
        <v>0</v>
      </c>
      <c r="E7" s="26" t="s">
        <v>234</v>
      </c>
    </row>
    <row r="8" spans="1:5" ht="37.950000000000003" customHeight="1">
      <c r="A8" s="25">
        <v>4</v>
      </c>
      <c r="B8" s="26" t="s">
        <v>110</v>
      </c>
      <c r="C8" s="26" t="s">
        <v>281</v>
      </c>
      <c r="D8" s="27">
        <f>inp_f1_merger_inc</f>
        <v>0</v>
      </c>
      <c r="E8" s="26" t="s">
        <v>234</v>
      </c>
    </row>
    <row r="9" spans="1:5" ht="37.950000000000003" customHeight="1">
      <c r="A9" s="25">
        <v>5</v>
      </c>
      <c r="B9" s="26" t="s">
        <v>113</v>
      </c>
      <c r="C9" s="26" t="s">
        <v>281</v>
      </c>
      <c r="D9" s="27">
        <f>inp_f1_split_dec</f>
        <v>0</v>
      </c>
      <c r="E9" s="26" t="s">
        <v>234</v>
      </c>
    </row>
    <row r="10" spans="1:5" ht="37.950000000000003" customHeight="1">
      <c r="A10" s="25">
        <v>6</v>
      </c>
      <c r="B10" s="26" t="s">
        <v>287</v>
      </c>
      <c r="C10" s="26" t="s">
        <v>288</v>
      </c>
      <c r="D10" s="27">
        <f>f1_03+f1_04-f1_05</f>
        <v>0</v>
      </c>
      <c r="E10" s="26" t="s">
        <v>234</v>
      </c>
    </row>
    <row r="11" spans="1:5" ht="37.950000000000003" customHeight="1">
      <c r="A11" s="25">
        <v>7</v>
      </c>
      <c r="B11" s="26" t="s">
        <v>289</v>
      </c>
      <c r="C11" s="26" t="s">
        <v>290</v>
      </c>
      <c r="D11" s="27">
        <f>MAX(f1_02-f1_06,0)</f>
        <v>0</v>
      </c>
      <c r="E11" s="26" t="s">
        <v>291</v>
      </c>
    </row>
    <row r="12" spans="1:5" ht="37.950000000000003" customHeight="1">
      <c r="A12" s="25">
        <v>8</v>
      </c>
      <c r="B12" s="26" t="s">
        <v>292</v>
      </c>
      <c r="C12" s="26" t="s">
        <v>293</v>
      </c>
      <c r="D12" s="27">
        <f>IF(inp_months="",0,ROUNDDOWN(20000000*inp_months/12,0))</f>
        <v>20000000</v>
      </c>
      <c r="E12" s="26" t="s">
        <v>284</v>
      </c>
    </row>
    <row r="13" spans="1:5" ht="37.950000000000003" customHeight="1">
      <c r="A13" s="25">
        <v>9</v>
      </c>
      <c r="B13" s="26" t="s">
        <v>294</v>
      </c>
      <c r="C13" s="26" t="s">
        <v>115</v>
      </c>
      <c r="D13" s="27">
        <f>inp_f1_09</f>
        <v>0</v>
      </c>
      <c r="E13" s="26" t="s">
        <v>234</v>
      </c>
    </row>
    <row r="14" spans="1:5" ht="37.950000000000003" customHeight="1">
      <c r="A14" s="25">
        <v>10</v>
      </c>
      <c r="B14" s="26" t="s">
        <v>295</v>
      </c>
      <c r="C14" s="26" t="s">
        <v>119</v>
      </c>
      <c r="D14" s="27">
        <f>inp_f1_10</f>
        <v>0</v>
      </c>
      <c r="E14" s="26" t="s">
        <v>234</v>
      </c>
    </row>
    <row r="15" spans="1:5" ht="37.950000000000003" customHeight="1">
      <c r="A15" s="25">
        <v>11</v>
      </c>
      <c r="B15" s="26" t="s">
        <v>296</v>
      </c>
      <c r="C15" s="26" t="s">
        <v>123</v>
      </c>
      <c r="D15" s="27">
        <f>inp_f1_11</f>
        <v>0</v>
      </c>
      <c r="E15" s="26" t="s">
        <v>234</v>
      </c>
    </row>
    <row r="16" spans="1:5" ht="37.950000000000003" customHeight="1">
      <c r="A16" s="25">
        <v>12</v>
      </c>
      <c r="B16" s="26" t="s">
        <v>297</v>
      </c>
      <c r="C16" s="26" t="s">
        <v>126</v>
      </c>
      <c r="D16" s="27">
        <f>inp_f1_12</f>
        <v>0</v>
      </c>
      <c r="E16" s="26" t="s">
        <v>234</v>
      </c>
    </row>
    <row r="17" spans="1:5" ht="37.950000000000003" customHeight="1">
      <c r="A17" s="25">
        <v>13</v>
      </c>
      <c r="B17" s="26" t="s">
        <v>298</v>
      </c>
      <c r="C17" s="26" t="s">
        <v>129</v>
      </c>
      <c r="D17" s="27">
        <f>inp_f1_13</f>
        <v>0</v>
      </c>
      <c r="E17" s="26" t="s">
        <v>234</v>
      </c>
    </row>
    <row r="18" spans="1:5" ht="37.950000000000003" customHeight="1">
      <c r="A18" s="25">
        <v>14</v>
      </c>
      <c r="B18" s="26" t="s">
        <v>299</v>
      </c>
      <c r="C18" s="26" t="s">
        <v>132</v>
      </c>
      <c r="D18" s="27">
        <f>inp_f1_14</f>
        <v>0</v>
      </c>
      <c r="E18" s="26" t="s">
        <v>234</v>
      </c>
    </row>
    <row r="19" spans="1:5" ht="37.950000000000003" customHeight="1">
      <c r="A19" s="25">
        <v>15</v>
      </c>
      <c r="B19" s="26" t="s">
        <v>300</v>
      </c>
      <c r="C19" s="26" t="s">
        <v>135</v>
      </c>
      <c r="D19" s="27">
        <f>inp_f1_15</f>
        <v>0</v>
      </c>
      <c r="E19" s="26" t="s">
        <v>234</v>
      </c>
    </row>
    <row r="20" spans="1:5" ht="37.950000000000003" customHeight="1">
      <c r="A20" s="25">
        <v>16</v>
      </c>
      <c r="B20" s="26" t="s">
        <v>301</v>
      </c>
      <c r="C20" s="26" t="s">
        <v>138</v>
      </c>
      <c r="D20" s="27">
        <f>inp_f1_16</f>
        <v>0</v>
      </c>
      <c r="E20" s="26" t="s">
        <v>234</v>
      </c>
    </row>
    <row r="21" spans="1:5" ht="37.950000000000003" customHeight="1">
      <c r="A21" s="25">
        <v>17</v>
      </c>
      <c r="B21" s="26" t="s">
        <v>302</v>
      </c>
      <c r="C21" s="26" t="s">
        <v>303</v>
      </c>
      <c r="D21" s="27">
        <f>IF(inp_group="はい",f2_13,0)</f>
        <v>0</v>
      </c>
      <c r="E21" s="26" t="s">
        <v>234</v>
      </c>
    </row>
    <row r="22" spans="1:5" ht="37.950000000000003" customHeight="1">
      <c r="A22" s="25">
        <v>18</v>
      </c>
      <c r="B22" s="26" t="s">
        <v>304</v>
      </c>
      <c r="C22" s="26" t="s">
        <v>305</v>
      </c>
      <c r="D22" s="27">
        <f>IF(inp_group="はい",f2_17,0)</f>
        <v>0</v>
      </c>
      <c r="E22" s="26" t="s">
        <v>234</v>
      </c>
    </row>
    <row r="23" spans="1:5" ht="37.950000000000003" customHeight="1">
      <c r="A23" s="25">
        <v>19</v>
      </c>
      <c r="B23" s="26" t="s">
        <v>258</v>
      </c>
      <c r="C23" s="26" t="s">
        <v>141</v>
      </c>
      <c r="D23" s="27">
        <f>inp_f1_19</f>
        <v>0</v>
      </c>
      <c r="E23" s="26" t="s">
        <v>234</v>
      </c>
    </row>
    <row r="24" spans="1:5" ht="37.950000000000003" customHeight="1">
      <c r="A24" s="25">
        <v>20</v>
      </c>
      <c r="B24" s="26" t="s">
        <v>306</v>
      </c>
      <c r="C24" s="26" t="s">
        <v>144</v>
      </c>
      <c r="D24" s="27">
        <f>inp_f1_20</f>
        <v>0</v>
      </c>
      <c r="E24" s="26" t="s">
        <v>234</v>
      </c>
    </row>
    <row r="25" spans="1:5" ht="37.950000000000003" customHeight="1">
      <c r="A25" s="25">
        <v>21</v>
      </c>
      <c r="B25" s="26" t="s">
        <v>307</v>
      </c>
      <c r="C25" s="26" t="s">
        <v>147</v>
      </c>
      <c r="D25" s="27">
        <f>inp_f1_21</f>
        <v>0</v>
      </c>
      <c r="E25" s="26" t="s">
        <v>234</v>
      </c>
    </row>
    <row r="26" spans="1:5" ht="37.950000000000003" customHeight="1">
      <c r="A26" s="25">
        <v>22</v>
      </c>
      <c r="B26" s="26" t="s">
        <v>308</v>
      </c>
      <c r="C26" s="26" t="s">
        <v>150</v>
      </c>
      <c r="D26" s="27">
        <f>inp_f1_22</f>
        <v>0</v>
      </c>
      <c r="E26" s="26" t="s">
        <v>234</v>
      </c>
    </row>
    <row r="27" spans="1:5" ht="37.950000000000003" customHeight="1">
      <c r="A27" s="25">
        <v>23</v>
      </c>
      <c r="B27" s="26" t="s">
        <v>309</v>
      </c>
      <c r="C27" s="26" t="s">
        <v>153</v>
      </c>
      <c r="D27" s="27">
        <f>inp_f1_23</f>
        <v>0</v>
      </c>
      <c r="E27" s="26" t="s">
        <v>234</v>
      </c>
    </row>
    <row r="28" spans="1:5" ht="37.950000000000003" customHeight="1">
      <c r="A28" s="25">
        <v>24</v>
      </c>
      <c r="B28" s="26" t="s">
        <v>310</v>
      </c>
      <c r="C28" s="26" t="s">
        <v>156</v>
      </c>
      <c r="D28" s="27">
        <f>inp_f1_24</f>
        <v>0</v>
      </c>
      <c r="E28" s="26" t="s">
        <v>234</v>
      </c>
    </row>
    <row r="29" spans="1:5" ht="37.950000000000003" customHeight="1">
      <c r="A29" s="25">
        <v>25</v>
      </c>
      <c r="B29" s="26" t="s">
        <v>311</v>
      </c>
      <c r="C29" s="26" t="s">
        <v>159</v>
      </c>
      <c r="D29" s="27">
        <f>inp_f1_25</f>
        <v>0</v>
      </c>
      <c r="E29" s="26" t="s">
        <v>234</v>
      </c>
    </row>
    <row r="30" spans="1:5" ht="37.950000000000003" customHeight="1">
      <c r="A30" s="25">
        <v>26</v>
      </c>
      <c r="B30" s="26" t="s">
        <v>312</v>
      </c>
      <c r="C30" s="26" t="s">
        <v>162</v>
      </c>
      <c r="D30" s="27">
        <f>inp_f1_26</f>
        <v>0</v>
      </c>
      <c r="E30" s="26" t="s">
        <v>234</v>
      </c>
    </row>
    <row r="31" spans="1:5" ht="37.950000000000003" customHeight="1">
      <c r="A31" s="25">
        <v>27</v>
      </c>
      <c r="B31" s="26" t="s">
        <v>313</v>
      </c>
      <c r="C31" s="26" t="s">
        <v>165</v>
      </c>
      <c r="D31" s="27">
        <f>inp_f1_27</f>
        <v>0</v>
      </c>
      <c r="E31" s="26" t="s">
        <v>234</v>
      </c>
    </row>
    <row r="32" spans="1:5" ht="37.950000000000003" customHeight="1">
      <c r="A32" s="25">
        <v>28</v>
      </c>
      <c r="B32" s="26" t="s">
        <v>314</v>
      </c>
      <c r="C32" s="26" t="s">
        <v>168</v>
      </c>
      <c r="D32" s="27">
        <f>inp_f1_28</f>
        <v>0</v>
      </c>
      <c r="E32" s="26" t="s">
        <v>234</v>
      </c>
    </row>
    <row r="33" spans="1:5" ht="37.950000000000003" customHeight="1">
      <c r="A33" s="25">
        <v>29</v>
      </c>
      <c r="B33" s="26" t="s">
        <v>315</v>
      </c>
      <c r="C33" s="26" t="s">
        <v>171</v>
      </c>
      <c r="D33" s="27">
        <f>inp_f1_29</f>
        <v>0</v>
      </c>
      <c r="E33" s="26" t="s">
        <v>234</v>
      </c>
    </row>
    <row r="34" spans="1:5" ht="37.950000000000003" customHeight="1">
      <c r="A34" s="25">
        <v>30</v>
      </c>
      <c r="B34" s="26" t="s">
        <v>316</v>
      </c>
      <c r="C34" s="26" t="s">
        <v>174</v>
      </c>
      <c r="D34" s="27">
        <f>inp_f1_30</f>
        <v>0</v>
      </c>
      <c r="E34" s="26" t="s">
        <v>234</v>
      </c>
    </row>
    <row r="35" spans="1:5" ht="37.950000000000003" customHeight="1">
      <c r="A35" s="25">
        <v>31</v>
      </c>
      <c r="B35" s="26" t="s">
        <v>317</v>
      </c>
      <c r="C35" s="26" t="s">
        <v>318</v>
      </c>
      <c r="D35" s="27">
        <f>f1_09-f1_10+f1_11+f1_12+f1_13+f1_14+f1_15-f1_16+f1_17-f1_18-f1_19+f1_20+f1_21-f1_22+f1_23-f1_24+f1_25+f1_26-f1_27+f1_28+f1_29-f1_30</f>
        <v>0</v>
      </c>
      <c r="E35" s="26" t="s">
        <v>234</v>
      </c>
    </row>
    <row r="36" spans="1:5" ht="37.950000000000003" customHeight="1">
      <c r="A36" s="25">
        <v>32</v>
      </c>
      <c r="B36" s="26" t="s">
        <v>319</v>
      </c>
      <c r="C36" s="26" t="s">
        <v>320</v>
      </c>
      <c r="D36" s="27">
        <f>ROUNDDOWN(f1_31*40%,0)</f>
        <v>0</v>
      </c>
      <c r="E36" s="26" t="s">
        <v>284</v>
      </c>
    </row>
    <row r="37" spans="1:5" ht="37.950000000000003" customHeight="1">
      <c r="A37" s="25">
        <v>33</v>
      </c>
      <c r="B37" s="26" t="s">
        <v>262</v>
      </c>
      <c r="C37" s="26" t="s">
        <v>321</v>
      </c>
      <c r="D37" s="31">
        <f>MAX(f1_07,f1_08,f1_32)</f>
        <v>20000000</v>
      </c>
      <c r="E37" s="26" t="s">
        <v>322</v>
      </c>
    </row>
  </sheetData>
  <sheetProtection sheet="1" objects="1" scenarios="1"/>
  <mergeCells count="2">
    <mergeCell ref="A1:E1"/>
    <mergeCell ref="A2:E2"/>
  </mergeCells>
  <phoneticPr fontId="2"/>
  <pageMargins left="0.7" right="0.7" top="0.75" bottom="0.75" header="0.3" footer="0.3"/>
  <pageSetup paperSize="9" fitToHeight="99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00FFE-1363-4A82-BEA9-7013BF93500E}">
  <sheetPr>
    <tabColor rgb="FF2F75B5"/>
    <pageSetUpPr fitToPage="1"/>
  </sheetPr>
  <dimension ref="A1:E30"/>
  <sheetViews>
    <sheetView showGridLines="0" zoomScale="90" zoomScaleNormal="90" workbookViewId="0">
      <pane ySplit="3" topLeftCell="A4" activePane="bottomLeft" state="frozenSplit"/>
      <selection pane="bottomLeft" sqref="A1:E1"/>
    </sheetView>
  </sheetViews>
  <sheetFormatPr defaultRowHeight="18"/>
  <cols>
    <col min="1" max="1" width="7.69921875" customWidth="1"/>
    <col min="2" max="2" width="37.69921875" customWidth="1"/>
    <col min="3" max="3" width="49.69921875" customWidth="1"/>
    <col min="4" max="4" width="18.69921875" customWidth="1"/>
    <col min="5" max="5" width="28.69921875" customWidth="1"/>
  </cols>
  <sheetData>
    <row r="1" spans="1:5" ht="30" customHeight="1">
      <c r="A1" s="2" t="s">
        <v>323</v>
      </c>
      <c r="B1" s="3"/>
      <c r="C1" s="3"/>
      <c r="D1" s="3"/>
      <c r="E1" s="3"/>
    </row>
    <row r="2" spans="1:5">
      <c r="A2" s="4" t="s">
        <v>215</v>
      </c>
      <c r="B2" s="3"/>
      <c r="C2" s="3"/>
      <c r="D2" s="3"/>
      <c r="E2" s="3"/>
    </row>
    <row r="3" spans="1:5">
      <c r="A3" s="5"/>
      <c r="B3" s="5"/>
      <c r="C3" s="5"/>
      <c r="D3" s="5"/>
      <c r="E3" s="5"/>
    </row>
    <row r="4" spans="1:5">
      <c r="A4" s="24" t="s">
        <v>216</v>
      </c>
      <c r="B4" s="24" t="s">
        <v>217</v>
      </c>
      <c r="C4" s="24" t="s">
        <v>218</v>
      </c>
      <c r="D4" s="24" t="s">
        <v>219</v>
      </c>
      <c r="E4" s="24" t="s">
        <v>220</v>
      </c>
    </row>
    <row r="5" spans="1:5" ht="37.950000000000003" customHeight="1">
      <c r="A5" s="25">
        <v>1</v>
      </c>
      <c r="B5" s="26" t="s">
        <v>324</v>
      </c>
      <c r="C5" s="26" t="s">
        <v>178</v>
      </c>
      <c r="D5" s="27">
        <f>IF(inp_group="はい",inp_f2_01,0)</f>
        <v>0</v>
      </c>
      <c r="E5" s="26" t="s">
        <v>234</v>
      </c>
    </row>
    <row r="6" spans="1:5" ht="37.950000000000003" customHeight="1">
      <c r="A6" s="25">
        <v>2</v>
      </c>
      <c r="B6" s="26" t="s">
        <v>325</v>
      </c>
      <c r="C6" s="26" t="s">
        <v>181</v>
      </c>
      <c r="D6" s="27">
        <f>IF(inp_group="はい",inp_f2_02,0)</f>
        <v>0</v>
      </c>
      <c r="E6" s="26" t="s">
        <v>234</v>
      </c>
    </row>
    <row r="7" spans="1:5" ht="37.950000000000003" customHeight="1">
      <c r="A7" s="25">
        <v>3</v>
      </c>
      <c r="B7" s="26" t="s">
        <v>326</v>
      </c>
      <c r="C7" s="26" t="s">
        <v>184</v>
      </c>
      <c r="D7" s="27">
        <f>IF(inp_group="はい",inp_f2_03,0)</f>
        <v>0</v>
      </c>
      <c r="E7" s="26" t="s">
        <v>234</v>
      </c>
    </row>
    <row r="8" spans="1:5" ht="37.950000000000003" customHeight="1">
      <c r="A8" s="25">
        <v>4</v>
      </c>
      <c r="B8" s="26" t="s">
        <v>327</v>
      </c>
      <c r="C8" s="26" t="s">
        <v>184</v>
      </c>
      <c r="D8" s="27">
        <f>IF(inp_group="はい",inp_f2_04,0)</f>
        <v>0</v>
      </c>
      <c r="E8" s="26" t="s">
        <v>234</v>
      </c>
    </row>
    <row r="9" spans="1:5" ht="37.950000000000003" customHeight="1">
      <c r="A9" s="25">
        <v>5</v>
      </c>
      <c r="B9" s="26" t="s">
        <v>254</v>
      </c>
      <c r="C9" s="26" t="s">
        <v>328</v>
      </c>
      <c r="D9" s="27">
        <f>SUM(f2_01:f2_04)</f>
        <v>0</v>
      </c>
      <c r="E9" s="26" t="s">
        <v>329</v>
      </c>
    </row>
    <row r="10" spans="1:5" ht="37.950000000000003" customHeight="1">
      <c r="A10" s="25">
        <v>6</v>
      </c>
      <c r="B10" s="26" t="s">
        <v>330</v>
      </c>
      <c r="C10" s="26" t="s">
        <v>189</v>
      </c>
      <c r="D10" s="27">
        <f>IF(inp_group="はい",inp_f2_06,0)</f>
        <v>0</v>
      </c>
      <c r="E10" s="26" t="s">
        <v>234</v>
      </c>
    </row>
    <row r="11" spans="1:5" ht="37.950000000000003" customHeight="1">
      <c r="A11" s="25">
        <v>7</v>
      </c>
      <c r="B11" s="26" t="s">
        <v>331</v>
      </c>
      <c r="C11" s="26" t="s">
        <v>192</v>
      </c>
      <c r="D11" s="27">
        <f>IF(inp_group="はい",inp_f2_07,0)</f>
        <v>0</v>
      </c>
      <c r="E11" s="26" t="s">
        <v>234</v>
      </c>
    </row>
    <row r="12" spans="1:5" ht="37.950000000000003" customHeight="1">
      <c r="A12" s="25">
        <v>8</v>
      </c>
      <c r="B12" s="26" t="s">
        <v>332</v>
      </c>
      <c r="C12" s="26" t="s">
        <v>195</v>
      </c>
      <c r="D12" s="27">
        <f>IF(inp_group="はい",inp_f2_08,0)</f>
        <v>0</v>
      </c>
      <c r="E12" s="26" t="s">
        <v>234</v>
      </c>
    </row>
    <row r="13" spans="1:5" ht="37.950000000000003" customHeight="1">
      <c r="A13" s="25">
        <v>9</v>
      </c>
      <c r="B13" s="26" t="s">
        <v>333</v>
      </c>
      <c r="C13" s="26" t="s">
        <v>334</v>
      </c>
      <c r="D13" s="27">
        <f>IF(inp_group="はい",f2_26,0)</f>
        <v>0</v>
      </c>
      <c r="E13" s="26" t="s">
        <v>234</v>
      </c>
    </row>
    <row r="14" spans="1:5" ht="37.950000000000003" customHeight="1">
      <c r="A14" s="25">
        <v>10</v>
      </c>
      <c r="B14" s="26" t="s">
        <v>256</v>
      </c>
      <c r="C14" s="26" t="s">
        <v>335</v>
      </c>
      <c r="D14" s="27">
        <f>SUM(f2_06:f2_09)</f>
        <v>0</v>
      </c>
      <c r="E14" s="26" t="s">
        <v>336</v>
      </c>
    </row>
    <row r="15" spans="1:5" ht="37.950000000000003" customHeight="1">
      <c r="A15" s="25">
        <v>11</v>
      </c>
      <c r="B15" s="26" t="s">
        <v>331</v>
      </c>
      <c r="C15" s="26" t="s">
        <v>192</v>
      </c>
      <c r="D15" s="27">
        <f>IF(inp_group="はい",inp_f2_07,0)</f>
        <v>0</v>
      </c>
      <c r="E15" s="26" t="s">
        <v>337</v>
      </c>
    </row>
    <row r="16" spans="1:5" ht="37.950000000000003" customHeight="1">
      <c r="A16" s="25">
        <v>12</v>
      </c>
      <c r="B16" s="26" t="s">
        <v>338</v>
      </c>
      <c r="C16" s="26" t="s">
        <v>198</v>
      </c>
      <c r="D16" s="27">
        <f>IF(inp_group="はい",inp_f2_12,0)</f>
        <v>0</v>
      </c>
      <c r="E16" s="26" t="s">
        <v>234</v>
      </c>
    </row>
    <row r="17" spans="1:5" ht="37.950000000000003" customHeight="1">
      <c r="A17" s="25">
        <v>13</v>
      </c>
      <c r="B17" s="26" t="s">
        <v>302</v>
      </c>
      <c r="C17" s="26" t="s">
        <v>339</v>
      </c>
      <c r="D17" s="27">
        <f>SUM(f2_11:f2_12)</f>
        <v>0</v>
      </c>
      <c r="E17" s="26" t="s">
        <v>340</v>
      </c>
    </row>
    <row r="18" spans="1:5" ht="37.950000000000003" customHeight="1">
      <c r="A18" s="25">
        <v>14</v>
      </c>
      <c r="B18" s="26" t="s">
        <v>325</v>
      </c>
      <c r="C18" s="26" t="s">
        <v>181</v>
      </c>
      <c r="D18" s="27">
        <f>IF(inp_group="はい",inp_f2_02,0)</f>
        <v>0</v>
      </c>
      <c r="E18" s="26" t="s">
        <v>341</v>
      </c>
    </row>
    <row r="19" spans="1:5" ht="37.950000000000003" customHeight="1">
      <c r="A19" s="25">
        <v>15</v>
      </c>
      <c r="B19" s="26" t="s">
        <v>342</v>
      </c>
      <c r="C19" s="26" t="s">
        <v>201</v>
      </c>
      <c r="D19" s="27">
        <f>IF(inp_group="はい",inp_f2_15,0)</f>
        <v>0</v>
      </c>
      <c r="E19" s="26" t="s">
        <v>234</v>
      </c>
    </row>
    <row r="20" spans="1:5" ht="37.950000000000003" customHeight="1">
      <c r="A20" s="25">
        <v>16</v>
      </c>
      <c r="B20" s="26" t="s">
        <v>343</v>
      </c>
      <c r="C20" s="26" t="s">
        <v>204</v>
      </c>
      <c r="D20" s="27">
        <f>IF(inp_group="はい",inp_f2_16,0)</f>
        <v>0</v>
      </c>
      <c r="E20" s="26" t="s">
        <v>234</v>
      </c>
    </row>
    <row r="21" spans="1:5" ht="37.950000000000003" customHeight="1">
      <c r="A21" s="25">
        <v>17</v>
      </c>
      <c r="B21" s="26" t="s">
        <v>304</v>
      </c>
      <c r="C21" s="26" t="s">
        <v>344</v>
      </c>
      <c r="D21" s="27">
        <f>SUM(f2_14:f2_16)</f>
        <v>0</v>
      </c>
      <c r="E21" s="26" t="s">
        <v>340</v>
      </c>
    </row>
    <row r="22" spans="1:5" ht="37.950000000000003" customHeight="1">
      <c r="A22" s="25">
        <v>18</v>
      </c>
      <c r="B22" s="26" t="s">
        <v>345</v>
      </c>
      <c r="C22" s="26" t="s">
        <v>346</v>
      </c>
      <c r="D22" s="27">
        <f>f2_08</f>
        <v>0</v>
      </c>
      <c r="E22" s="26" t="s">
        <v>234</v>
      </c>
    </row>
    <row r="23" spans="1:5" ht="37.950000000000003" customHeight="1">
      <c r="A23" s="25">
        <v>19</v>
      </c>
      <c r="B23" s="26" t="s">
        <v>347</v>
      </c>
      <c r="C23" s="26" t="s">
        <v>348</v>
      </c>
      <c r="D23" s="27">
        <f>MAX(f2_18-f2_04,0)</f>
        <v>0</v>
      </c>
      <c r="E23" s="26" t="s">
        <v>234</v>
      </c>
    </row>
    <row r="24" spans="1:5" ht="37.950000000000003" customHeight="1">
      <c r="A24" s="25">
        <v>20</v>
      </c>
      <c r="B24" s="26" t="s">
        <v>349</v>
      </c>
      <c r="C24" s="26" t="s">
        <v>350</v>
      </c>
      <c r="D24" s="27">
        <f>MIN(f2_03,f2_19)</f>
        <v>0</v>
      </c>
      <c r="E24" s="26" t="s">
        <v>234</v>
      </c>
    </row>
    <row r="25" spans="1:5" ht="37.950000000000003" customHeight="1">
      <c r="A25" s="25">
        <v>21</v>
      </c>
      <c r="B25" s="26" t="s">
        <v>351</v>
      </c>
      <c r="C25" s="26" t="s">
        <v>207</v>
      </c>
      <c r="D25" s="27">
        <f>IF(inp_group="はい",inp_f2_21,0)-f2_20</f>
        <v>0</v>
      </c>
      <c r="E25" s="26" t="s">
        <v>209</v>
      </c>
    </row>
    <row r="26" spans="1:5" ht="37.950000000000003" customHeight="1">
      <c r="A26" s="25">
        <v>22</v>
      </c>
      <c r="B26" s="26" t="s">
        <v>352</v>
      </c>
      <c r="C26" s="26" t="s">
        <v>353</v>
      </c>
      <c r="D26" s="27">
        <f>MAX(f2_04-f2_18,0)</f>
        <v>0</v>
      </c>
      <c r="E26" s="26" t="s">
        <v>234</v>
      </c>
    </row>
    <row r="27" spans="1:5" ht="37.950000000000003" customHeight="1">
      <c r="A27" s="25">
        <v>23</v>
      </c>
      <c r="B27" s="26" t="s">
        <v>354</v>
      </c>
      <c r="C27" s="26" t="s">
        <v>211</v>
      </c>
      <c r="D27" s="27">
        <f>IF(inp_group="はい",inp_f2_23,0)-f2_22</f>
        <v>0</v>
      </c>
      <c r="E27" s="26" t="s">
        <v>213</v>
      </c>
    </row>
    <row r="28" spans="1:5" ht="37.950000000000003" customHeight="1">
      <c r="A28" s="25">
        <v>24</v>
      </c>
      <c r="B28" s="26" t="s">
        <v>355</v>
      </c>
      <c r="C28" s="26" t="s">
        <v>356</v>
      </c>
      <c r="D28" s="30">
        <f>IF(f2_22+f2_23=0,0,f2_22/(f2_22+f2_23))</f>
        <v>0</v>
      </c>
      <c r="E28" s="26" t="s">
        <v>357</v>
      </c>
    </row>
    <row r="29" spans="1:5" ht="37.950000000000003" customHeight="1">
      <c r="A29" s="25">
        <v>25</v>
      </c>
      <c r="B29" s="26" t="s">
        <v>358</v>
      </c>
      <c r="C29" s="26" t="s">
        <v>359</v>
      </c>
      <c r="D29" s="27">
        <f>MAX(f2_03-f2_19,0)</f>
        <v>0</v>
      </c>
      <c r="E29" s="26" t="s">
        <v>234</v>
      </c>
    </row>
    <row r="30" spans="1:5" ht="37.950000000000003" customHeight="1">
      <c r="A30" s="25">
        <v>26</v>
      </c>
      <c r="B30" s="26" t="s">
        <v>333</v>
      </c>
      <c r="C30" s="26" t="s">
        <v>360</v>
      </c>
      <c r="D30" s="27">
        <f>IF(f2_22+f2_23=0,f2_25,QUOTIENT((f2_20+f2_21)*f2_22,f2_22+f2_23)+f2_25)</f>
        <v>0</v>
      </c>
      <c r="E30" s="26" t="s">
        <v>361</v>
      </c>
    </row>
  </sheetData>
  <sheetProtection sheet="1" objects="1" scenarios="1"/>
  <mergeCells count="2">
    <mergeCell ref="A1:E1"/>
    <mergeCell ref="A2:E2"/>
  </mergeCells>
  <phoneticPr fontId="2"/>
  <pageMargins left="0.7" right="0.7" top="0.75" bottom="0.75" header="0.3" footer="0.3"/>
  <pageSetup paperSize="9" fitToHeight="99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9F47A-B9C5-469B-BED0-518EC604A65C}">
  <sheetPr>
    <tabColor rgb="FF548235"/>
    <pageSetUpPr fitToPage="1"/>
  </sheetPr>
  <dimension ref="A1:A3"/>
  <sheetViews>
    <sheetView showGridLines="0" zoomScale="90" zoomScaleNormal="90" workbookViewId="0"/>
  </sheetViews>
  <sheetFormatPr defaultRowHeight="18"/>
  <cols>
    <col min="1" max="11" width="8.296875" customWidth="1"/>
    <col min="12" max="12" width="8" customWidth="1"/>
  </cols>
  <sheetData>
    <row r="1" ht="280.64999999999998" customHeight="1"/>
    <row r="2" ht="280.64999999999998" customHeight="1"/>
    <row r="3" ht="280.5" customHeight="1"/>
  </sheetData>
  <sheetProtection sheet="1" objects="1" scenarios="1"/>
  <phoneticPr fontId="2"/>
  <printOptions horizontalCentered="1" verticalCentered="1"/>
  <pageMargins left="0" right="0" top="0" bottom="0" header="0" footer="0"/>
  <pageSetup paperSize="9" scale="97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6BBBB-0D34-4B78-A589-469BF2687ED0}">
  <sheetPr>
    <tabColor rgb="FF548235"/>
    <pageSetUpPr fitToPage="1"/>
  </sheetPr>
  <dimension ref="A1:A3"/>
  <sheetViews>
    <sheetView showGridLines="0" zoomScale="90" zoomScaleNormal="90" workbookViewId="0"/>
  </sheetViews>
  <sheetFormatPr defaultRowHeight="18"/>
  <cols>
    <col min="1" max="11" width="8.296875" customWidth="1"/>
    <col min="12" max="12" width="8" customWidth="1"/>
  </cols>
  <sheetData>
    <row r="1" ht="280.64999999999998" customHeight="1"/>
    <row r="2" ht="280.64999999999998" customHeight="1"/>
    <row r="3" ht="280.5" customHeight="1"/>
  </sheetData>
  <sheetProtection sheet="1" objects="1" scenarios="1"/>
  <phoneticPr fontId="2"/>
  <printOptions horizontalCentered="1" verticalCentered="1"/>
  <pageMargins left="0" right="0" top="0" bottom="0" header="0" footer="0"/>
  <pageSetup paperSize="9" scale="97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D3FF4-FE65-47A8-BC00-D432C98D8581}">
  <sheetPr>
    <tabColor rgb="FF548235"/>
    <pageSetUpPr fitToPage="1"/>
  </sheetPr>
  <dimension ref="A1:A3"/>
  <sheetViews>
    <sheetView showGridLines="0" zoomScale="90" zoomScaleNormal="90" workbookViewId="0"/>
  </sheetViews>
  <sheetFormatPr defaultRowHeight="18"/>
  <cols>
    <col min="1" max="11" width="8.296875" customWidth="1"/>
    <col min="12" max="12" width="8" customWidth="1"/>
  </cols>
  <sheetData>
    <row r="1" ht="280.64999999999998" customHeight="1"/>
    <row r="2" ht="280.64999999999998" customHeight="1"/>
    <row r="3" ht="280.5" customHeight="1"/>
  </sheetData>
  <sheetProtection sheet="1" objects="1" scenarios="1"/>
  <phoneticPr fontId="2"/>
  <printOptions horizontalCentered="1" verticalCentered="1"/>
  <pageMargins left="0" right="0" top="0" bottom="0" header="0" footer="0"/>
  <pageSetup paperSize="9" scale="97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1A88C-745C-4B6D-917D-5EFEA4037812}">
  <sheetPr>
    <tabColor rgb="FFC00000"/>
    <pageSetUpPr fitToPage="1"/>
  </sheetPr>
  <dimension ref="A1:D26"/>
  <sheetViews>
    <sheetView showGridLines="0" zoomScale="90" zoomScaleNormal="90" workbookViewId="0">
      <pane ySplit="3" topLeftCell="A4" activePane="bottomLeft" state="frozenSplit"/>
      <selection pane="bottomLeft" sqref="A1:D1"/>
    </sheetView>
  </sheetViews>
  <sheetFormatPr defaultRowHeight="18"/>
  <cols>
    <col min="1" max="1" width="36.69921875" customWidth="1"/>
    <col min="2" max="3" width="32.69921875" customWidth="1"/>
    <col min="4" max="4" width="12.69921875" customWidth="1"/>
  </cols>
  <sheetData>
    <row r="1" spans="1:4">
      <c r="A1" s="45" t="s">
        <v>440</v>
      </c>
      <c r="B1" s="32"/>
      <c r="C1" s="32"/>
      <c r="D1" s="32"/>
    </row>
    <row r="2" spans="1:4">
      <c r="A2" s="46"/>
      <c r="B2" s="46"/>
      <c r="C2" s="46"/>
      <c r="D2" s="46"/>
    </row>
    <row r="3" spans="1:4">
      <c r="A3" s="47" t="s">
        <v>441</v>
      </c>
      <c r="B3" s="47" t="s">
        <v>442</v>
      </c>
      <c r="C3" s="47" t="s">
        <v>443</v>
      </c>
      <c r="D3" s="47" t="s">
        <v>444</v>
      </c>
    </row>
    <row r="4" spans="1:4">
      <c r="A4" s="14" t="s">
        <v>445</v>
      </c>
      <c r="B4" s="14" t="s">
        <v>446</v>
      </c>
      <c r="C4" s="14" t="s">
        <v>447</v>
      </c>
      <c r="D4" s="48" t="s">
        <v>448</v>
      </c>
    </row>
    <row r="5" spans="1:4">
      <c r="A5" s="14" t="s">
        <v>449</v>
      </c>
      <c r="B5" s="14" t="s">
        <v>450</v>
      </c>
      <c r="C5" s="14" t="s">
        <v>450</v>
      </c>
      <c r="D5" s="48" t="s">
        <v>448</v>
      </c>
    </row>
    <row r="6" spans="1:4">
      <c r="A6" s="14" t="s">
        <v>451</v>
      </c>
      <c r="B6" s="14" t="s">
        <v>452</v>
      </c>
      <c r="C6" s="14" t="s">
        <v>452</v>
      </c>
      <c r="D6" s="48" t="s">
        <v>448</v>
      </c>
    </row>
    <row r="7" spans="1:4">
      <c r="A7" s="14" t="s">
        <v>453</v>
      </c>
      <c r="B7" s="14" t="s">
        <v>454</v>
      </c>
      <c r="C7" s="14" t="s">
        <v>454</v>
      </c>
      <c r="D7" s="48" t="s">
        <v>448</v>
      </c>
    </row>
    <row r="8" spans="1:4">
      <c r="A8" s="14" t="s">
        <v>455</v>
      </c>
      <c r="B8" s="14" t="s">
        <v>454</v>
      </c>
      <c r="C8" s="14" t="s">
        <v>454</v>
      </c>
      <c r="D8" s="48" t="s">
        <v>448</v>
      </c>
    </row>
    <row r="9" spans="1:4">
      <c r="A9" s="14" t="s">
        <v>456</v>
      </c>
      <c r="B9" s="14" t="s">
        <v>454</v>
      </c>
      <c r="C9" s="14" t="s">
        <v>454</v>
      </c>
      <c r="D9" s="48" t="s">
        <v>448</v>
      </c>
    </row>
    <row r="10" spans="1:4">
      <c r="A10" s="14" t="s">
        <v>457</v>
      </c>
      <c r="B10" s="14" t="s">
        <v>458</v>
      </c>
      <c r="C10" s="14" t="s">
        <v>458</v>
      </c>
      <c r="D10" s="48" t="s">
        <v>448</v>
      </c>
    </row>
    <row r="11" spans="1:4" ht="36">
      <c r="A11" s="14" t="s">
        <v>459</v>
      </c>
      <c r="B11" s="14" t="s">
        <v>460</v>
      </c>
      <c r="C11" s="14" t="s">
        <v>461</v>
      </c>
      <c r="D11" s="48" t="s">
        <v>448</v>
      </c>
    </row>
    <row r="12" spans="1:4">
      <c r="A12" s="14" t="s">
        <v>462</v>
      </c>
      <c r="B12" s="14" t="s">
        <v>463</v>
      </c>
      <c r="C12" s="14" t="s">
        <v>464</v>
      </c>
      <c r="D12" s="48" t="s">
        <v>448</v>
      </c>
    </row>
    <row r="13" spans="1:4">
      <c r="A13" s="14" t="s">
        <v>465</v>
      </c>
      <c r="B13" s="14" t="s">
        <v>466</v>
      </c>
      <c r="C13" s="14" t="s">
        <v>467</v>
      </c>
      <c r="D13" s="48" t="s">
        <v>448</v>
      </c>
    </row>
    <row r="14" spans="1:4">
      <c r="A14" s="14" t="s">
        <v>468</v>
      </c>
      <c r="B14" s="14" t="s">
        <v>469</v>
      </c>
      <c r="C14" s="14" t="s">
        <v>470</v>
      </c>
      <c r="D14" s="48" t="s">
        <v>448</v>
      </c>
    </row>
    <row r="15" spans="1:4">
      <c r="A15" s="14" t="s">
        <v>471</v>
      </c>
      <c r="B15" s="14" t="s">
        <v>472</v>
      </c>
      <c r="C15" s="14" t="s">
        <v>472</v>
      </c>
      <c r="D15" s="48" t="s">
        <v>448</v>
      </c>
    </row>
    <row r="16" spans="1:4">
      <c r="A16" s="14"/>
      <c r="B16" s="14"/>
      <c r="C16" s="14"/>
      <c r="D16" s="14"/>
    </row>
    <row r="17" spans="1:4" ht="22.95" customHeight="1">
      <c r="A17" s="49" t="s">
        <v>473</v>
      </c>
      <c r="B17" s="49"/>
      <c r="C17" s="49"/>
      <c r="D17" s="49"/>
    </row>
    <row r="18" spans="1:4">
      <c r="A18" s="14" t="s">
        <v>474</v>
      </c>
      <c r="B18" s="14">
        <v>0</v>
      </c>
      <c r="C18" s="14">
        <v>0</v>
      </c>
      <c r="D18" s="50" t="s">
        <v>448</v>
      </c>
    </row>
    <row r="19" spans="1:4">
      <c r="A19" s="14" t="s">
        <v>475</v>
      </c>
      <c r="B19" s="14">
        <v>28</v>
      </c>
      <c r="C19" s="14">
        <v>28</v>
      </c>
      <c r="D19" s="50" t="s">
        <v>448</v>
      </c>
    </row>
    <row r="20" spans="1:4">
      <c r="A20" s="14" t="s">
        <v>476</v>
      </c>
      <c r="B20" s="14">
        <v>33</v>
      </c>
      <c r="C20" s="14">
        <v>33</v>
      </c>
      <c r="D20" s="50" t="s">
        <v>448</v>
      </c>
    </row>
    <row r="21" spans="1:4">
      <c r="A21" s="14" t="s">
        <v>477</v>
      </c>
      <c r="B21" s="14">
        <v>26</v>
      </c>
      <c r="C21" s="14">
        <v>26</v>
      </c>
      <c r="D21" s="50" t="s">
        <v>448</v>
      </c>
    </row>
    <row r="22" spans="1:4">
      <c r="A22" s="14" t="s">
        <v>478</v>
      </c>
      <c r="B22" s="14" t="b">
        <v>1</v>
      </c>
      <c r="C22" s="14" t="b">
        <v>1</v>
      </c>
      <c r="D22" s="50" t="s">
        <v>448</v>
      </c>
    </row>
    <row r="23" spans="1:4">
      <c r="A23" s="14" t="s">
        <v>370</v>
      </c>
      <c r="B23" s="14" t="b">
        <v>1</v>
      </c>
      <c r="C23" s="14" t="b">
        <v>1</v>
      </c>
      <c r="D23" s="50" t="s">
        <v>448</v>
      </c>
    </row>
    <row r="24" spans="1:4">
      <c r="A24" s="14"/>
      <c r="B24" s="14"/>
      <c r="C24" s="14"/>
      <c r="D24" s="14"/>
    </row>
    <row r="25" spans="1:4" ht="22.95" customHeight="1">
      <c r="A25" s="49" t="s">
        <v>479</v>
      </c>
      <c r="B25" s="49"/>
      <c r="C25" s="49"/>
      <c r="D25" s="49"/>
    </row>
    <row r="26" spans="1:4">
      <c r="A26" s="14" t="s">
        <v>480</v>
      </c>
      <c r="B26" s="14" t="s">
        <v>481</v>
      </c>
      <c r="C26" s="14" t="b">
        <f>cfg_f2_input_valid</f>
        <v>1</v>
      </c>
      <c r="D26" s="51" t="str">
        <f>IF(C26,"PASS","FAIL")</f>
        <v>PASS</v>
      </c>
    </row>
  </sheetData>
  <sheetProtection sheet="1" objects="1" scenarios="1"/>
  <mergeCells count="3">
    <mergeCell ref="A1:D1"/>
    <mergeCell ref="A17:D17"/>
    <mergeCell ref="A25:D25"/>
  </mergeCells>
  <phoneticPr fontId="2"/>
  <pageMargins left="0.7" right="0.7" top="0.75" bottom="0.75" header="0.3" footer="0.3"/>
  <pageSetup paperSize="9" fitToHeight="99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3EF70-3E28-42D7-9F9D-247D801087E8}">
  <sheetPr>
    <tabColor rgb="FFD9E1F2"/>
    <pageSetUpPr fitToPage="1"/>
  </sheetPr>
  <dimension ref="A1:E15"/>
  <sheetViews>
    <sheetView showGridLines="0" zoomScale="90" zoomScaleNormal="90" workbookViewId="0">
      <pane ySplit="3" topLeftCell="A4" activePane="bottomLeft" state="frozenSplit"/>
      <selection pane="bottomLeft" sqref="A1:E1"/>
    </sheetView>
  </sheetViews>
  <sheetFormatPr defaultRowHeight="18"/>
  <cols>
    <col min="1" max="1" width="14.69921875" customWidth="1"/>
    <col min="2" max="2" width="38.69921875" customWidth="1"/>
    <col min="3" max="3" width="62.69921875" customWidth="1"/>
    <col min="4" max="4" width="68.69921875" customWidth="1"/>
    <col min="5" max="5" width="38.69921875" customWidth="1"/>
  </cols>
  <sheetData>
    <row r="1" spans="1:5" ht="26.4">
      <c r="A1" s="2" t="s">
        <v>396</v>
      </c>
      <c r="B1" s="3"/>
      <c r="C1" s="3"/>
      <c r="D1" s="3"/>
      <c r="E1" s="3"/>
    </row>
    <row r="2" spans="1:5">
      <c r="A2" s="5"/>
      <c r="B2" s="5"/>
      <c r="C2" s="5"/>
      <c r="D2" s="5"/>
      <c r="E2" s="5"/>
    </row>
    <row r="3" spans="1:5">
      <c r="A3" s="13" t="s">
        <v>397</v>
      </c>
      <c r="B3" s="13" t="s">
        <v>398</v>
      </c>
      <c r="C3" s="13" t="s">
        <v>399</v>
      </c>
      <c r="D3" s="13" t="s">
        <v>400</v>
      </c>
      <c r="E3" s="13" t="s">
        <v>401</v>
      </c>
    </row>
    <row r="4" spans="1:5" ht="42" customHeight="1">
      <c r="A4" s="9" t="s">
        <v>402</v>
      </c>
      <c r="B4" s="14" t="s">
        <v>403</v>
      </c>
      <c r="C4" s="44" t="s">
        <v>404</v>
      </c>
      <c r="D4" s="14"/>
      <c r="E4" s="14" t="s">
        <v>405</v>
      </c>
    </row>
    <row r="5" spans="1:5" ht="42" customHeight="1">
      <c r="A5" s="9" t="s">
        <v>402</v>
      </c>
      <c r="B5" s="14" t="s">
        <v>406</v>
      </c>
      <c r="C5" s="44" t="s">
        <v>407</v>
      </c>
      <c r="D5" s="14" t="s">
        <v>408</v>
      </c>
      <c r="E5" s="14" t="s">
        <v>409</v>
      </c>
    </row>
    <row r="6" spans="1:5" ht="42" customHeight="1">
      <c r="A6" s="9" t="s">
        <v>402</v>
      </c>
      <c r="B6" s="14" t="s">
        <v>410</v>
      </c>
      <c r="C6" s="44" t="s">
        <v>411</v>
      </c>
      <c r="D6" s="14" t="s">
        <v>412</v>
      </c>
      <c r="E6" s="14" t="s">
        <v>409</v>
      </c>
    </row>
    <row r="7" spans="1:5" ht="42" customHeight="1">
      <c r="A7" s="9" t="s">
        <v>402</v>
      </c>
      <c r="B7" s="14" t="s">
        <v>413</v>
      </c>
      <c r="C7" s="44" t="s">
        <v>414</v>
      </c>
      <c r="D7" s="14" t="s">
        <v>415</v>
      </c>
      <c r="E7" s="14" t="s">
        <v>409</v>
      </c>
    </row>
    <row r="8" spans="1:5" ht="42" customHeight="1">
      <c r="A8" s="9" t="s">
        <v>402</v>
      </c>
      <c r="B8" s="14" t="s">
        <v>416</v>
      </c>
      <c r="C8" s="44" t="s">
        <v>417</v>
      </c>
      <c r="D8" s="14" t="s">
        <v>418</v>
      </c>
      <c r="E8" s="14" t="s">
        <v>409</v>
      </c>
    </row>
    <row r="9" spans="1:5" ht="42" customHeight="1">
      <c r="A9" s="9" t="s">
        <v>402</v>
      </c>
      <c r="B9" s="14" t="s">
        <v>419</v>
      </c>
      <c r="C9" s="44" t="s">
        <v>420</v>
      </c>
      <c r="D9" s="14" t="s">
        <v>421</v>
      </c>
      <c r="E9" s="14" t="s">
        <v>409</v>
      </c>
    </row>
    <row r="10" spans="1:5" ht="42" customHeight="1">
      <c r="A10" s="9" t="s">
        <v>402</v>
      </c>
      <c r="B10" s="14" t="s">
        <v>422</v>
      </c>
      <c r="C10" s="44" t="s">
        <v>423</v>
      </c>
      <c r="D10" s="14" t="s">
        <v>424</v>
      </c>
      <c r="E10" s="14" t="s">
        <v>409</v>
      </c>
    </row>
    <row r="11" spans="1:5" ht="42" customHeight="1">
      <c r="A11" s="9" t="s">
        <v>402</v>
      </c>
      <c r="B11" s="14" t="s">
        <v>425</v>
      </c>
      <c r="C11" s="44" t="s">
        <v>426</v>
      </c>
      <c r="D11" s="14"/>
      <c r="E11" s="14" t="s">
        <v>427</v>
      </c>
    </row>
    <row r="12" spans="1:5" ht="42" customHeight="1">
      <c r="A12" s="9" t="s">
        <v>428</v>
      </c>
      <c r="B12" s="14" t="s">
        <v>429</v>
      </c>
      <c r="C12" s="44" t="s">
        <v>430</v>
      </c>
      <c r="D12" s="14"/>
      <c r="E12" s="14" t="s">
        <v>431</v>
      </c>
    </row>
    <row r="13" spans="1:5" ht="42" customHeight="1">
      <c r="A13" s="9" t="s">
        <v>428</v>
      </c>
      <c r="B13" s="14" t="s">
        <v>432</v>
      </c>
      <c r="C13" s="44" t="s">
        <v>433</v>
      </c>
      <c r="D13" s="14"/>
      <c r="E13" s="14" t="s">
        <v>434</v>
      </c>
    </row>
    <row r="14" spans="1:5">
      <c r="A14" s="9"/>
      <c r="B14" s="9"/>
      <c r="C14" s="9"/>
      <c r="D14" s="9"/>
      <c r="E14" s="9"/>
    </row>
    <row r="15" spans="1:5">
      <c r="A15" s="9" t="s">
        <v>435</v>
      </c>
      <c r="B15" s="8" t="s">
        <v>436</v>
      </c>
      <c r="C15" s="8"/>
      <c r="D15" s="8"/>
      <c r="E15" s="8"/>
    </row>
  </sheetData>
  <sheetProtection sheet="1" objects="1" scenarios="1"/>
  <mergeCells count="2">
    <mergeCell ref="A1:E1"/>
    <mergeCell ref="B15:E15"/>
  </mergeCells>
  <phoneticPr fontId="2"/>
  <hyperlinks>
    <hyperlink ref="C4" r:id="rId1" tooltip="https://www.nta.go.jp/taxes/tetsuzuki/shinsei/annai/hojin/shinkoku/itiran2024/01.htm" xr:uid="{E388F72E-5A28-4C97-BA15-657B58481005}"/>
    <hyperlink ref="C5" r:id="rId2" tooltip="https://www.nta.go.jp/taxes/tetsuzuki/shinsei/annai/hojin/shinkoku/itiran2024/pdf/03%2801%29.pdf" xr:uid="{E11AF5D7-75E3-4768-AB25-0AC20D96E080}"/>
    <hyperlink ref="C6" r:id="rId3" tooltip="https://www.nta.go.jp/taxes/tetsuzuki/shinsei/annai/hojin/shinkoku/itiran2024/pdf/03%2801%29-ki.pdf" xr:uid="{5423DDED-8A17-4CA0-9933-F4C707067E89}"/>
    <hyperlink ref="C7" r:id="rId4" tooltip="https://www.nta.go.jp/taxes/tetsuzuki/shinsei/annai/hojin/shinkoku/itiran2024/pdf/03%2801%29-f1.pdf" xr:uid="{76EE429F-B3A0-4ED0-BD78-91D286FABF15}"/>
    <hyperlink ref="C8" r:id="rId5" tooltip="https://www.nta.go.jp/taxes/tetsuzuki/shinsei/annai/hojin/shinkoku/itiran2024/pdf/03%2801%29-f1-ki.pdf" xr:uid="{96AF08A4-6DAE-41F9-A2BA-D2B4F72C1E14}"/>
    <hyperlink ref="C9" r:id="rId6" tooltip="https://www.nta.go.jp/taxes/tetsuzuki/shinsei/annai/hojin/shinkoku/itiran2024/pdf/03%2801%29-f2.pdf" xr:uid="{D08C893E-1BF7-4290-96C1-782BC80ABE2E}"/>
    <hyperlink ref="C10" r:id="rId7" tooltip="https://www.nta.go.jp/taxes/tetsuzuki/shinsei/annai/hojin/shinkoku/itiran2024/pdf/03%2801%29-f2-ki.pdf" xr:uid="{60ABFD26-44B9-45F6-9EAB-A6E1633D8831}"/>
    <hyperlink ref="C11" r:id="rId8" tooltip="https://www.nta.go.jp/law/tsutatsu/kihon/hojin/16/16_01_02.htm" xr:uid="{0E636B3B-6A7D-4A82-A60C-AC4253EFF456}"/>
    <hyperlink ref="C12" r:id="rId9" location="Mp-At_67" tooltip="https://laws.e-gov.go.jp/law/340AC0000000034#Mp-At_67" xr:uid="{94939970-F69D-4EB0-ABF9-D71D95FA256E}"/>
    <hyperlink ref="C13" r:id="rId10" location="Mp-At_10" tooltip="https://laws.e-gov.go.jp/law/337AC0000000066#Mp-At_10" xr:uid="{24F8182D-11AE-4024-99C0-D21594B995BE}"/>
  </hyperlinks>
  <pageMargins left="0.7" right="0.7" top="0.75" bottom="0.75" header="0.3" footer="0.3"/>
  <pageSetup paperSize="9" fitToHeight="999" orientation="landscape" r:id="rId1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56304-21B7-477B-8DD4-FD44F2A1B442}">
  <dimension ref="A1:E37"/>
  <sheetViews>
    <sheetView workbookViewId="0"/>
  </sheetViews>
  <sheetFormatPr defaultRowHeight="18"/>
  <sheetData>
    <row r="1" spans="1:5">
      <c r="A1" t="str">
        <f>IF(inp_corp="","",inp_corp)</f>
        <v/>
      </c>
    </row>
    <row r="2" spans="1:5">
      <c r="A2" t="str">
        <f>IF(OR(inp_start="",inp_end=""),"",TEXT(inp_start,"yyyy.m.d")&amp;CHAR(10)&amp;TEXT(inp_end,"yyyy.m.d"))</f>
        <v>2024.4.1
2025.3.31</v>
      </c>
    </row>
    <row r="5" spans="1:5">
      <c r="A5" t="str">
        <f>IF(m_01=0,"",TEXT(m_01/1000,"#,##0;-#,##0"))</f>
        <v/>
      </c>
      <c r="B5" t="str">
        <f>IF(inp_m9_inner=0,"",TEXT(inp_m9_inner,"#,##0;-#,##0"))</f>
        <v/>
      </c>
      <c r="C5" t="str">
        <f>IF(f1_01=0,"",TEXT(f1_01,"#,##0;-#,##0"))</f>
        <v/>
      </c>
      <c r="E5" t="str">
        <f>IF(f2_01=0,"",TEXT(f2_01,"#,##0;-#,##0"))</f>
        <v/>
      </c>
    </row>
    <row r="6" spans="1:5">
      <c r="A6" t="str">
        <f>IF(m_02=0,"",TEXT(m_02/1000,"#,##0;-#,##0"))</f>
        <v/>
      </c>
      <c r="C6" t="str">
        <f>IF(f1_02=0,"",TEXT(f1_02,"#,##0;-#,##0"))</f>
        <v/>
      </c>
      <c r="E6" t="str">
        <f>IF(f2_02=0,"",TEXT(f2_02,"#,##0;-#,##0"))</f>
        <v/>
      </c>
    </row>
    <row r="7" spans="1:5">
      <c r="A7" t="str">
        <f>IF(m_03=0,"",TEXT(m_03/1000,"#,##0;-#,##0"))</f>
        <v/>
      </c>
      <c r="C7" t="str">
        <f>IF(f1_03=0,"",TEXT(f1_03,"#,##0;-#,##0"))</f>
        <v/>
      </c>
      <c r="E7" t="str">
        <f>IF(f2_03=0,"",TEXT(f2_03,"#,##0;-#,##0"))</f>
        <v/>
      </c>
    </row>
    <row r="8" spans="1:5">
      <c r="A8" t="str">
        <f>IF(m_04=0,"",TEXT(m_04/1000,"#,##0;-#,##0"))</f>
        <v/>
      </c>
      <c r="C8" t="str">
        <f>IF(f1_04=0,"",TEXT(f1_04,"#,##0;-#,##0"))</f>
        <v/>
      </c>
      <c r="E8" t="str">
        <f>IF(f2_04=0,"",TEXT(f2_04,"#,##0;-#,##0"))</f>
        <v/>
      </c>
    </row>
    <row r="9" spans="1:5">
      <c r="A9" t="str">
        <f>IF(m_05=0,"",TEXT(m_05,"#,##0;-#,##0"))</f>
        <v/>
      </c>
      <c r="C9" t="str">
        <f>IF(f1_05=0,"",TEXT(f1_05,"#,##0;-#,##0"))</f>
        <v/>
      </c>
      <c r="E9" t="str">
        <f>IF(f2_05=0,"",TEXT(f2_05,"#,##0;-#,##0"))</f>
        <v/>
      </c>
    </row>
    <row r="10" spans="1:5">
      <c r="A10" t="str">
        <f>IF(m_06=0,"",TEXT(m_06,"#,##0;-#,##0"))</f>
        <v/>
      </c>
      <c r="C10" t="str">
        <f>IF(f1_06=0,"",TEXT(f1_06,"#,##0;-#,##0"))</f>
        <v/>
      </c>
      <c r="E10" t="str">
        <f>IF(f2_06=0,"",TEXT(f2_06,"#,##0;-#,##0"))</f>
        <v/>
      </c>
    </row>
    <row r="11" spans="1:5">
      <c r="A11" t="str">
        <f>IF(m_07=0,"",TEXT(m_07,"#,##0;-#,##0"))</f>
        <v/>
      </c>
      <c r="C11" t="str">
        <f>IF(f1_07=0,"",TEXT(f1_07,"#,##0;-#,##0"))</f>
        <v/>
      </c>
      <c r="E11" t="str">
        <f>IF(f2_07=0,"",TEXT(f2_07,"#,##0;-#,##0"))</f>
        <v/>
      </c>
    </row>
    <row r="12" spans="1:5">
      <c r="A12" t="str">
        <f>IF(m_08=0,"",TEXT(m_08,"#,##0;-#,##0"))</f>
        <v/>
      </c>
      <c r="C12" t="str">
        <f>IF(f1_08=0,"",TEXT(f1_08,"#,##0;-#,##0"))</f>
        <v>20,000,000</v>
      </c>
      <c r="E12" t="str">
        <f>IF(f2_08=0,"",TEXT(f2_08,"#,##0;-#,##0"))</f>
        <v/>
      </c>
    </row>
    <row r="13" spans="1:5">
      <c r="A13" t="str">
        <f>IF(m_09=0,"",TEXT(m_09,"#,##0;-#,##0"))</f>
        <v/>
      </c>
      <c r="C13" t="str">
        <f>IF(f1_09=0,"",TEXT(f1_09,"#,##0;-#,##0"))</f>
        <v/>
      </c>
      <c r="E13" t="str">
        <f>IF(f2_09=0,"",TEXT(f2_09,"#,##0;-#,##0"))</f>
        <v/>
      </c>
    </row>
    <row r="14" spans="1:5">
      <c r="A14" t="str">
        <f>IF(m_10=0,"",TEXT(m_10,"#,##0;-#,##0"))</f>
        <v/>
      </c>
      <c r="C14" t="str">
        <f>IF(f1_10=0,"",TEXT(f1_10,"#,##0;-#,##0"))</f>
        <v/>
      </c>
      <c r="E14" t="str">
        <f>IF(f2_10=0,"",TEXT(f2_10,"#,##0;-#,##0"))</f>
        <v/>
      </c>
    </row>
    <row r="15" spans="1:5">
      <c r="A15" t="str">
        <f>IF(m_11=0,"",TEXT(m_11,"#,##0;-#,##0"))</f>
        <v/>
      </c>
      <c r="C15" t="str">
        <f>IF(f1_11=0,"",TEXT(f1_11,"#,##0;-#,##0"))</f>
        <v/>
      </c>
      <c r="E15" t="str">
        <f>IF(f2_11=0,"",TEXT(f2_11,"#,##0;-#,##0"))</f>
        <v/>
      </c>
    </row>
    <row r="16" spans="1:5">
      <c r="A16" t="str">
        <f>IF(m_12=0,"",TEXT(m_12,"#,##0;-#,##0"))</f>
        <v/>
      </c>
      <c r="C16" t="str">
        <f>IF(f1_12=0,"",TEXT(f1_12,"#,##0;-#,##0"))</f>
        <v/>
      </c>
      <c r="E16" t="str">
        <f>IF(f2_12=0,"",TEXT(f2_12,"#,##0;-#,##0"))</f>
        <v/>
      </c>
    </row>
    <row r="17" spans="1:5">
      <c r="A17" t="str">
        <f>IF(m_13=0,"",TEXT(m_13,"#,##0;-#,##0"))</f>
        <v/>
      </c>
      <c r="C17" t="str">
        <f>IF(f1_13=0,"",TEXT(f1_13,"#,##0;-#,##0"))</f>
        <v/>
      </c>
      <c r="E17" t="str">
        <f>IF(f2_13=0,"",TEXT(f2_13,"#,##0;-#,##0"))</f>
        <v/>
      </c>
    </row>
    <row r="18" spans="1:5">
      <c r="A18" t="str">
        <f>IF(m_14=0,"",TEXT(m_14,"#,##0;-#,##0"))</f>
        <v/>
      </c>
      <c r="C18" t="str">
        <f>IF(f1_14=0,"",TEXT(f1_14,"#,##0;-#,##0"))</f>
        <v/>
      </c>
      <c r="E18" t="str">
        <f>IF(f2_14=0,"",TEXT(f2_14,"#,##0;-#,##0"))</f>
        <v/>
      </c>
    </row>
    <row r="19" spans="1:5">
      <c r="A19" t="str">
        <f>IF(m_15=0,"",TEXT(m_15,"#,##0;-#,##0"))</f>
        <v/>
      </c>
      <c r="C19" t="str">
        <f>IF(f1_15=0,"",TEXT(f1_15,"#,##0;-#,##0"))</f>
        <v/>
      </c>
      <c r="E19" t="str">
        <f>IF(f2_15=0,"",TEXT(f2_15,"#,##0;-#,##0"))</f>
        <v/>
      </c>
    </row>
    <row r="20" spans="1:5">
      <c r="A20" t="str">
        <f>IF(m_16=0,"",TEXT(m_16,"#,##0;-#,##0"))</f>
        <v/>
      </c>
      <c r="C20" t="str">
        <f>IF(f1_16=0,"",TEXT(f1_16,"#,##0;-#,##0"))</f>
        <v/>
      </c>
      <c r="E20" t="str">
        <f>IF(f2_16=0,"",TEXT(f2_16,"#,##0;-#,##0"))</f>
        <v/>
      </c>
    </row>
    <row r="21" spans="1:5">
      <c r="A21" t="str">
        <f>IF(m_17=0,"",TEXT(m_17,"#,##0;-#,##0"))</f>
        <v/>
      </c>
      <c r="C21" t="str">
        <f>IF(f1_17=0,"",TEXT(f1_17,"#,##0;-#,##0"))</f>
        <v/>
      </c>
      <c r="E21" t="str">
        <f>IF(f2_17=0,"",TEXT(f2_17,"#,##0;-#,##0"))</f>
        <v/>
      </c>
    </row>
    <row r="22" spans="1:5">
      <c r="A22" t="str">
        <f>IF(m_18=0,"",TEXT(m_18,"#,##0;-#,##0"))</f>
        <v/>
      </c>
      <c r="C22" t="str">
        <f>IF(f1_18=0,"",TEXT(f1_18,"#,##0;-#,##0"))</f>
        <v/>
      </c>
      <c r="E22" t="str">
        <f>IF(f2_18=0,"",TEXT(f2_18,"#,##0;-#,##0"))</f>
        <v/>
      </c>
    </row>
    <row r="23" spans="1:5">
      <c r="A23" t="str">
        <f>IF(m_19=0,"",TEXT(m_19,"#,##0;-#,##0"))</f>
        <v/>
      </c>
      <c r="C23" t="str">
        <f>IF(f1_19=0,"",TEXT(f1_19,"#,##0;-#,##0"))</f>
        <v/>
      </c>
      <c r="E23" t="str">
        <f>IF(f2_19=0,"",TEXT(f2_19,"#,##0;-#,##0"))</f>
        <v/>
      </c>
    </row>
    <row r="24" spans="1:5">
      <c r="A24" t="str">
        <f>IF(m_20=0,"",TEXT(m_20,"#,##0;-#,##0"))</f>
        <v>20,000,000</v>
      </c>
      <c r="C24" t="str">
        <f>IF(f1_20=0,"",TEXT(f1_20,"#,##0;-#,##0"))</f>
        <v/>
      </c>
      <c r="E24" t="str">
        <f>IF(f2_20=0,"",TEXT(f2_20,"#,##0;-#,##0"))</f>
        <v/>
      </c>
    </row>
    <row r="25" spans="1:5">
      <c r="A25" t="str">
        <f>IF(m_21=0,"",TEXT(m_21/1000,"#,##0;-#,##0"))</f>
        <v/>
      </c>
      <c r="C25" t="str">
        <f>IF(f1_21=0,"",TEXT(f1_21,"#,##0;-#,##0"))</f>
        <v/>
      </c>
      <c r="E25" t="str">
        <f>IF(f2_21=0,"",TEXT(f2_21,"#,##0;-#,##0"))</f>
        <v/>
      </c>
    </row>
    <row r="26" spans="1:5">
      <c r="A26" t="str">
        <f>IF(m_22=0,"",TEXT(m_22,"#,##0;-#,##0"))</f>
        <v/>
      </c>
      <c r="C26" t="str">
        <f>IF(f1_22=0,"",TEXT(f1_22,"#,##0;-#,##0"))</f>
        <v/>
      </c>
      <c r="E26" t="str">
        <f>IF(f2_22=0,"",TEXT(f2_22,"#,##0;-#,##0"))</f>
        <v/>
      </c>
    </row>
    <row r="27" spans="1:5">
      <c r="A27" t="str">
        <f>IF(m_23=0,"",TEXT(m_23,"#,##0;-#,##0"))</f>
        <v/>
      </c>
      <c r="C27" t="str">
        <f>IF(f1_23=0,"",TEXT(f1_23,"#,##0;-#,##0"))</f>
        <v/>
      </c>
      <c r="E27" t="str">
        <f>IF(f2_23=0,"",TEXT(f2_23,"#,##0;-#,##0"))</f>
        <v/>
      </c>
    </row>
    <row r="28" spans="1:5">
      <c r="A28" t="str">
        <f>IF(m_24=0,"",TEXT(m_24,"#,##0;-#,##0"))</f>
        <v/>
      </c>
      <c r="C28" t="str">
        <f>IF(f1_24=0,"",TEXT(f1_24,"#,##0;-#,##0"))</f>
        <v/>
      </c>
      <c r="E28" t="str">
        <f>IF(f2_24=0,"",TEXT(f2_24,"0.00000000"))</f>
        <v/>
      </c>
    </row>
    <row r="29" spans="1:5">
      <c r="A29" t="str">
        <f>IF(m_25=0,"",TEXT(m_25,"#,##0;-#,##0"))</f>
        <v/>
      </c>
      <c r="C29" t="str">
        <f>IF(f1_25=0,"",TEXT(f1_25,"#,##0;-#,##0"))</f>
        <v/>
      </c>
      <c r="E29" t="str">
        <f>IF(f2_25=0,"",TEXT(f2_25,"#,##0;-#,##0"))</f>
        <v/>
      </c>
    </row>
    <row r="30" spans="1:5">
      <c r="A30" t="str">
        <f>IF(m_26=0,"",TEXT(m_26,"#,##0;-#,##0"))</f>
        <v/>
      </c>
      <c r="C30" t="str">
        <f>IF(f1_26=0,"",TEXT(f1_26,"#,##0;-#,##0"))</f>
        <v/>
      </c>
      <c r="E30" t="str">
        <f>IF(f2_26=0,"",TEXT(f2_26,"#,##0;-#,##0"))</f>
        <v/>
      </c>
    </row>
    <row r="31" spans="1:5">
      <c r="A31" t="str">
        <f>IF(m_27=0,"",TEXT(m_27,"#,##0;-#,##0"))</f>
        <v/>
      </c>
      <c r="C31" t="str">
        <f>IF(f1_27=0,"",TEXT(f1_27,"#,##0;-#,##0"))</f>
        <v/>
      </c>
    </row>
    <row r="32" spans="1:5">
      <c r="A32" t="str">
        <f>IF(m_28=0,"",TEXT(m_28,"#,##0;-#,##0"))</f>
        <v/>
      </c>
      <c r="C32" t="str">
        <f>IF(f1_28=0,"",TEXT(f1_28,"#,##0;-#,##0"))</f>
        <v/>
      </c>
    </row>
    <row r="33" spans="3:3">
      <c r="C33" t="str">
        <f>IF(f1_29=0,"",TEXT(f1_29,"#,##0;-#,##0"))</f>
        <v/>
      </c>
    </row>
    <row r="34" spans="3:3">
      <c r="C34" t="str">
        <f>IF(f1_30=0,"",TEXT(f1_30,"#,##0;-#,##0"))</f>
        <v/>
      </c>
    </row>
    <row r="35" spans="3:3">
      <c r="C35" t="str">
        <f>IF(f1_31=0,"",TEXT(f1_31,"#,##0;-#,##0"))</f>
        <v/>
      </c>
    </row>
    <row r="36" spans="3:3">
      <c r="C36" t="str">
        <f>IF(f1_32=0,"",TEXT(f1_32,"#,##0;-#,##0"))</f>
        <v/>
      </c>
    </row>
    <row r="37" spans="3:3">
      <c r="C37" t="str">
        <f>IF(f1_33=0,"",TEXT(f1_33,"#,##0;-#,##0"))</f>
        <v>20,000,000</v>
      </c>
    </row>
  </sheetData>
  <sheetProtection sheet="1" objects="1" scenarios="1"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173</vt:i4>
      </vt:variant>
    </vt:vector>
  </HeadingPairs>
  <TitlesOfParts>
    <vt:vector size="183" baseType="lpstr">
      <vt:lpstr>使い方</vt:lpstr>
      <vt:lpstr>入力</vt:lpstr>
      <vt:lpstr>別表三一_計算</vt:lpstr>
      <vt:lpstr>付表一_計算</vt:lpstr>
      <vt:lpstr>付表二_計算</vt:lpstr>
      <vt:lpstr>別表三(一)</vt:lpstr>
      <vt:lpstr>別表三(一)付表一</vt:lpstr>
      <vt:lpstr>別表三(一)付表二</vt:lpstr>
      <vt:lpstr>検算</vt:lpstr>
      <vt:lpstr>根拠・出典</vt:lpstr>
      <vt:lpstr>cfg_applicable</vt:lpstr>
      <vt:lpstr>cfg_donation_rate</vt:lpstr>
      <vt:lpstr>cfg_f2_input_valid</vt:lpstr>
      <vt:lpstr>cfg_resident_rate</vt:lpstr>
      <vt:lpstr>f1_01</vt:lpstr>
      <vt:lpstr>f1_02</vt:lpstr>
      <vt:lpstr>f1_03</vt:lpstr>
      <vt:lpstr>f1_04</vt:lpstr>
      <vt:lpstr>f1_05</vt:lpstr>
      <vt:lpstr>f1_06</vt:lpstr>
      <vt:lpstr>f1_07</vt:lpstr>
      <vt:lpstr>f1_08</vt:lpstr>
      <vt:lpstr>f1_09</vt:lpstr>
      <vt:lpstr>f1_10</vt:lpstr>
      <vt:lpstr>f1_11</vt:lpstr>
      <vt:lpstr>f1_12</vt:lpstr>
      <vt:lpstr>f1_13</vt:lpstr>
      <vt:lpstr>f1_14</vt:lpstr>
      <vt:lpstr>f1_15</vt:lpstr>
      <vt:lpstr>f1_16</vt:lpstr>
      <vt:lpstr>f1_17</vt:lpstr>
      <vt:lpstr>f1_18</vt:lpstr>
      <vt:lpstr>f1_19</vt:lpstr>
      <vt:lpstr>f1_20</vt:lpstr>
      <vt:lpstr>f1_21</vt:lpstr>
      <vt:lpstr>f1_22</vt:lpstr>
      <vt:lpstr>f1_23</vt:lpstr>
      <vt:lpstr>f1_24</vt:lpstr>
      <vt:lpstr>f1_25</vt:lpstr>
      <vt:lpstr>f1_26</vt:lpstr>
      <vt:lpstr>f1_27</vt:lpstr>
      <vt:lpstr>f1_28</vt:lpstr>
      <vt:lpstr>f1_29</vt:lpstr>
      <vt:lpstr>f1_30</vt:lpstr>
      <vt:lpstr>f1_31</vt:lpstr>
      <vt:lpstr>f1_32</vt:lpstr>
      <vt:lpstr>f1_33</vt:lpstr>
      <vt:lpstr>f2_01</vt:lpstr>
      <vt:lpstr>f2_02</vt:lpstr>
      <vt:lpstr>f2_03</vt:lpstr>
      <vt:lpstr>f2_04</vt:lpstr>
      <vt:lpstr>f2_05</vt:lpstr>
      <vt:lpstr>f2_06</vt:lpstr>
      <vt:lpstr>f2_07</vt:lpstr>
      <vt:lpstr>f2_08</vt:lpstr>
      <vt:lpstr>f2_09</vt:lpstr>
      <vt:lpstr>f2_10</vt:lpstr>
      <vt:lpstr>f2_11</vt:lpstr>
      <vt:lpstr>f2_12</vt:lpstr>
      <vt:lpstr>f2_13</vt:lpstr>
      <vt:lpstr>f2_14</vt:lpstr>
      <vt:lpstr>f2_15</vt:lpstr>
      <vt:lpstr>f2_16</vt:lpstr>
      <vt:lpstr>f2_17</vt:lpstr>
      <vt:lpstr>f2_18</vt:lpstr>
      <vt:lpstr>f2_19</vt:lpstr>
      <vt:lpstr>f2_20</vt:lpstr>
      <vt:lpstr>f2_21</vt:lpstr>
      <vt:lpstr>f2_22</vt:lpstr>
      <vt:lpstr>f2_23</vt:lpstr>
      <vt:lpstr>f2_24</vt:lpstr>
      <vt:lpstr>f2_25</vt:lpstr>
      <vt:lpstr>f2_26</vt:lpstr>
      <vt:lpstr>inp_adjust_local_credit</vt:lpstr>
      <vt:lpstr>inp_b1_11</vt:lpstr>
      <vt:lpstr>inp_b1_17</vt:lpstr>
      <vt:lpstr>inp_b1_18</vt:lpstr>
      <vt:lpstr>inp_b1_2</vt:lpstr>
      <vt:lpstr>inp_b1_3</vt:lpstr>
      <vt:lpstr>inp_b1_31</vt:lpstr>
      <vt:lpstr>inp_b1_32</vt:lpstr>
      <vt:lpstr>inp_b1_36</vt:lpstr>
      <vt:lpstr>inp_b1_4</vt:lpstr>
      <vt:lpstr>inp_b1_6</vt:lpstr>
      <vt:lpstr>inp_b1_65</vt:lpstr>
      <vt:lpstr>inp_b1_9out</vt:lpstr>
      <vt:lpstr>inp_b6_5_2_5_3</vt:lpstr>
      <vt:lpstr>inp_class</vt:lpstr>
      <vt:lpstr>inp_corp</vt:lpstr>
      <vt:lpstr>inp_curr_div</vt:lpstr>
      <vt:lpstr>inp_end</vt:lpstr>
      <vt:lpstr>inp_f1_09</vt:lpstr>
      <vt:lpstr>inp_f1_10</vt:lpstr>
      <vt:lpstr>inp_f1_11</vt:lpstr>
      <vt:lpstr>inp_f1_12</vt:lpstr>
      <vt:lpstr>inp_f1_13</vt:lpstr>
      <vt:lpstr>inp_f1_14</vt:lpstr>
      <vt:lpstr>inp_f1_15</vt:lpstr>
      <vt:lpstr>inp_f1_16</vt:lpstr>
      <vt:lpstr>inp_f1_19</vt:lpstr>
      <vt:lpstr>inp_f1_20</vt:lpstr>
      <vt:lpstr>inp_f1_21</vt:lpstr>
      <vt:lpstr>inp_f1_22</vt:lpstr>
      <vt:lpstr>inp_f1_23</vt:lpstr>
      <vt:lpstr>inp_f1_24</vt:lpstr>
      <vt:lpstr>inp_f1_25</vt:lpstr>
      <vt:lpstr>inp_f1_26</vt:lpstr>
      <vt:lpstr>inp_f1_27</vt:lpstr>
      <vt:lpstr>inp_f1_28</vt:lpstr>
      <vt:lpstr>inp_f1_29</vt:lpstr>
      <vt:lpstr>inp_f1_30</vt:lpstr>
      <vt:lpstr>inp_f1_capital</vt:lpstr>
      <vt:lpstr>inp_f1_merger_inc</vt:lpstr>
      <vt:lpstr>inp_f1_opening_profit</vt:lpstr>
      <vt:lpstr>inp_f1_split_dec</vt:lpstr>
      <vt:lpstr>inp_f2_01</vt:lpstr>
      <vt:lpstr>inp_f2_02</vt:lpstr>
      <vt:lpstr>inp_f2_03</vt:lpstr>
      <vt:lpstr>inp_f2_04</vt:lpstr>
      <vt:lpstr>inp_f2_06</vt:lpstr>
      <vt:lpstr>inp_f2_07</vt:lpstr>
      <vt:lpstr>inp_f2_08</vt:lpstr>
      <vt:lpstr>inp_f2_12</vt:lpstr>
      <vt:lpstr>inp_f2_15</vt:lpstr>
      <vt:lpstr>inp_f2_16</vt:lpstr>
      <vt:lpstr>inp_f2_21</vt:lpstr>
      <vt:lpstr>inp_f2_23</vt:lpstr>
      <vt:lpstr>inp_group</vt:lpstr>
      <vt:lpstr>inp_m14_foreign</vt:lpstr>
      <vt:lpstr>inp_m22_b1_4_adjust</vt:lpstr>
      <vt:lpstr>inp_m22_credits</vt:lpstr>
      <vt:lpstr>inp_m23_b1_4_adjust</vt:lpstr>
      <vt:lpstr>inp_m23_credits</vt:lpstr>
      <vt:lpstr>inp_m9_base</vt:lpstr>
      <vt:lpstr>inp_m9_extra</vt:lpstr>
      <vt:lpstr>inp_m9_inner</vt:lpstr>
      <vt:lpstr>inp_months</vt:lpstr>
      <vt:lpstr>inp_prev_div</vt:lpstr>
      <vt:lpstr>inp_special</vt:lpstr>
      <vt:lpstr>inp_specific_donation_total</vt:lpstr>
      <vt:lpstr>inp_start</vt:lpstr>
      <vt:lpstr>m_01</vt:lpstr>
      <vt:lpstr>m_02</vt:lpstr>
      <vt:lpstr>m_03</vt:lpstr>
      <vt:lpstr>m_04</vt:lpstr>
      <vt:lpstr>m_05</vt:lpstr>
      <vt:lpstr>m_06</vt:lpstr>
      <vt:lpstr>m_07</vt:lpstr>
      <vt:lpstr>m_08</vt:lpstr>
      <vt:lpstr>m_09</vt:lpstr>
      <vt:lpstr>m_10</vt:lpstr>
      <vt:lpstr>m_11</vt:lpstr>
      <vt:lpstr>m_12</vt:lpstr>
      <vt:lpstr>m_13</vt:lpstr>
      <vt:lpstr>m_14</vt:lpstr>
      <vt:lpstr>m_15</vt:lpstr>
      <vt:lpstr>m_16</vt:lpstr>
      <vt:lpstr>m_17</vt:lpstr>
      <vt:lpstr>m_18</vt:lpstr>
      <vt:lpstr>m_19</vt:lpstr>
      <vt:lpstr>m_20</vt:lpstr>
      <vt:lpstr>m_21</vt:lpstr>
      <vt:lpstr>m_22</vt:lpstr>
      <vt:lpstr>m_23</vt:lpstr>
      <vt:lpstr>m_24</vt:lpstr>
      <vt:lpstr>m_25</vt:lpstr>
      <vt:lpstr>m_26</vt:lpstr>
      <vt:lpstr>m_27</vt:lpstr>
      <vt:lpstr>m_28</vt:lpstr>
      <vt:lpstr>out_municipal_tax</vt:lpstr>
      <vt:lpstr>out_retained_tax</vt:lpstr>
      <vt:lpstr>out_retention_allowance</vt:lpstr>
      <vt:lpstr>out_taxable_retained</vt:lpstr>
      <vt:lpstr>検算!Print_Area</vt:lpstr>
      <vt:lpstr>根拠・出典!Print_Area</vt:lpstr>
      <vt:lpstr>使い方!Print_Area</vt:lpstr>
      <vt:lpstr>入力!Print_Area</vt:lpstr>
      <vt:lpstr>付表一_計算!Print_Area</vt:lpstr>
      <vt:lpstr>付表二_計算!Print_Area</vt:lpstr>
      <vt:lpstr>'別表三(一)'!Print_Area</vt:lpstr>
      <vt:lpstr>'別表三(一)付表一'!Print_Area</vt:lpstr>
      <vt:lpstr>'別表三(一)付表二'!Print_Area</vt:lpstr>
      <vt:lpstr>別表三一_計算!Print_Area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jplawdb4</dc:creator>
  <cp:lastModifiedBy>jplawdb4</cp:lastModifiedBy>
</cp:coreProperties>
</file>