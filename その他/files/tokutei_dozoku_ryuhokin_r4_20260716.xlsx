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66925"/>
  <bookViews>
    <workbookView xWindow="-108" yWindow="-108" windowWidth="23256" windowHeight="12456"/>
  </bookViews>
  <sheets>
    <sheet name="使い方" sheetId="1" r:id="rId1"/>
    <sheet name="入力" sheetId="2" r:id="rId2"/>
    <sheet name="別表三一_計算" sheetId="3" r:id="rId3"/>
    <sheet name="付表一_計算" sheetId="4" r:id="rId4"/>
    <sheet name="付表二_計算" sheetId="5" r:id="rId5"/>
    <sheet name="別表三(一)" sheetId="6" r:id="rId6"/>
    <sheet name="別表三(一)付表一" sheetId="7" r:id="rId7"/>
    <sheet name="別表三(一)付表二" sheetId="8" r:id="rId8"/>
    <sheet name="検算" sheetId="9" r:id="rId9"/>
    <sheet name="根拠・出典" sheetId="10" r:id="rId10"/>
    <sheet name="印字値" sheetId="11" state="veryHidden" r:id="rId11"/>
  </sheets>
  <definedNames>
    <definedName name="cfg_applicable">入力!$H$5</definedName>
    <definedName name="cfg_donation_rate">入力!$H$7</definedName>
    <definedName name="cfg_f2_input_valid">入力!$H$11</definedName>
    <definedName name="cfg_resident_rate">入力!$H$6</definedName>
    <definedName name="f1_01">付表一_計算!$D$5</definedName>
    <definedName name="f1_02">付表一_計算!$D$6</definedName>
    <definedName name="f1_03">付表一_計算!$D$7</definedName>
    <definedName name="f1_04">付表一_計算!$D$8</definedName>
    <definedName name="f1_05">付表一_計算!$D$9</definedName>
    <definedName name="f1_06">付表一_計算!$D$10</definedName>
    <definedName name="f1_07">付表一_計算!$D$11</definedName>
    <definedName name="f1_08">付表一_計算!$D$12</definedName>
    <definedName name="f1_09">付表一_計算!$D$13</definedName>
    <definedName name="f1_10">付表一_計算!$D$14</definedName>
    <definedName name="f1_11">付表一_計算!$D$15</definedName>
    <definedName name="f1_12">付表一_計算!$D$16</definedName>
    <definedName name="f1_13">付表一_計算!$D$17</definedName>
    <definedName name="f1_14">付表一_計算!$D$18</definedName>
    <definedName name="f1_15">付表一_計算!$D$19</definedName>
    <definedName name="f1_16">付表一_計算!$D$20</definedName>
    <definedName name="f1_17">付表一_計算!$D$21</definedName>
    <definedName name="f1_18">付表一_計算!$D$22</definedName>
    <definedName name="f1_19">付表一_計算!$D$23</definedName>
    <definedName name="f1_20">付表一_計算!$D$24</definedName>
    <definedName name="f1_21">付表一_計算!$D$25</definedName>
    <definedName name="f1_22">付表一_計算!$D$26</definedName>
    <definedName name="f1_23">付表一_計算!$D$27</definedName>
    <definedName name="f1_24">付表一_計算!$D$28</definedName>
    <definedName name="f1_25">付表一_計算!$D$29</definedName>
    <definedName name="f1_26">付表一_計算!$D$30</definedName>
    <definedName name="f1_27">付表一_計算!$D$31</definedName>
    <definedName name="f1_28">付表一_計算!$D$32</definedName>
    <definedName name="f1_29">付表一_計算!$D$33</definedName>
    <definedName name="f1_30">付表一_計算!$D$34</definedName>
    <definedName name="f1_31">付表一_計算!$D$35</definedName>
    <definedName name="f1_32">付表一_計算!$D$36</definedName>
    <definedName name="f1_33">付表一_計算!$D$37</definedName>
    <definedName name="f2_01">付表二_計算!$D$5</definedName>
    <definedName name="f2_02">付表二_計算!$D$6</definedName>
    <definedName name="f2_03">付表二_計算!$D$7</definedName>
    <definedName name="f2_04">付表二_計算!$D$8</definedName>
    <definedName name="f2_05">付表二_計算!$D$9</definedName>
    <definedName name="f2_06">付表二_計算!$D$10</definedName>
    <definedName name="f2_07">付表二_計算!$D$11</definedName>
    <definedName name="f2_08">付表二_計算!$D$12</definedName>
    <definedName name="f2_09">付表二_計算!$D$13</definedName>
    <definedName name="f2_10">付表二_計算!$D$14</definedName>
    <definedName name="f2_11">付表二_計算!$D$15</definedName>
    <definedName name="f2_12">付表二_計算!$D$16</definedName>
    <definedName name="f2_13">付表二_計算!$D$17</definedName>
    <definedName name="f2_14">付表二_計算!$D$18</definedName>
    <definedName name="f2_15">付表二_計算!$D$19</definedName>
    <definedName name="f2_16">付表二_計算!$D$20</definedName>
    <definedName name="f2_17">付表二_計算!$D$21</definedName>
    <definedName name="f2_18">付表二_計算!$D$22</definedName>
    <definedName name="f2_19">付表二_計算!$D$23</definedName>
    <definedName name="f2_20">付表二_計算!$D$24</definedName>
    <definedName name="f2_21">付表二_計算!$D$25</definedName>
    <definedName name="f2_22">付表二_計算!$D$26</definedName>
    <definedName name="f2_23">付表二_計算!$D$27</definedName>
    <definedName name="f2_24">付表二_計算!$D$28</definedName>
    <definedName name="f2_25">付表二_計算!$D$29</definedName>
    <definedName name="f2_26">付表二_計算!$D$30</definedName>
    <definedName name="inp_adjust_local_credit">入力!$D$39</definedName>
    <definedName name="inp_b1_11">入力!$D$25</definedName>
    <definedName name="inp_b1_17">入力!$D$26</definedName>
    <definedName name="inp_b1_18">入力!$D$27</definedName>
    <definedName name="inp_b1_2">入力!$D$20</definedName>
    <definedName name="inp_b1_3">入力!$D$21</definedName>
    <definedName name="inp_b1_32">入力!$D$28</definedName>
    <definedName name="inp_b1_33">入力!$D$29</definedName>
    <definedName name="inp_b1_37">入力!$D$30</definedName>
    <definedName name="inp_b1_4">入力!$D$22</definedName>
    <definedName name="inp_b1_6">入力!$D$23</definedName>
    <definedName name="inp_b1_77">入力!$D$31</definedName>
    <definedName name="inp_b1_9out">入力!$D$24</definedName>
    <definedName name="inp_b6_5_2_5_3">入力!$D$32</definedName>
    <definedName name="inp_class">入力!$D$9</definedName>
    <definedName name="inp_corp">入力!$D$5</definedName>
    <definedName name="inp_curr_div">入力!$D$19</definedName>
    <definedName name="inp_end">入力!$D$7</definedName>
    <definedName name="inp_f1_09">入力!$D$47</definedName>
    <definedName name="inp_f1_10">入力!$D$48</definedName>
    <definedName name="inp_f1_11">入力!$D$49</definedName>
    <definedName name="inp_f1_12">入力!$D$50</definedName>
    <definedName name="inp_f1_13">入力!$D$51</definedName>
    <definedName name="inp_f1_14">入力!$D$52</definedName>
    <definedName name="inp_f1_15">入力!$D$53</definedName>
    <definedName name="inp_f1_16">入力!$D$54</definedName>
    <definedName name="inp_f1_19">入力!$D$55</definedName>
    <definedName name="inp_f1_20">入力!$D$56</definedName>
    <definedName name="inp_f1_21">入力!$D$57</definedName>
    <definedName name="inp_f1_22">入力!$D$58</definedName>
    <definedName name="inp_f1_23">入力!$D$59</definedName>
    <definedName name="inp_f1_24">入力!$D$60</definedName>
    <definedName name="inp_f1_25">入力!$D$61</definedName>
    <definedName name="inp_f1_26">入力!$D$62</definedName>
    <definedName name="inp_f1_27">入力!$D$63</definedName>
    <definedName name="inp_f1_28">入力!$D$64</definedName>
    <definedName name="inp_f1_29">入力!$D$65</definedName>
    <definedName name="inp_f1_30">入力!$D$66</definedName>
    <definedName name="inp_f1_capital">入力!$D$43</definedName>
    <definedName name="inp_f1_merger_inc">入力!$D$45</definedName>
    <definedName name="inp_f1_opening_profit">入力!$D$44</definedName>
    <definedName name="inp_f1_split_dec">入力!$D$46</definedName>
    <definedName name="inp_f2_01">入力!$D$70</definedName>
    <definedName name="inp_f2_02">入力!$D$71</definedName>
    <definedName name="inp_f2_03">入力!$D$72</definedName>
    <definedName name="inp_f2_04">入力!$D$73</definedName>
    <definedName name="inp_f2_06">入力!$D$74</definedName>
    <definedName name="inp_f2_07">入力!$D$75</definedName>
    <definedName name="inp_f2_08">入力!$D$76</definedName>
    <definedName name="inp_f2_12">入力!$D$77</definedName>
    <definedName name="inp_f2_15">入力!$D$78</definedName>
    <definedName name="inp_f2_16">入力!$D$79</definedName>
    <definedName name="inp_f2_21">入力!$D$80</definedName>
    <definedName name="inp_f2_23">入力!$D$81</definedName>
    <definedName name="inp_group">入力!$D$10</definedName>
    <definedName name="inp_m14_foreign">入力!$D$37</definedName>
    <definedName name="inp_m22_b1_4_adjust">入力!$D$35</definedName>
    <definedName name="inp_m22_credits">入力!$D$33</definedName>
    <definedName name="inp_m23_b1_4_adjust">入力!$D$36</definedName>
    <definedName name="inp_m23_credits">入力!$D$34</definedName>
    <definedName name="inp_m9_base">入力!$D$15</definedName>
    <definedName name="inp_m9_extra">入力!$D$16</definedName>
    <definedName name="inp_m9_inner">入力!$D$17</definedName>
    <definedName name="inp_months">入力!$D$8</definedName>
    <definedName name="inp_prev_div">入力!$D$18</definedName>
    <definedName name="inp_special">入力!$D$11</definedName>
    <definedName name="inp_specific_donation_total">入力!$D$38</definedName>
    <definedName name="inp_start">入力!$D$6</definedName>
    <definedName name="m_01">別表三一_計算!$D$5</definedName>
    <definedName name="m_02">別表三一_計算!$D$6</definedName>
    <definedName name="m_03">別表三一_計算!$D$7</definedName>
    <definedName name="m_04">別表三一_計算!$D$8</definedName>
    <definedName name="m_05">別表三一_計算!$D$9</definedName>
    <definedName name="m_06">別表三一_計算!$D$10</definedName>
    <definedName name="m_07">別表三一_計算!$D$11</definedName>
    <definedName name="m_08">別表三一_計算!$D$12</definedName>
    <definedName name="m_09">別表三一_計算!$D$13</definedName>
    <definedName name="m_10">別表三一_計算!$D$14</definedName>
    <definedName name="m_11">別表三一_計算!$D$15</definedName>
    <definedName name="m_12">別表三一_計算!$D$16</definedName>
    <definedName name="m_13">別表三一_計算!$D$17</definedName>
    <definedName name="m_14">別表三一_計算!$D$18</definedName>
    <definedName name="m_15">別表三一_計算!$D$19</definedName>
    <definedName name="m_16">別表三一_計算!$D$20</definedName>
    <definedName name="m_17">別表三一_計算!$D$21</definedName>
    <definedName name="m_18">別表三一_計算!$D$22</definedName>
    <definedName name="m_19">別表三一_計算!$D$23</definedName>
    <definedName name="m_20">別表三一_計算!$D$24</definedName>
    <definedName name="m_21">別表三一_計算!$D$25</definedName>
    <definedName name="m_22">別表三一_計算!$D$26</definedName>
    <definedName name="m_23">別表三一_計算!$D$27</definedName>
    <definedName name="m_24">別表三一_計算!$D$28</definedName>
    <definedName name="m_25">別表三一_計算!$D$29</definedName>
    <definedName name="m_26">別表三一_計算!$D$30</definedName>
    <definedName name="m_27">別表三一_計算!$D$31</definedName>
    <definedName name="m_28">別表三一_計算!$D$32</definedName>
    <definedName name="out_municipal_tax">別表三一_計算!$D$32</definedName>
    <definedName name="out_retained_tax">別表三一_計算!$D$12</definedName>
    <definedName name="out_retention_allowance">付表一_計算!$D$37</definedName>
    <definedName name="out_taxable_retained">別表三一_計算!$D$25</definedName>
    <definedName name="_xlnm.Print_Area" localSheetId="8">検算!$A$1:$D$26</definedName>
    <definedName name="_xlnm.Print_Area" localSheetId="9">根拠・出典!$A$1:$E$15</definedName>
    <definedName name="_xlnm.Print_Area" localSheetId="0">使い方!$A$1:$H$40</definedName>
    <definedName name="_xlnm.Print_Area" localSheetId="1">入力!$A$1:$H$81</definedName>
    <definedName name="_xlnm.Print_Area" localSheetId="3">付表一_計算!$A$1:$E$37</definedName>
    <definedName name="_xlnm.Print_Area" localSheetId="4">付表二_計算!$A$1:$E$30</definedName>
    <definedName name="_xlnm.Print_Area" localSheetId="5">'別表三(一)'!$A$1:$L$3</definedName>
    <definedName name="_xlnm.Print_Area" localSheetId="6">'別表三(一)付表一'!$A$1:$L$3</definedName>
    <definedName name="_xlnm.Print_Area" localSheetId="7">'別表三(一)付表二'!$A$1:$L$3</definedName>
    <definedName name="_xlnm.Print_Area" localSheetId="2">別表三一_計算!$A$1:$G$32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9" l="1"/>
  <c r="C26" i="9"/>
  <c r="B5" i="11"/>
  <c r="A2" i="11"/>
  <c r="A1" i="11"/>
  <c r="F12" i="1"/>
  <c r="D27" i="3"/>
  <c r="A27" i="11" s="1"/>
  <c r="D26" i="3"/>
  <c r="A26" i="11" s="1"/>
  <c r="D18" i="3"/>
  <c r="A18" i="11" s="1"/>
  <c r="D16" i="3"/>
  <c r="A16" i="11" s="1"/>
  <c r="D15" i="3"/>
  <c r="A15" i="11" s="1"/>
  <c r="D14" i="3"/>
  <c r="A14" i="11" s="1"/>
  <c r="D13" i="3"/>
  <c r="A13" i="11" s="1"/>
  <c r="D34" i="4"/>
  <c r="C34" i="11" s="1"/>
  <c r="D33" i="4"/>
  <c r="C33" i="11" s="1"/>
  <c r="D32" i="4"/>
  <c r="C32" i="11" s="1"/>
  <c r="D31" i="4"/>
  <c r="C31" i="11" s="1"/>
  <c r="D30" i="4"/>
  <c r="C30" i="11" s="1"/>
  <c r="D29" i="4"/>
  <c r="C29" i="11" s="1"/>
  <c r="D28" i="4"/>
  <c r="C28" i="11" s="1"/>
  <c r="D27" i="4"/>
  <c r="C27" i="11" s="1"/>
  <c r="D26" i="4"/>
  <c r="C26" i="11" s="1"/>
  <c r="D25" i="4"/>
  <c r="C25" i="11" s="1"/>
  <c r="D24" i="4"/>
  <c r="C24" i="11" s="1"/>
  <c r="D23" i="4"/>
  <c r="D22" i="3" s="1"/>
  <c r="A22" i="11" s="1"/>
  <c r="D20" i="4"/>
  <c r="C20" i="11" s="1"/>
  <c r="D19" i="4"/>
  <c r="C19" i="11" s="1"/>
  <c r="D18" i="4"/>
  <c r="C18" i="11" s="1"/>
  <c r="D17" i="4"/>
  <c r="C17" i="11" s="1"/>
  <c r="D16" i="4"/>
  <c r="C16" i="11" s="1"/>
  <c r="D15" i="4"/>
  <c r="C15" i="11" s="1"/>
  <c r="D14" i="4"/>
  <c r="C14" i="11" s="1"/>
  <c r="D13" i="4"/>
  <c r="C13" i="11" s="1"/>
  <c r="D9" i="4"/>
  <c r="C9" i="11" s="1"/>
  <c r="D8" i="4"/>
  <c r="C8" i="11" s="1"/>
  <c r="D7" i="4"/>
  <c r="D5" i="4"/>
  <c r="D6" i="4" s="1"/>
  <c r="D20" i="5"/>
  <c r="E20" i="11" s="1"/>
  <c r="D19" i="5"/>
  <c r="E19" i="11" s="1"/>
  <c r="D18" i="5"/>
  <c r="E18" i="11" s="1"/>
  <c r="D16" i="5"/>
  <c r="E16" i="11" s="1"/>
  <c r="D15" i="5"/>
  <c r="D12" i="5"/>
  <c r="E12" i="11" s="1"/>
  <c r="D11" i="5"/>
  <c r="E11" i="11" s="1"/>
  <c r="D10" i="5"/>
  <c r="D8" i="5"/>
  <c r="E8" i="11" s="1"/>
  <c r="D7" i="5"/>
  <c r="E7" i="11" s="1"/>
  <c r="D6" i="5"/>
  <c r="E6" i="11" s="1"/>
  <c r="D5" i="5"/>
  <c r="E5" i="11" s="1"/>
  <c r="H7" i="2"/>
  <c r="D29" i="3" s="1"/>
  <c r="A29" i="11" s="1"/>
  <c r="H6" i="2"/>
  <c r="H5" i="2"/>
  <c r="F11" i="1" s="1"/>
  <c r="D8" i="2"/>
  <c r="F14" i="1" s="1"/>
  <c r="D22" i="5" l="1"/>
  <c r="E22" i="11" s="1"/>
  <c r="D10" i="4"/>
  <c r="C10" i="11" s="1"/>
  <c r="D17" i="5"/>
  <c r="C23" i="11"/>
  <c r="C5" i="11"/>
  <c r="D28" i="3"/>
  <c r="A28" i="11" s="1"/>
  <c r="C7" i="11"/>
  <c r="D11" i="4"/>
  <c r="C11" i="11" s="1"/>
  <c r="C6" i="11"/>
  <c r="E10" i="11"/>
  <c r="D21" i="5"/>
  <c r="D9" i="5"/>
  <c r="E15" i="11"/>
  <c r="D12" i="4"/>
  <c r="G7" i="3"/>
  <c r="D26" i="5" l="1"/>
  <c r="E26" i="11" s="1"/>
  <c r="D23" i="5"/>
  <c r="D24" i="5" s="1"/>
  <c r="E17" i="11"/>
  <c r="D21" i="4"/>
  <c r="E21" i="11"/>
  <c r="D22" i="4"/>
  <c r="C22" i="11" s="1"/>
  <c r="E9" i="11"/>
  <c r="D20" i="3"/>
  <c r="A20" i="11" s="1"/>
  <c r="D30" i="3"/>
  <c r="A30" i="11" s="1"/>
  <c r="D27" i="5"/>
  <c r="E27" i="11" s="1"/>
  <c r="D25" i="5"/>
  <c r="E25" i="11" s="1"/>
  <c r="E24" i="11"/>
  <c r="C12" i="11"/>
  <c r="E23" i="11" l="1"/>
  <c r="D29" i="5"/>
  <c r="E29" i="11" s="1"/>
  <c r="C21" i="11"/>
  <c r="D35" i="4"/>
  <c r="D31" i="3"/>
  <c r="D28" i="5"/>
  <c r="E28" i="11" s="1"/>
  <c r="D30" i="5"/>
  <c r="H11" i="2"/>
  <c r="D36" i="4" l="1"/>
  <c r="C35" i="11"/>
  <c r="F12" i="2"/>
  <c r="F13" i="1"/>
  <c r="E30" i="11"/>
  <c r="D13" i="5"/>
  <c r="A31" i="11"/>
  <c r="D32" i="3"/>
  <c r="E13" i="11" l="1"/>
  <c r="D14" i="5"/>
  <c r="C36" i="11"/>
  <c r="D37" i="4"/>
  <c r="D17" i="3"/>
  <c r="A32" i="11"/>
  <c r="F8" i="1"/>
  <c r="D24" i="3" l="1"/>
  <c r="A24" i="11" s="1"/>
  <c r="F7" i="1"/>
  <c r="C37" i="11"/>
  <c r="E14" i="11"/>
  <c r="D21" i="3"/>
  <c r="A21" i="11" s="1"/>
  <c r="A17" i="11"/>
  <c r="D19" i="3"/>
  <c r="D23" i="3" l="1"/>
  <c r="A19" i="11"/>
  <c r="D25" i="3" l="1"/>
  <c r="G5" i="3"/>
  <c r="A23" i="11"/>
  <c r="G6" i="3" l="1"/>
  <c r="A25" i="11"/>
  <c r="F6" i="1"/>
  <c r="D5" i="3"/>
  <c r="G8" i="3" l="1"/>
  <c r="G9" i="3" s="1"/>
  <c r="G10" i="3" s="1"/>
  <c r="D6" i="3" s="1"/>
  <c r="D7" i="3" s="1"/>
  <c r="D9" i="3"/>
  <c r="A5" i="11"/>
  <c r="D8" i="3" l="1"/>
  <c r="A8" i="11" s="1"/>
  <c r="A7" i="11"/>
  <c r="D11" i="3"/>
  <c r="A11" i="11" s="1"/>
  <c r="A9" i="11"/>
  <c r="A6" i="11"/>
  <c r="D10" i="3"/>
  <c r="A10" i="11" s="1"/>
  <c r="D12" i="3" l="1"/>
  <c r="A12" i="11" l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jplawdb4</author>
  </authors>
  <commentList>
    <comment ref="D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法人税法67条7項・国税通則法10条に従い、応当日がない月は月末を満了日とし、1月未満の端数を1月に切り上げます。</t>
        </r>
      </text>
    </comment>
    <comment ref="D1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別表四「52の②」
別表四の留保所得金額又は欠損金額を符号付きで転記（欠損は負数可）</t>
        </r>
      </text>
    </comment>
    <comment ref="D1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別表十(六)「12」
該当がなければ0</t>
        </r>
      </text>
    </comment>
    <comment ref="D1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別表四「17」
当期留保金額で主表9から減算</t>
        </r>
      </text>
    </comment>
    <comment ref="D1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前期の別表三(一)「11」</t>
        </r>
      </text>
    </comment>
    <comment ref="D1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法人税法67条4項</t>
        </r>
      </text>
    </comment>
    <comment ref="D2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別表一「2」</t>
        </r>
      </text>
    </comment>
    <comment ref="D2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別表一「3」</t>
        </r>
      </text>
    </comment>
    <comment ref="D2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別表一「4」</t>
        </r>
      </text>
    </comment>
    <comment ref="D2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別表一「6」</t>
        </r>
      </text>
    </comment>
    <comment ref="D2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別表一「9の外書」</t>
        </r>
      </text>
    </comment>
    <comment ref="D2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別表一「11」</t>
        </r>
      </text>
    </comment>
    <comment ref="D2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別表一「17」</t>
        </r>
      </text>
    </comment>
    <comment ref="D2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別表一「18」</t>
        </r>
      </text>
    </comment>
    <comment ref="D2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別表一「32」</t>
        </r>
      </text>
    </comment>
    <comment ref="D2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別表一「33」</t>
        </r>
      </text>
    </comment>
    <comment ref="D3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別表一「37」</t>
        </r>
      </text>
    </comment>
    <comment ref="D3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別表一「77」</t>
        </r>
      </text>
    </comment>
    <comment ref="D3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別表六(五の二)「5の③」</t>
        </r>
      </text>
    </comment>
    <comment ref="D3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別表六(六)9②＋9④～⑧＋9⑯～⑱＋9㉖～㉘</t>
        </r>
      </text>
    </comment>
    <comment ref="D3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別表六(六)3＋9②～⑧＋9⑪～⑭＋9⑯～㉘</t>
        </r>
      </text>
    </comment>
    <comment ref="D3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R4記載要領上の該当額（通常0）</t>
        </r>
      </text>
    </comment>
    <comment ref="D3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R4記載要領上の該当額（通常0）</t>
        </r>
      </text>
    </comment>
    <comment ref="D3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別表十七(三の六)「1」</t>
        </r>
      </text>
    </comment>
    <comment ref="D3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法人税法施行令139条の10第1項
損金算入される額のみ</t>
        </r>
      </text>
    </comment>
    <comment ref="D3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別表六(二)付表六「7の計」</t>
        </r>
      </text>
    </comment>
    <comment ref="D4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期末資本金又は出資金</t>
        </r>
      </text>
    </comment>
    <comment ref="D4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別表五(一)の該当欄
利益積立金額がマイナスの場合は負数可</t>
        </r>
      </text>
    </comment>
    <comment ref="D4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適格合併等</t>
        </r>
      </text>
    </comment>
    <comment ref="D4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適格分割型分割等</t>
        </r>
      </text>
    </comment>
    <comment ref="D4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別表四「52の①」
別表四の所得金額又は欠損金額を符号付きで転記（欠損は負数可）</t>
        </r>
      </text>
    </comment>
    <comment ref="D4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別表四「38」
譲渡損失額はマイナス入力可</t>
        </r>
      </text>
    </comment>
    <comment ref="D4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別表八(一)「13」又は「26」から通算法人間配当等を除いた額</t>
        </r>
      </text>
    </comment>
    <comment ref="D5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別表八(二)「26」＋別表十七(三の七)「27の計」</t>
        </r>
      </text>
    </comment>
    <comment ref="D5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別表四「16」</t>
        </r>
      </text>
    </comment>
    <comment ref="D5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別表四「19」＋益金不算入通算税効果額</t>
        </r>
      </text>
    </comment>
    <comment ref="D5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別表七の当該年版様式列挙額</t>
        </r>
      </text>
    </comment>
    <comment ref="D5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別表四「37」</t>
        </r>
      </text>
    </comment>
    <comment ref="D5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別表八(三)「13」の合計額</t>
        </r>
      </text>
    </comment>
    <comment ref="D5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別表十(三)「43」</t>
        </r>
      </text>
    </comment>
    <comment ref="D5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別表十(四)「20」</t>
        </r>
      </text>
    </comment>
    <comment ref="D5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別表十(四)「21」又は「23」</t>
        </r>
      </text>
    </comment>
    <comment ref="D5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別表十(一)「15」又は別表十(二)「10」</t>
        </r>
      </text>
    </comment>
    <comment ref="D6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別表十(一)「16」又は別表十(二)「11」</t>
        </r>
      </text>
    </comment>
    <comment ref="D6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別表十(五)「22+37+42+47+52」</t>
        </r>
      </text>
    </comment>
    <comment ref="D6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別表十(六)「11」</t>
        </r>
      </text>
    </comment>
    <comment ref="D6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別表十(六)「13」＋「14」</t>
        </r>
      </text>
    </comment>
    <comment ref="D6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別表十(七)「22」</t>
        </r>
      </text>
    </comment>
    <comment ref="D6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別表十七(二の三)「10」</t>
        </r>
      </text>
    </comment>
    <comment ref="D6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別表十七の当該年版様式列挙額</t>
        </r>
      </text>
    </comment>
    <comment ref="D7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別表四付表「3」</t>
        </r>
      </text>
    </comment>
    <comment ref="D7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別表七の三「11」</t>
        </r>
      </text>
    </comment>
    <comment ref="D72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施行令139条の8関係・入力値</t>
        </r>
      </text>
    </comment>
    <comment ref="D73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施行令139条の8関係・入力値</t>
        </r>
      </text>
    </comment>
    <comment ref="D74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別表四付表「8」</t>
        </r>
      </text>
    </comment>
    <comment ref="D75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別表七の三「5」</t>
        </r>
      </text>
    </comment>
    <comment ref="D76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法人税法施行令139条の8第1項</t>
        </r>
      </text>
    </comment>
    <comment ref="D77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別表四付表「9」</t>
        </r>
      </text>
    </comment>
    <comment ref="D78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別表七(二)付表一「23の計」</t>
        </r>
      </text>
    </comment>
    <comment ref="D79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別表八(一)付表二「24」</t>
        </r>
      </text>
    </comment>
    <comment ref="D8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別表十八(一)「5の計」
計算欄では(20)を控除</t>
        </r>
      </text>
    </comment>
    <comment ref="D81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別表十八(一)「6の計」
計算欄では(22)を控除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jplawdb4</author>
  </authors>
  <commentList>
    <comment ref="G10" authorId="0" shapeId="0">
      <text>
        <r>
          <rPr>
            <b/>
            <sz val="9"/>
            <color indexed="81"/>
            <rFont val="MS P ゴシック"/>
            <family val="3"/>
            <charset val="128"/>
          </rPr>
          <t>法人税基本通達16-1-8(2)の短期事業年度における1億円相当額の端数判定。</t>
        </r>
      </text>
    </comment>
  </commentList>
</comments>
</file>

<file path=xl/sharedStrings.xml><?xml version="1.0" encoding="utf-8"?>
<sst xmlns="http://schemas.openxmlformats.org/spreadsheetml/2006/main" count="668" uniqueCount="482">
  <si>
    <t>特定同族会社の留保金課税 - 入力（令和4年版）</t>
  </si>
  <si>
    <t>黄色セルだけを入力してください。青色セルと国税庁様式帳票は自動計算・自動転記です。</t>
  </si>
  <si>
    <t>法人名</t>
  </si>
  <si>
    <t>事業年度開始日</t>
  </si>
  <si>
    <t>事業年度終了日</t>
  </si>
  <si>
    <t>事業年度月数（自動）</t>
  </si>
  <si>
    <t>中小企業者等該当性（住民税計算用）</t>
  </si>
  <si>
    <t>通算法人</t>
  </si>
  <si>
    <t>別表二の判定結果：特定同族会社</t>
  </si>
  <si>
    <t>基本情報</t>
    <phoneticPr fontId="2"/>
  </si>
  <si>
    <t>年度版チェック</t>
  </si>
  <si>
    <t>事業年度が対象範囲内</t>
  </si>
  <si>
    <t>住民税率</t>
  </si>
  <si>
    <t>特定寄附金控除率</t>
  </si>
  <si>
    <t>令和4年4月1日以後開始し、令和4年4月1日から令和5年3月31日までに終了する事業年度（グループ通算制度用）</t>
  </si>
  <si>
    <t>別表三(一)・住民税額計算の入力</t>
  </si>
  <si>
    <t>入力ID</t>
  </si>
  <si>
    <t>転記元</t>
  </si>
  <si>
    <t>内容</t>
  </si>
  <si>
    <t>入力額</t>
  </si>
  <si>
    <t>備考</t>
  </si>
  <si>
    <t>m9_base</t>
  </si>
  <si>
    <t>別表四「52の②」</t>
  </si>
  <si>
    <t>留保所得金額（主表9）の基礎額</t>
  </si>
  <si>
    <t>別表四の留保所得金額又は欠損金額を符号付きで転記（欠損は負数可）</t>
  </si>
  <si>
    <t>m9_extra</t>
  </si>
  <si>
    <t>別表十(六)「12」</t>
  </si>
  <si>
    <t>留保所得金額（主表9）に含める記載要領上の追加額</t>
  </si>
  <si>
    <t>該当がなければ0</t>
  </si>
  <si>
    <t>m9_inner</t>
  </si>
  <si>
    <t>別表四「17」</t>
  </si>
  <si>
    <t>留保所得金額（主表9）の内書額</t>
  </si>
  <si>
    <t>当期留保金額で主表9から減算</t>
  </si>
  <si>
    <t>prev_div</t>
  </si>
  <si>
    <t>前期の別表三(一)「11」</t>
  </si>
  <si>
    <t>前期末配当等の額</t>
  </si>
  <si>
    <t>curr_div</t>
  </si>
  <si>
    <t>法人税法67条4項</t>
  </si>
  <si>
    <t>当期末配当等の額</t>
  </si>
  <si>
    <t>b1_2</t>
  </si>
  <si>
    <t>別表一「2」</t>
  </si>
  <si>
    <t>主表12・住民税計算用：別表一「2」</t>
  </si>
  <si>
    <t>b1_3</t>
  </si>
  <si>
    <t>別表一「3」</t>
  </si>
  <si>
    <t>主表12・住民税計算用：別表一「3」</t>
  </si>
  <si>
    <t>b1_4</t>
  </si>
  <si>
    <t>別表一「4」</t>
  </si>
  <si>
    <t>主表12・住民税計算用：別表一「4」</t>
  </si>
  <si>
    <t>b1_6</t>
  </si>
  <si>
    <t>別表一「6」</t>
  </si>
  <si>
    <t>主表12・住民税計算用：別表一「6」</t>
  </si>
  <si>
    <t>b1_9out</t>
  </si>
  <si>
    <t>別表一「9の外書」</t>
  </si>
  <si>
    <t>主表12・住民税計算用：別表一「9の外書」</t>
  </si>
  <si>
    <t>b1_11</t>
  </si>
  <si>
    <t>別表一「11」</t>
  </si>
  <si>
    <t>主表12・住民税計算用：別表一「11」</t>
  </si>
  <si>
    <t>b1_17</t>
  </si>
  <si>
    <t>別表一「17」</t>
  </si>
  <si>
    <t>主表12・住民税計算用：別表一「17」</t>
  </si>
  <si>
    <t>b1_18</t>
  </si>
  <si>
    <t>別表一「18」</t>
  </si>
  <si>
    <t>主表12・住民税計算用：別表一「18」</t>
  </si>
  <si>
    <t>b1_32</t>
  </si>
  <si>
    <t>別表一「32」</t>
  </si>
  <si>
    <t>主表12の地方法人税計算用：別表一「32」</t>
  </si>
  <si>
    <t>b1_33</t>
  </si>
  <si>
    <t>別表一「33」</t>
  </si>
  <si>
    <t>主表12の地方法人税計算用：別表一「33」</t>
  </si>
  <si>
    <t>b1_37</t>
  </si>
  <si>
    <t>別表一「37」</t>
  </si>
  <si>
    <t>主表12の地方法人税計算用：別表一「37」</t>
  </si>
  <si>
    <t>b1_77</t>
  </si>
  <si>
    <t>別表一「77」</t>
  </si>
  <si>
    <t>主表12の地方法人税計算用：別表一「77」</t>
  </si>
  <si>
    <t>b6_5_2_5_3</t>
  </si>
  <si>
    <t>別表六(五の二)「5の③」</t>
  </si>
  <si>
    <t>主表12の分配時調整外国税相当額</t>
  </si>
  <si>
    <t>m22_credits</t>
  </si>
  <si>
    <t>別表六(六)9②＋9④～⑧＋9⑯～⑱＋9㉖～㉘</t>
  </si>
  <si>
    <t>主表22で差し引く税額控除等の合計</t>
  </si>
  <si>
    <t>m23_credits</t>
  </si>
  <si>
    <t>別表六(六)3＋9②～⑧＋9⑪～⑭＋9⑯～㉘</t>
  </si>
  <si>
    <t>主表23で差し引く税額控除等の合計</t>
  </si>
  <si>
    <t>m22_b1_4_adjust</t>
  </si>
  <si>
    <t>R4記載要領上の該当額（通常0）</t>
  </si>
  <si>
    <t>主表22の別表一4調整額</t>
  </si>
  <si>
    <t>m23_b1_4_adjust</t>
  </si>
  <si>
    <t>主表23の別表一4調整額</t>
  </si>
  <si>
    <t>m14_foreign</t>
  </si>
  <si>
    <t>別表十七(三の六)「1」</t>
  </si>
  <si>
    <t>主表14：外国関係会社等に係る控除対象所得税額等相当額</t>
  </si>
  <si>
    <t>specific_donation_total</t>
  </si>
  <si>
    <t>法人税法施行令139条の10第1項</t>
  </si>
  <si>
    <t>主表の特定寄附金控除額の基礎となる合計額</t>
  </si>
  <si>
    <t>損金算入される額のみ</t>
  </si>
  <si>
    <t>adjust_local_credit</t>
  </si>
  <si>
    <t>別表六(二)付表六「7の計」</t>
  </si>
  <si>
    <t>調整地方税額に係る控除額で差し引く額</t>
  </si>
  <si>
    <t>留保控除額（付表・付表一）の入力</t>
  </si>
  <si>
    <t>f1_capital</t>
  </si>
  <si>
    <t>期末資本金又は出資金</t>
  </si>
  <si>
    <t>付表1欄：期末資本金の額又は出資金の額</t>
  </si>
  <si>
    <t>f1_opening_profit</t>
  </si>
  <si>
    <t>別表五(一)の該当欄</t>
  </si>
  <si>
    <t>期首利益積立金額の基礎額（主表10控除前）</t>
  </si>
  <si>
    <t>利益積立金額がマイナスの場合は負数可</t>
  </si>
  <si>
    <t>f1_merger_inc</t>
  </si>
  <si>
    <t>適格合併等</t>
  </si>
  <si>
    <t>適格合併等により増加した利益積立金額</t>
  </si>
  <si>
    <t>f1_split_dec</t>
  </si>
  <si>
    <t>適格分割型分割等</t>
  </si>
  <si>
    <t>適格分割型分割等により減少した利益積立金額</t>
  </si>
  <si>
    <t>f1_09</t>
  </si>
  <si>
    <t>別表四「52の①」</t>
  </si>
  <si>
    <t>付表の9欄：所得金額</t>
  </si>
  <si>
    <t>別表四の所得金額又は欠損金額を符号付きで転記（欠損は負数可）</t>
  </si>
  <si>
    <t>f1_10</t>
  </si>
  <si>
    <t>別表四「38」</t>
  </si>
  <si>
    <t>付表の10欄：非適格合併による移転資産等の譲渡利益額又は譲渡損失額</t>
  </si>
  <si>
    <t>譲渡損失額はマイナス入力可</t>
  </si>
  <si>
    <t>f1_11</t>
  </si>
  <si>
    <t>別表八(一)「13」又は「26」から通算法人間配当等を除いた額</t>
  </si>
  <si>
    <t>付表の11欄：受取配当等の益金不算入額</t>
  </si>
  <si>
    <t>f1_12</t>
  </si>
  <si>
    <t>別表八(二)「26」＋別表十七(三の七)「27の計」</t>
  </si>
  <si>
    <t>付表の12欄：外国子会社等から受ける剰余金の配当等の益金不算入額</t>
  </si>
  <si>
    <t>f1_13</t>
  </si>
  <si>
    <t>別表四「16」</t>
  </si>
  <si>
    <t>付表の13欄：受贈益の益金不算入額</t>
  </si>
  <si>
    <t>f1_14</t>
  </si>
  <si>
    <t>別表四「19」＋益金不算入通算税効果額</t>
  </si>
  <si>
    <t>付表の14欄：法人税額の還付金等</t>
  </si>
  <si>
    <t>f1_15</t>
  </si>
  <si>
    <t>別表七の当該年版様式列挙額</t>
  </si>
  <si>
    <t>付表の15欄：欠損金等の当期控除額</t>
  </si>
  <si>
    <t>f1_16</t>
  </si>
  <si>
    <t>別表四「37」</t>
  </si>
  <si>
    <t>付表の16欄：災害損失欠損金額の益金算入額</t>
  </si>
  <si>
    <t>f1_19</t>
  </si>
  <si>
    <t>別表八(三)「13」の合計額</t>
  </si>
  <si>
    <t>付表の19欄：他法人株式等の帳簿価額から減算される金額</t>
  </si>
  <si>
    <t>f1_20</t>
  </si>
  <si>
    <t>別表十(三)「43」</t>
  </si>
  <si>
    <t>付表の20欄：新鉱床探鉱費又は海外新鉱床探鉱費の特別控除額</t>
  </si>
  <si>
    <t>f1_21</t>
  </si>
  <si>
    <t>別表十(四)「20」</t>
  </si>
  <si>
    <t>付表の21欄：日本船舶による収入金額に係る所得の損金算入額</t>
  </si>
  <si>
    <t>f1_22</t>
  </si>
  <si>
    <t>別表十(四)「21」又は「23」</t>
  </si>
  <si>
    <t>付表の22欄：日本船舶による収入金額に係る所得の益金算入額</t>
  </si>
  <si>
    <t>f1_23</t>
  </si>
  <si>
    <t>別表十(一)「15」又は別表十(二)「10」</t>
  </si>
  <si>
    <t>付表の23欄：沖縄認定法人・国家戦略特区指定法人の所得特別控除額</t>
  </si>
  <si>
    <t>f1_24</t>
  </si>
  <si>
    <t>別表十(一)「16」又は別表十(二)「11」</t>
  </si>
  <si>
    <t>付表の24欄：沖縄認定法人・国家戦略特区指定法人の要加算調整額</t>
  </si>
  <si>
    <t>f1_25</t>
  </si>
  <si>
    <t>別表十(五)「22+37+42+47+52」</t>
  </si>
  <si>
    <t>付表の25欄：収用等の場合等の所得の特別控除額</t>
  </si>
  <si>
    <t>f1_26</t>
  </si>
  <si>
    <t>別表十(六)「11」</t>
  </si>
  <si>
    <t>付表の26欄：特別新事業開拓事業者関係の特別勘定繰入額</t>
  </si>
  <si>
    <t>f1_27</t>
  </si>
  <si>
    <t>別表十(六)「13」＋「14」</t>
  </si>
  <si>
    <t>付表の27欄：特別新事業開拓事業者関係の特別勘定取崩額</t>
  </si>
  <si>
    <t>f1_28</t>
  </si>
  <si>
    <t>別表十(七)「22」</t>
  </si>
  <si>
    <t>付表の28欄：肉用牛の売却に係る所得の特別控除額</t>
  </si>
  <si>
    <t>f1_29</t>
  </si>
  <si>
    <t>別表十七(二の三)「10」</t>
  </si>
  <si>
    <t>付表の29欄：超過利子額の損金算入額</t>
  </si>
  <si>
    <t>f1_30</t>
  </si>
  <si>
    <t>別表十七の当該年版様式列挙額</t>
  </si>
  <si>
    <t>付表の30欄：課税対象金額等の益金算入額</t>
  </si>
  <si>
    <t>通算法人調整（付表二）の入力</t>
  </si>
  <si>
    <t>f2_01</t>
  </si>
  <si>
    <t>別表四付表「3」</t>
  </si>
  <si>
    <t>付表二の1欄：他の通算法人に対する通算法人株式の譲渡損失額</t>
  </si>
  <si>
    <t>f2_02</t>
  </si>
  <si>
    <t>別表七の三「11」</t>
  </si>
  <si>
    <t>付表二の2欄：通算対象所得金額の益金算入額</t>
  </si>
  <si>
    <t>f2_03</t>
  </si>
  <si>
    <t>施行令139条の8関係・入力値</t>
  </si>
  <si>
    <t>付表二の3欄：通算外配当等流出額</t>
  </si>
  <si>
    <t>f2_04</t>
  </si>
  <si>
    <t>付表二の4欄：通算内配当等の額</t>
  </si>
  <si>
    <t>f2_06</t>
  </si>
  <si>
    <t>別表四付表「8」</t>
  </si>
  <si>
    <t>付表二の6欄：他の通算法人に対する通算法人株式の譲渡利益額</t>
  </si>
  <si>
    <t>f2_07</t>
  </si>
  <si>
    <t>別表七の三「5」</t>
  </si>
  <si>
    <t>付表二の7欄：通算対象欠損金額の損金算入額</t>
  </si>
  <si>
    <t>f2_08</t>
  </si>
  <si>
    <t>法人税法施行令139条の8第1項</t>
  </si>
  <si>
    <t>付表二の8欄：通算法人間配当等の当期受取額</t>
  </si>
  <si>
    <t>f2_12</t>
  </si>
  <si>
    <t>別表四付表「9」</t>
  </si>
  <si>
    <t>付表二の12欄：通算法人の合併等があった場合の欠損金の損金算入額</t>
  </si>
  <si>
    <t>f2_15</t>
  </si>
  <si>
    <t>別表七(二)付表一「23の計」</t>
  </si>
  <si>
    <t>付表二の15欄：当初配賦欠損金控除額の益金算入額</t>
  </si>
  <si>
    <t>f2_16</t>
  </si>
  <si>
    <t>別表八(一)付表二「24」</t>
  </si>
  <si>
    <t>付表二の16欄：当初支払利子配賦額の控除不足額の益金算入額</t>
  </si>
  <si>
    <t>f2_21</t>
  </si>
  <si>
    <t>別表十八(一)「5の計」</t>
  </si>
  <si>
    <t>付表二の21欄：他の通算法人の調整通算外配当等流出額の合計額（控除前）</t>
  </si>
  <si>
    <t>計算欄では(20)を控除</t>
  </si>
  <si>
    <t>f2_23</t>
  </si>
  <si>
    <t>別表十八(一)「6の計」</t>
  </si>
  <si>
    <t>付表二の23欄：他の通算法人の純通算内配当等の額の合計額（控除前）</t>
  </si>
  <si>
    <t>計算欄では(22)を控除</t>
  </si>
  <si>
    <t>別表三(一) - 留保金額に対する税額の計算</t>
  </si>
  <si>
    <t>令和4年版 国税庁様式。青色セルは自動計算、黄色セルは入力シートで入力します。</t>
  </si>
  <si>
    <t>番号</t>
  </si>
  <si>
    <t>項目</t>
  </si>
  <si>
    <t>計算式・転記元</t>
  </si>
  <si>
    <t>金額</t>
  </si>
  <si>
    <t>注記</t>
  </si>
  <si>
    <t>年3,000万円相当額以下の金額</t>
  </si>
  <si>
    <t>MIN((21),3,000万円×月数/12)</t>
  </si>
  <si>
    <t>1,000円単位</t>
  </si>
  <si>
    <t>年3,000万円相当額超・年1億円相当額以下</t>
  </si>
  <si>
    <t>基本通達16-1-8(2)の端数判定</t>
  </si>
  <si>
    <t>特殊な切上げ・切捨て</t>
  </si>
  <si>
    <t>年1億円相当額を超える金額</t>
  </si>
  <si>
    <t>(21)-(1)-(2)</t>
  </si>
  <si>
    <t>課税留保金額 計</t>
  </si>
  <si>
    <t>(1)+(2)+(3)</t>
  </si>
  <si>
    <t>主表(21)と一致</t>
  </si>
  <si>
    <t>(1)の10％相当額</t>
  </si>
  <si>
    <t>(1)×10％</t>
  </si>
  <si>
    <t/>
  </si>
  <si>
    <t>(2)の15％相当額</t>
  </si>
  <si>
    <t>(2)×15％</t>
  </si>
  <si>
    <t>(3)の20％相当額</t>
  </si>
  <si>
    <t>(3)×20％</t>
  </si>
  <si>
    <t>留保金額に対する税額 計</t>
  </si>
  <si>
    <t>(5)+(6)+(7)</t>
  </si>
  <si>
    <t>別表一へ転記</t>
  </si>
  <si>
    <t>留保所得金額</t>
  </si>
  <si>
    <t>別表四52②＋記載要領上の追加額</t>
  </si>
  <si>
    <t>内書額は別入力</t>
  </si>
  <si>
    <t>前期の主表11</t>
  </si>
  <si>
    <t>法人税額及び地方法人税額の合計額</t>
  </si>
  <si>
    <t>R4公式様式算式</t>
  </si>
  <si>
    <t>マイナスは0</t>
  </si>
  <si>
    <t>住民税額</t>
  </si>
  <si>
    <t>主表28</t>
  </si>
  <si>
    <t>外国関係会社等に係る控除対象所得税額等相当額</t>
  </si>
  <si>
    <t>法人税額等の合計額</t>
  </si>
  <si>
    <t>MAX((12)+(13)-(14),0)</t>
  </si>
  <si>
    <t>通算法人の留保金加算額</t>
  </si>
  <si>
    <t>付表二5</t>
  </si>
  <si>
    <t>通算法人の留保金控除額</t>
  </si>
  <si>
    <t>付表二10</t>
  </si>
  <si>
    <t>他法人株式等の帳簿価額から減算される金額</t>
  </si>
  <si>
    <t>付表一19</t>
  </si>
  <si>
    <t>当期留保金額</t>
  </si>
  <si>
    <t>(9)-9内書+(10)-(11)-(15)+(16)-(17)-(18)</t>
  </si>
  <si>
    <t>留保控除額</t>
  </si>
  <si>
    <t>付表33</t>
  </si>
  <si>
    <t>課税留保金額</t>
  </si>
  <si>
    <t>MAX((19)-(20),0)、1,000円未満切捨て</t>
  </si>
  <si>
    <t>基本通達16-1-8(1)</t>
  </si>
  <si>
    <t>住民税計算の基礎となる法人税額（中小企業者等以外）</t>
  </si>
  <si>
    <t>R4様式列挙額</t>
  </si>
  <si>
    <t>住民税計算の基礎となる法人税額（中小企業者等）</t>
  </si>
  <si>
    <t>選択した(22)又は(23)×適用率</t>
  </si>
  <si>
    <t>特定寄附金の額の合計額に係る控除額</t>
  </si>
  <si>
    <t>特定寄附金合計×適用率</t>
  </si>
  <si>
    <t>調整地方税額に係る控除額</t>
  </si>
  <si>
    <t>((24)+(別表一11+17)×10.4％－付表六7計×10.4％)×20％</t>
  </si>
  <si>
    <t>住民税額から控除される金額</t>
  </si>
  <si>
    <t>(25)又は(26)の少ない金額</t>
  </si>
  <si>
    <t>(24)-(27)</t>
  </si>
  <si>
    <t>主表13へ</t>
  </si>
  <si>
    <t>別表三(一)付表一 - 留保控除額の計算</t>
  </si>
  <si>
    <t>期末資本金の額又は出資金の額</t>
  </si>
  <si>
    <t>入力値</t>
  </si>
  <si>
    <t>同上の25％相当額</t>
  </si>
  <si>
    <t>(1)×25％</t>
  </si>
  <si>
    <t>1円未満切捨て</t>
  </si>
  <si>
    <t>期首利益積立金額</t>
  </si>
  <si>
    <t>別表五(一)該当欄－主表(10)</t>
  </si>
  <si>
    <t>期末利益積立金額</t>
  </si>
  <si>
    <t>(3)+(4)-(5)</t>
  </si>
  <si>
    <t>積立金基準額</t>
  </si>
  <si>
    <t>MAX((2)-(6),0)</t>
  </si>
  <si>
    <t>負数は0。期末利益積立金額が負ならその正数分だけ増加</t>
  </si>
  <si>
    <t>定額基準額</t>
  </si>
  <si>
    <t>2,000万円×当期月数/12</t>
  </si>
  <si>
    <t>所得金額</t>
  </si>
  <si>
    <t>非適格合併による移転資産等の譲渡利益額又は譲渡損失額</t>
  </si>
  <si>
    <t>受取配当等の益金不算入額</t>
  </si>
  <si>
    <t>外国子会社等から受ける剰余金の配当等の益金不算入額</t>
  </si>
  <si>
    <t>受贈益の益金不算入額</t>
  </si>
  <si>
    <t>法人税額の還付金等</t>
  </si>
  <si>
    <t>欠損金等の当期控除額</t>
  </si>
  <si>
    <t>災害損失欠損金額の益金算入額</t>
  </si>
  <si>
    <t>通算法人の所得基準額加算額</t>
  </si>
  <si>
    <t>付表二(13)</t>
  </si>
  <si>
    <t>通算法人の所得基準額控除額</t>
  </si>
  <si>
    <t>付表二(17)</t>
  </si>
  <si>
    <t>新鉱床探鉱費又は海外新鉱床探鉱費の特別控除額</t>
  </si>
  <si>
    <t>日本船舶による収入金額に係る所得の損金算入額</t>
  </si>
  <si>
    <t>日本船舶による収入金額に係る所得の益金算入額</t>
  </si>
  <si>
    <t>沖縄認定法人・国家戦略特区指定法人の所得特別控除額</t>
  </si>
  <si>
    <t>沖縄認定法人・国家戦略特区指定法人の要加算調整額</t>
  </si>
  <si>
    <t>収用等の場合等の所得の特別控除額</t>
  </si>
  <si>
    <t>特別新事業開拓事業者関係の特別勘定繰入額</t>
  </si>
  <si>
    <t>特別新事業開拓事業者関係の特別勘定取崩額</t>
  </si>
  <si>
    <t>肉用牛の売却に係る所得の特別控除額</t>
  </si>
  <si>
    <t>超過利子額の損金算入額</t>
  </si>
  <si>
    <t>課税対象金額等の益金算入額</t>
  </si>
  <si>
    <t>所得等の金額</t>
  </si>
  <si>
    <t>(9)-(10)+(11)+(12)+(13)+(14)+(15)-(16)+(17)-(18)-(19)+(20)+(21)-(22)+(23)-(24)+(25)+(26)-(27)+(28)+(29)-(30)</t>
  </si>
  <si>
    <t>所得基準額</t>
  </si>
  <si>
    <t>(31)×40％</t>
  </si>
  <si>
    <t>(7)、(8)、(32)のいずれか多い金額</t>
  </si>
  <si>
    <t>主表20へ</t>
  </si>
  <si>
    <t>別表三(一)付表二 - 通算法人調整</t>
  </si>
  <si>
    <t>他の通算法人に対する通算法人株式の譲渡損失額</t>
  </si>
  <si>
    <t>通算対象所得金額の益金算入額</t>
  </si>
  <si>
    <t>通算外配当等流出額</t>
  </si>
  <si>
    <t>通算内配当等の額</t>
  </si>
  <si>
    <t>(1)+(2)+(3)+(4)</t>
  </si>
  <si>
    <t>主表16へ</t>
  </si>
  <si>
    <t>他の通算法人に対する通算法人株式の譲渡利益額</t>
  </si>
  <si>
    <t>通算対象欠損金額の損金算入額</t>
  </si>
  <si>
    <t>通算法人間配当等の当期受取額</t>
  </si>
  <si>
    <t>通算外配当等流出配賦額</t>
  </si>
  <si>
    <t>付表二(26)</t>
  </si>
  <si>
    <t>(6)+(7)+(8)+(9)</t>
  </si>
  <si>
    <t>主表17へ</t>
  </si>
  <si>
    <t>所得基準額加算</t>
  </si>
  <si>
    <t>通算法人の合併等があった場合の欠損金の損金算入額</t>
  </si>
  <si>
    <t>(11)+(12)</t>
  </si>
  <si>
    <t>付表一へ</t>
  </si>
  <si>
    <t>所得基準額控除</t>
  </si>
  <si>
    <t>当初配賦欠損金控除額の益金算入額</t>
  </si>
  <si>
    <t>当初支払利子配賦額の控除不足額の益金算入額</t>
  </si>
  <si>
    <t>(14)+(15)+(16)</t>
  </si>
  <si>
    <t>通算内配当等の額の当期受取額</t>
  </si>
  <si>
    <t>付表二(8)と同額</t>
  </si>
  <si>
    <t>通算内配当等受取超過額</t>
  </si>
  <si>
    <t>MAX((18)-(4),0)</t>
  </si>
  <si>
    <t>調整通算外配当等流出額</t>
  </si>
  <si>
    <t>(3)と(19)の少ない金額</t>
  </si>
  <si>
    <t>他の通算法人の調整通算外配当等流出額の合計額（控除前）</t>
  </si>
  <si>
    <t>純通算内配当等の額</t>
  </si>
  <si>
    <t>MAX((4)-(18),0)</t>
  </si>
  <si>
    <t>他の通算法人の純通算内配当等の額の合計額（控除前）</t>
  </si>
  <si>
    <t>純通算内配当等の割合</t>
  </si>
  <si>
    <t>(22)/((22)+(23))</t>
  </si>
  <si>
    <t>分母0は0</t>
  </si>
  <si>
    <t>通算外配当等流出超過額</t>
  </si>
  <si>
    <t>MAX((3)-(19),0)</t>
  </si>
  <si>
    <t>((20)+(21))×(24)+(25)</t>
  </si>
  <si>
    <t>割合を分数のまま計算し1円未満切捨て</t>
  </si>
  <si>
    <t>端数処理ヘルパー</t>
  </si>
  <si>
    <t>値</t>
  </si>
  <si>
    <t>課税留保金額（切捨前）</t>
  </si>
  <si>
    <t>主表(21)で切り捨てた端数</t>
  </si>
  <si>
    <t>年1億円相当額（生額）</t>
  </si>
  <si>
    <t>主表(2)の丸め前金額</t>
  </si>
  <si>
    <t>主表(2)の1,000円未満端数</t>
  </si>
  <si>
    <t>主表(2)の丸め後金額</t>
  </si>
  <si>
    <t>付表二21・23欄／割合の整合性</t>
  </si>
  <si>
    <t>特定同族会社の留保金課税 計算シート（令和4年版）</t>
  </si>
  <si>
    <t>令和4年4月1日以後開始し、令和4年4月1日から令和5年3月31日までに終了する事業年度（グループ通算制度用）／国税庁の当該年公式別表を背景として再現</t>
  </si>
  <si>
    <t>最終結果</t>
  </si>
  <si>
    <t>留保金額に対する税額（別表三(一)「8」）</t>
  </si>
  <si>
    <t>課税留保金額（同「21」）</t>
  </si>
  <si>
    <t>留保控除額（別表三(一)付表一「33」）</t>
  </si>
  <si>
    <t>住民税額（別表三(一)「28」）</t>
  </si>
  <si>
    <t>適用・入力チェック</t>
  </si>
  <si>
    <t>年度版の適用期間</t>
  </si>
  <si>
    <t>特定同族会社の判定</t>
  </si>
  <si>
    <t>通算法人付表二</t>
  </si>
  <si>
    <t>事業年度月数</t>
  </si>
  <si>
    <t>操作手順</t>
  </si>
  <si>
    <t>1. 「入力」シートの黄色セルへ、各別表から円単位で入力します。負数を許容する4項目は備考・コメントに明記しています。</t>
  </si>
  <si>
    <t>2. 青色の計算シートで主表・付表の算式と転記元を確認します。</t>
  </si>
  <si>
    <t>3. 緑色タブの国税庁様式に自動転記された金額を確認し、申告用データと突合します。</t>
  </si>
  <si>
    <t>4. このブックは計算補助です。提出前に最新の法令・記載要領・電子申告仕様を必ず確認してください。</t>
  </si>
  <si>
    <t>令和4年版はグループ通算制度への移行年です。開始日・旧連結制度との経過措置を個別確認してください。</t>
  </si>
  <si>
    <t>シート移動</t>
  </si>
  <si>
    <t>入力</t>
  </si>
  <si>
    <t>主表計算</t>
  </si>
  <si>
    <t>付表一_計算</t>
  </si>
  <si>
    <t>付表二計算</t>
  </si>
  <si>
    <t>公式様式</t>
  </si>
  <si>
    <t>検算</t>
  </si>
  <si>
    <t>根拠・出典</t>
  </si>
  <si>
    <t>令和4年版 根拠・出典・ファイル同一性</t>
  </si>
  <si>
    <t>種別</t>
  </si>
  <si>
    <t>資料名</t>
  </si>
  <si>
    <t>URL</t>
  </si>
  <si>
    <t>SHA-256</t>
  </si>
  <si>
    <t>用途</t>
  </si>
  <si>
    <t>国税庁</t>
  </si>
  <si>
    <t>令和4年 法人税各種別表一覧</t>
  </si>
  <si>
    <t>https://www.nta.go.jp/taxes/tetsuzuki/shinsei/annai/hojin/shinkoku/itiran2022/01.htm</t>
  </si>
  <si>
    <t>年度版・適用様式の確認</t>
  </si>
  <si>
    <t>別表三(一) 公式様式</t>
  </si>
  <si>
    <t>https://www.nta.go.jp/taxes/tetsuzuki/shinsei/annai/hojin/shinkoku/itiran2022/pdf/03%2801%29.pdf</t>
  </si>
  <si>
    <t>AC2E4B96ABAE89D6A32C6914B20F34139356B38DA6C34C707DA06053452E3A1C</t>
  </si>
  <si>
    <t>公式様式・算式・記載要領</t>
  </si>
  <si>
    <t>別表三(一) 記載要領</t>
  </si>
  <si>
    <t>https://www.nta.go.jp/publication/pamph/hojin/tebiki2022/pdf/02-03.pdf</t>
  </si>
  <si>
    <t>042DF9290C1BA6F16DB6010D984380F835F67E078708C1221760FE8C5A766B0D</t>
  </si>
  <si>
    <t>別表三(一)付表（付表一）公式様式</t>
  </si>
  <si>
    <t>https://www.nta.go.jp/taxes/tetsuzuki/shinsei/annai/hojin/shinkoku/itiran2022/pdf/03%2801%29-f1.pdf</t>
  </si>
  <si>
    <t>C536100BD3D5F27A889F69B204CA71AC5A350306442BA2048EE535CE3445ADB1</t>
  </si>
  <si>
    <t>別表三(一)付表（付表一）記載要領</t>
  </si>
  <si>
    <t>https://www.nta.go.jp/publication/pamph/hojin/tebiki2022/pdf/02-04.pdf</t>
  </si>
  <si>
    <t>2EA68D726667FD28B51A31419BB73C62C501255E7745092EAD6ACC475845AB46</t>
  </si>
  <si>
    <t>別表三(一)付表二 公式様式</t>
  </si>
  <si>
    <t>https://www.nta.go.jp/taxes/tetsuzuki/shinsei/annai/hojin/shinkoku/itiran2022/pdf/03%2801%29-f2.pdf</t>
  </si>
  <si>
    <t>63114FBC0816D3AEEAFA580D12B85E88F4C9958EBF447E712B64870A1BE23E2D</t>
  </si>
  <si>
    <t>別表三(一)付表二 記載要領</t>
  </si>
  <si>
    <t>https://www.nta.go.jp/taxes/tetsuzuki/shinsei/annai/hojin/shinkoku/itiran2022/pdf/03%2801%29-f2-ki.pdf</t>
  </si>
  <si>
    <t>EBA3D87702D6B43392517CEB1AF7AB9D92E6AC17807DF7BC45B2D74FE10E8CDA</t>
  </si>
  <si>
    <t>法人税基本通達16-1-8</t>
  </si>
  <si>
    <t>https://www.nta.go.jp/law/tsutatsu/kihon/hojin/16/16_01_02.htm</t>
  </si>
  <si>
    <t>課税留保金額の1,000円端数処理</t>
  </si>
  <si>
    <t>e-Gov</t>
  </si>
  <si>
    <t>法人税法67条</t>
  </si>
  <si>
    <t>https://laws.e-gov.go.jp/law/340AC0000000034#Mp-At_67</t>
  </si>
  <si>
    <t>特定同族会社の特別税率・留保控除</t>
  </si>
  <si>
    <t>国税通則法10条</t>
  </si>
  <si>
    <t>https://laws.e-gov.go.jp/law/337AC0000000066#Mp-At_10</t>
  </si>
  <si>
    <t>暦による月数計算</t>
  </si>
  <si>
    <t>計算</t>
  </si>
  <si>
    <t>端数処理：法人税基本通達16-1-8。月数：法人税法67条7項・国税通則法10条。留保控除：積立金・定額・所得の三基準の最大額。</t>
  </si>
  <si>
    <t>いいえ</t>
    <phoneticPr fontId="2"/>
  </si>
  <si>
    <t>該当</t>
    <phoneticPr fontId="2"/>
  </si>
  <si>
    <t>はい</t>
    <phoneticPr fontId="2"/>
  </si>
  <si>
    <t>令和4年版 組込検算・構造QA</t>
  </si>
  <si>
    <t>テスト</t>
  </si>
  <si>
    <t>期待値</t>
  </si>
  <si>
    <t>実測値</t>
  </si>
  <si>
    <t>結果</t>
  </si>
  <si>
    <t>12か月・3段階税率</t>
  </si>
  <si>
    <t>課税留保180,000,000 / 税額29,500,000</t>
  </si>
  <si>
    <t>180,000,000 / 29,500,000</t>
  </si>
  <si>
    <t>PASS</t>
  </si>
  <si>
    <t>5か月・通達端数切上げ</t>
  </si>
  <si>
    <t>(2)=29,167,000</t>
  </si>
  <si>
    <t>5か月・通達端数切捨て</t>
  </si>
  <si>
    <t>(2)=29,166,000</t>
  </si>
  <si>
    <t>月数・平年月末</t>
  </si>
  <si>
    <t>月数=1</t>
  </si>
  <si>
    <t>月数・閏年月末</t>
  </si>
  <si>
    <t>月数・応当日前日</t>
  </si>
  <si>
    <t>月数・1か月と1日</t>
  </si>
  <si>
    <t>月数=2</t>
  </si>
  <si>
    <t>入力規則・符号分類</t>
  </si>
  <si>
    <t>資本金の負数を拒否／利益積立金の負数を受理</t>
  </si>
  <si>
    <t>資本金拒否=True／利益積立金受理=True</t>
  </si>
  <si>
    <t>R4固定率</t>
  </si>
  <si>
    <t>住民税10.4% / 寄附40%</t>
  </si>
  <si>
    <t>10.4% / 40%</t>
  </si>
  <si>
    <t>付表二21・控除前入力規則</t>
  </si>
  <si>
    <t>49拒否／50受理</t>
  </si>
  <si>
    <t>49拒否=True／50受理=True</t>
  </si>
  <si>
    <t>付表二23・控除前入力規則</t>
  </si>
  <si>
    <t>99拒否／100受理</t>
  </si>
  <si>
    <t>99拒否=True／100受理=True</t>
  </si>
  <si>
    <t>付表二26・分数のまま計算</t>
  </si>
  <si>
    <t>(26)=29,701,000</t>
  </si>
  <si>
    <t>構造検査</t>
  </si>
  <si>
    <t>数式エラー</t>
  </si>
  <si>
    <t>主表行数</t>
  </si>
  <si>
    <t>付表行数</t>
  </si>
  <si>
    <t>付表二行数</t>
  </si>
  <si>
    <t>年度版適用期間</t>
  </si>
  <si>
    <t>動的入力整合性（入力変更時も自動更新）</t>
  </si>
  <si>
    <t>付表二21・23欄の控除前合計額／24欄割合</t>
  </si>
  <si>
    <t>TRUE（割合0～100%）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</si>
</sst>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9" formatCode="yyyy/mm/dd"/>
    <numFmt numFmtId="180" formatCode="[=0]&quot;OK&quot;;[=0]&quot;要確認&quot;"/>
    <numFmt numFmtId="181" formatCode="0.0%"/>
    <numFmt numFmtId="182" formatCode="#,##0;\-#,##0;0"/>
    <numFmt numFmtId="183" formatCode="0.00000000"/>
    <numFmt numFmtId="184" formatCode="#,##0&quot; 円&quot;"/>
  </numFmts>
  <fonts count="16">
    <font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6"/>
      <color rgb="FFFFFFFF"/>
      <name val="Yu Gothic"/>
      <family val="3"/>
      <charset val="128"/>
    </font>
    <font>
      <sz val="11"/>
      <color theme="1"/>
      <name val="Yu Gothic"/>
      <family val="3"/>
      <charset val="128"/>
    </font>
    <font>
      <sz val="11"/>
      <color rgb="FF595959"/>
      <name val="Yu Gothic"/>
      <family val="3"/>
      <charset val="128"/>
    </font>
    <font>
      <b/>
      <sz val="10"/>
      <color rgb="FFFFFFFF"/>
      <name val="Yu Gothic"/>
      <family val="3"/>
      <charset val="128"/>
    </font>
    <font>
      <b/>
      <sz val="11"/>
      <color rgb="FFFFFFFF"/>
      <name val="Yu Gothic"/>
      <family val="3"/>
      <charset val="128"/>
    </font>
    <font>
      <b/>
      <sz val="11"/>
      <color theme="1"/>
      <name val="Yu Gothic"/>
      <family val="3"/>
      <charset val="128"/>
    </font>
    <font>
      <sz val="11"/>
      <color rgb="FFC00000"/>
      <name val="Yu Gothic"/>
      <family val="3"/>
      <charset val="128"/>
    </font>
    <font>
      <u/>
      <sz val="11"/>
      <color theme="10"/>
      <name val="游ゴシック"/>
      <family val="2"/>
      <charset val="128"/>
      <scheme val="minor"/>
    </font>
    <font>
      <b/>
      <sz val="18"/>
      <color rgb="FFFFFFFF"/>
      <name val="Yu Gothic"/>
      <family val="3"/>
      <charset val="128"/>
    </font>
    <font>
      <b/>
      <sz val="11"/>
      <color rgb="FFC00000"/>
      <name val="Yu Gothic"/>
      <family val="3"/>
      <charset val="128"/>
    </font>
    <font>
      <u/>
      <sz val="11"/>
      <color rgb="FF2F75B5"/>
      <name val="Yu Gothic"/>
      <family val="3"/>
      <charset val="128"/>
    </font>
    <font>
      <b/>
      <sz val="11"/>
      <color rgb="FF548235"/>
      <name val="Yu Gothic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4FB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rgb="FF7F8C8D"/>
      </left>
      <right style="thin">
        <color rgb="FF7F8C8D"/>
      </right>
      <top style="thin">
        <color rgb="FF7F8C8D"/>
      </top>
      <bottom style="thin">
        <color rgb="FF7F8C8D"/>
      </bottom>
      <diagonal/>
    </border>
  </borders>
  <cellStyleXfs count="2">
    <xf numFmtId="0" fontId="0" fillId="0" borderId="0">
      <alignment vertical="center"/>
    </xf>
    <xf numFmtId="0" fontId="11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1" xfId="0" applyBorder="1" applyAlignment="1">
      <alignment vertical="center"/>
    </xf>
    <xf numFmtId="0" fontId="4" fillId="2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7" fillId="2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180" fontId="5" fillId="0" borderId="1" xfId="0" applyNumberFormat="1" applyFont="1" applyBorder="1" applyAlignment="1">
      <alignment vertical="center"/>
    </xf>
    <xf numFmtId="181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" fontId="5" fillId="4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7" fillId="2" borderId="1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8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vertical="center" wrapText="1"/>
    </xf>
    <xf numFmtId="182" fontId="5" fillId="4" borderId="1" xfId="0" applyNumberFormat="1" applyFont="1" applyFill="1" applyBorder="1" applyAlignment="1">
      <alignment horizontal="right" vertical="center"/>
    </xf>
    <xf numFmtId="0" fontId="1" fillId="5" borderId="1" xfId="0" applyFont="1" applyFill="1" applyBorder="1" applyAlignment="1">
      <alignment vertical="center"/>
    </xf>
    <xf numFmtId="4" fontId="0" fillId="0" borderId="1" xfId="0" applyNumberFormat="1" applyBorder="1" applyAlignment="1">
      <alignment vertical="center"/>
    </xf>
    <xf numFmtId="183" fontId="5" fillId="4" borderId="1" xfId="0" applyNumberFormat="1" applyFont="1" applyFill="1" applyBorder="1" applyAlignment="1">
      <alignment horizontal="right" vertical="center"/>
    </xf>
    <xf numFmtId="182" fontId="9" fillId="7" borderId="1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 wrapText="1"/>
    </xf>
    <xf numFmtId="0" fontId="9" fillId="4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180" fontId="9" fillId="7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12" fillId="2" borderId="0" xfId="0" applyFont="1" applyFill="1">
      <alignment vertical="center"/>
    </xf>
    <xf numFmtId="0" fontId="9" fillId="8" borderId="0" xfId="0" applyFont="1" applyFill="1">
      <alignment vertical="center"/>
    </xf>
    <xf numFmtId="184" fontId="9" fillId="7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0" fontId="7" fillId="2" borderId="0" xfId="0" applyFont="1" applyFill="1" applyAlignment="1">
      <alignment horizontal="left" vertical="center"/>
    </xf>
    <xf numFmtId="0" fontId="13" fillId="9" borderId="0" xfId="0" applyFont="1" applyFill="1" applyAlignment="1">
      <alignment vertical="center" wrapText="1"/>
    </xf>
    <xf numFmtId="0" fontId="14" fillId="0" borderId="0" xfId="1" applyFont="1">
      <alignment vertical="center"/>
    </xf>
    <xf numFmtId="0" fontId="14" fillId="0" borderId="1" xfId="1" applyFont="1" applyBorder="1" applyAlignment="1">
      <alignment vertical="center" wrapText="1"/>
    </xf>
    <xf numFmtId="0" fontId="4" fillId="2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82" fontId="5" fillId="3" borderId="1" xfId="0" applyNumberFormat="1" applyFont="1" applyFill="1" applyBorder="1" applyAlignment="1" applyProtection="1">
      <alignment horizontal="right" vertical="center"/>
      <protection locked="0"/>
    </xf>
    <xf numFmtId="49" fontId="5" fillId="3" borderId="1" xfId="0" applyNumberFormat="1" applyFont="1" applyFill="1" applyBorder="1" applyAlignment="1" applyProtection="1">
      <alignment horizontal="right" vertical="center"/>
      <protection locked="0"/>
    </xf>
    <xf numFmtId="179" fontId="5" fillId="3" borderId="1" xfId="0" applyNumberFormat="1" applyFont="1" applyFill="1" applyBorder="1" applyAlignment="1" applyProtection="1">
      <alignment horizontal="right" vertical="center"/>
      <protection locked="0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5080</xdr:colOff>
      <xdr:row>3</xdr:row>
      <xdr:rowOff>17780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773BE1AF-FE58-F663-B75C-9B6891696B1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6500" cy="10693400"/>
        </a:xfrm>
        <a:prstGeom prst="rect">
          <a:avLst/>
        </a:prstGeom>
      </xdr:spPr>
    </xdr:pic>
    <xdr:clientData/>
  </xdr:twoCellAnchor>
  <xdr:twoCellAnchor editAs="absolute">
    <xdr:from>
      <xdr:col>6</xdr:col>
      <xdr:colOff>355600</xdr:colOff>
      <xdr:row>0</xdr:row>
      <xdr:rowOff>460985</xdr:rowOff>
    </xdr:from>
    <xdr:to>
      <xdr:col>7</xdr:col>
      <xdr:colOff>548640</xdr:colOff>
      <xdr:row>0</xdr:row>
      <xdr:rowOff>854685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3FD53D1A-EF45-016C-0D67-A5B9DF2C5139}"/>
            </a:ext>
          </a:extLst>
        </xdr:cNvPr>
        <xdr:cNvSpPr txBox="1"/>
      </xdr:nvSpPr>
      <xdr:spPr>
        <a:xfrm>
          <a:off x="4150360" y="460985"/>
          <a:ext cx="8255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5A6440C4-CE16-4048-9E46-A2D330EA4978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2022.4.1
2023.3.31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370840</xdr:colOff>
      <xdr:row>0</xdr:row>
      <xdr:rowOff>460985</xdr:rowOff>
    </xdr:from>
    <xdr:to>
      <xdr:col>10</xdr:col>
      <xdr:colOff>350520</xdr:colOff>
      <xdr:row>0</xdr:row>
      <xdr:rowOff>854685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89832608-9995-80E6-54FC-E453AEF1111C}"/>
            </a:ext>
          </a:extLst>
        </xdr:cNvPr>
        <xdr:cNvSpPr txBox="1"/>
      </xdr:nvSpPr>
      <xdr:spPr>
        <a:xfrm>
          <a:off x="5430520" y="460985"/>
          <a:ext cx="12446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A50067DA-5210-4BFB-99B1-33F72702D893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0</xdr:row>
      <xdr:rowOff>1253465</xdr:rowOff>
    </xdr:from>
    <xdr:to>
      <xdr:col>5</xdr:col>
      <xdr:colOff>297688</xdr:colOff>
      <xdr:row>0</xdr:row>
      <xdr:rowOff>1647165</xdr:rowOff>
    </xdr:to>
    <xdr:sp macro="" textlink="印字値!$A$5">
      <xdr:nvSpPr>
        <xdr:cNvPr id="6" name="主表01">
          <a:extLst>
            <a:ext uri="{FF2B5EF4-FFF2-40B4-BE49-F238E27FC236}">
              <a16:creationId xmlns:a16="http://schemas.microsoft.com/office/drawing/2014/main" id="{0771F36D-82EE-0F21-28A1-8564597A8BBA}"/>
            </a:ext>
          </a:extLst>
        </xdr:cNvPr>
        <xdr:cNvSpPr txBox="1"/>
      </xdr:nvSpPr>
      <xdr:spPr>
        <a:xfrm>
          <a:off x="3066288" y="1253465"/>
          <a:ext cx="393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99DC0D7-CD77-4D41-BA4D-B5612B72BB19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0</xdr:row>
      <xdr:rowOff>1756385</xdr:rowOff>
    </xdr:from>
    <xdr:to>
      <xdr:col>5</xdr:col>
      <xdr:colOff>297688</xdr:colOff>
      <xdr:row>0</xdr:row>
      <xdr:rowOff>2150085</xdr:rowOff>
    </xdr:to>
    <xdr:sp macro="" textlink="印字値!$A$6">
      <xdr:nvSpPr>
        <xdr:cNvPr id="7" name="主表02">
          <a:extLst>
            <a:ext uri="{FF2B5EF4-FFF2-40B4-BE49-F238E27FC236}">
              <a16:creationId xmlns:a16="http://schemas.microsoft.com/office/drawing/2014/main" id="{9A3D6F0E-6EB2-D4C4-CD06-84B29CE48A2D}"/>
            </a:ext>
          </a:extLst>
        </xdr:cNvPr>
        <xdr:cNvSpPr txBox="1"/>
      </xdr:nvSpPr>
      <xdr:spPr>
        <a:xfrm>
          <a:off x="3066288" y="1756385"/>
          <a:ext cx="393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74711E6-C098-4977-813B-B2578227DE3C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0</xdr:row>
      <xdr:rowOff>2259305</xdr:rowOff>
    </xdr:from>
    <xdr:to>
      <xdr:col>5</xdr:col>
      <xdr:colOff>297688</xdr:colOff>
      <xdr:row>0</xdr:row>
      <xdr:rowOff>2653005</xdr:rowOff>
    </xdr:to>
    <xdr:sp macro="" textlink="印字値!$A$7">
      <xdr:nvSpPr>
        <xdr:cNvPr id="8" name="主表03">
          <a:extLst>
            <a:ext uri="{FF2B5EF4-FFF2-40B4-BE49-F238E27FC236}">
              <a16:creationId xmlns:a16="http://schemas.microsoft.com/office/drawing/2014/main" id="{C34F58AB-B8BF-FAE4-B0D8-DCDE92D5E286}"/>
            </a:ext>
          </a:extLst>
        </xdr:cNvPr>
        <xdr:cNvSpPr txBox="1"/>
      </xdr:nvSpPr>
      <xdr:spPr>
        <a:xfrm>
          <a:off x="3066288" y="2259305"/>
          <a:ext cx="393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9C177C2-7150-498F-9A25-ECB34252F70D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0</xdr:row>
      <xdr:rowOff>2762225</xdr:rowOff>
    </xdr:from>
    <xdr:to>
      <xdr:col>5</xdr:col>
      <xdr:colOff>297688</xdr:colOff>
      <xdr:row>0</xdr:row>
      <xdr:rowOff>3155925</xdr:rowOff>
    </xdr:to>
    <xdr:sp macro="" textlink="印字値!$A$8">
      <xdr:nvSpPr>
        <xdr:cNvPr id="9" name="主表04">
          <a:extLst>
            <a:ext uri="{FF2B5EF4-FFF2-40B4-BE49-F238E27FC236}">
              <a16:creationId xmlns:a16="http://schemas.microsoft.com/office/drawing/2014/main" id="{94995D21-25EA-CBCB-B510-D2DB3473FC92}"/>
            </a:ext>
          </a:extLst>
        </xdr:cNvPr>
        <xdr:cNvSpPr txBox="1"/>
      </xdr:nvSpPr>
      <xdr:spPr>
        <a:xfrm>
          <a:off x="3066288" y="2762225"/>
          <a:ext cx="3937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12D907B-46EA-4EC1-B365-D3DCAD5000C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1253465</xdr:rowOff>
    </xdr:from>
    <xdr:to>
      <xdr:col>10</xdr:col>
      <xdr:colOff>325628</xdr:colOff>
      <xdr:row>0</xdr:row>
      <xdr:rowOff>1647165</xdr:rowOff>
    </xdr:to>
    <xdr:sp macro="" textlink="印字値!$A$9">
      <xdr:nvSpPr>
        <xdr:cNvPr id="10" name="主表05">
          <a:extLst>
            <a:ext uri="{FF2B5EF4-FFF2-40B4-BE49-F238E27FC236}">
              <a16:creationId xmlns:a16="http://schemas.microsoft.com/office/drawing/2014/main" id="{ACDC7585-5D33-9CEA-AFC0-E5A684454B63}"/>
            </a:ext>
          </a:extLst>
        </xdr:cNvPr>
        <xdr:cNvSpPr txBox="1"/>
      </xdr:nvSpPr>
      <xdr:spPr>
        <a:xfrm>
          <a:off x="6053328" y="1253465"/>
          <a:ext cx="5969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E5E7C77-7281-4418-88DC-8539450D188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1756385</xdr:rowOff>
    </xdr:from>
    <xdr:to>
      <xdr:col>10</xdr:col>
      <xdr:colOff>325628</xdr:colOff>
      <xdr:row>0</xdr:row>
      <xdr:rowOff>2150085</xdr:rowOff>
    </xdr:to>
    <xdr:sp macro="" textlink="印字値!$A$10">
      <xdr:nvSpPr>
        <xdr:cNvPr id="11" name="主表06">
          <a:extLst>
            <a:ext uri="{FF2B5EF4-FFF2-40B4-BE49-F238E27FC236}">
              <a16:creationId xmlns:a16="http://schemas.microsoft.com/office/drawing/2014/main" id="{D81A72DE-2246-F099-5877-14C4F8DA939B}"/>
            </a:ext>
          </a:extLst>
        </xdr:cNvPr>
        <xdr:cNvSpPr txBox="1"/>
      </xdr:nvSpPr>
      <xdr:spPr>
        <a:xfrm>
          <a:off x="6053328" y="1756385"/>
          <a:ext cx="5969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8C66EEF-442D-4215-99EE-C3D846CE290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2259305</xdr:rowOff>
    </xdr:from>
    <xdr:to>
      <xdr:col>10</xdr:col>
      <xdr:colOff>325628</xdr:colOff>
      <xdr:row>0</xdr:row>
      <xdr:rowOff>2653005</xdr:rowOff>
    </xdr:to>
    <xdr:sp macro="" textlink="印字値!$A$11">
      <xdr:nvSpPr>
        <xdr:cNvPr id="12" name="主表07">
          <a:extLst>
            <a:ext uri="{FF2B5EF4-FFF2-40B4-BE49-F238E27FC236}">
              <a16:creationId xmlns:a16="http://schemas.microsoft.com/office/drawing/2014/main" id="{A484ABBC-35EE-97A4-33A7-DED64A22743F}"/>
            </a:ext>
          </a:extLst>
        </xdr:cNvPr>
        <xdr:cNvSpPr txBox="1"/>
      </xdr:nvSpPr>
      <xdr:spPr>
        <a:xfrm>
          <a:off x="6053328" y="2259305"/>
          <a:ext cx="5969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96D6879-773D-43DB-BDB7-F61F73199E7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2762225</xdr:rowOff>
    </xdr:from>
    <xdr:to>
      <xdr:col>10</xdr:col>
      <xdr:colOff>325628</xdr:colOff>
      <xdr:row>0</xdr:row>
      <xdr:rowOff>3155925</xdr:rowOff>
    </xdr:to>
    <xdr:sp macro="" textlink="印字値!$A$12">
      <xdr:nvSpPr>
        <xdr:cNvPr id="13" name="主表08">
          <a:extLst>
            <a:ext uri="{FF2B5EF4-FFF2-40B4-BE49-F238E27FC236}">
              <a16:creationId xmlns:a16="http://schemas.microsoft.com/office/drawing/2014/main" id="{D951852C-5668-B3FB-D710-E68CE5B5CC5E}"/>
            </a:ext>
          </a:extLst>
        </xdr:cNvPr>
        <xdr:cNvSpPr txBox="1"/>
      </xdr:nvSpPr>
      <xdr:spPr>
        <a:xfrm>
          <a:off x="6053328" y="2762225"/>
          <a:ext cx="5969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2C56B07-359C-4ED5-ACBA-E966B8BBA47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0</xdr:row>
      <xdr:rowOff>3432785</xdr:rowOff>
    </xdr:from>
    <xdr:to>
      <xdr:col>5</xdr:col>
      <xdr:colOff>500888</xdr:colOff>
      <xdr:row>1</xdr:row>
      <xdr:rowOff>166345</xdr:rowOff>
    </xdr:to>
    <xdr:sp macro="" textlink="印字値!$A$13">
      <xdr:nvSpPr>
        <xdr:cNvPr id="14" name="主表09">
          <a:extLst>
            <a:ext uri="{FF2B5EF4-FFF2-40B4-BE49-F238E27FC236}">
              <a16:creationId xmlns:a16="http://schemas.microsoft.com/office/drawing/2014/main" id="{F93F1D41-1178-CAF6-9310-1DF60F66D21B}"/>
            </a:ext>
          </a:extLst>
        </xdr:cNvPr>
        <xdr:cNvSpPr txBox="1"/>
      </xdr:nvSpPr>
      <xdr:spPr>
        <a:xfrm>
          <a:off x="3066288" y="3432785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6FE5A68-2418-4E5F-96C5-3462B5ADDD4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1</xdr:row>
      <xdr:rowOff>276581</xdr:rowOff>
    </xdr:from>
    <xdr:to>
      <xdr:col>5</xdr:col>
      <xdr:colOff>500888</xdr:colOff>
      <xdr:row>1</xdr:row>
      <xdr:rowOff>568681</xdr:rowOff>
    </xdr:to>
    <xdr:sp macro="" textlink="印字値!$A$14">
      <xdr:nvSpPr>
        <xdr:cNvPr id="15" name="主表10">
          <a:extLst>
            <a:ext uri="{FF2B5EF4-FFF2-40B4-BE49-F238E27FC236}">
              <a16:creationId xmlns:a16="http://schemas.microsoft.com/office/drawing/2014/main" id="{6A49F2B6-CF3B-C1F3-ACFE-11EAD981DBD5}"/>
            </a:ext>
          </a:extLst>
        </xdr:cNvPr>
        <xdr:cNvSpPr txBox="1"/>
      </xdr:nvSpPr>
      <xdr:spPr>
        <a:xfrm>
          <a:off x="3066288" y="3835121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49A212D-F452-4C53-B742-6B75F2248D0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1</xdr:row>
      <xdr:rowOff>678916</xdr:rowOff>
    </xdr:from>
    <xdr:to>
      <xdr:col>5</xdr:col>
      <xdr:colOff>500888</xdr:colOff>
      <xdr:row>1</xdr:row>
      <xdr:rowOff>971016</xdr:rowOff>
    </xdr:to>
    <xdr:sp macro="" textlink="印字値!$A$15">
      <xdr:nvSpPr>
        <xdr:cNvPr id="16" name="主表11">
          <a:extLst>
            <a:ext uri="{FF2B5EF4-FFF2-40B4-BE49-F238E27FC236}">
              <a16:creationId xmlns:a16="http://schemas.microsoft.com/office/drawing/2014/main" id="{397EFCD4-46FE-56B1-534A-5FCED8926579}"/>
            </a:ext>
          </a:extLst>
        </xdr:cNvPr>
        <xdr:cNvSpPr txBox="1"/>
      </xdr:nvSpPr>
      <xdr:spPr>
        <a:xfrm>
          <a:off x="3066288" y="4237456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2410308-73ED-4D9E-8660-773B82B1D89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1</xdr:row>
      <xdr:rowOff>1081253</xdr:rowOff>
    </xdr:from>
    <xdr:to>
      <xdr:col>5</xdr:col>
      <xdr:colOff>500888</xdr:colOff>
      <xdr:row>1</xdr:row>
      <xdr:rowOff>1678153</xdr:rowOff>
    </xdr:to>
    <xdr:sp macro="" textlink="印字値!$A$16">
      <xdr:nvSpPr>
        <xdr:cNvPr id="17" name="主表12">
          <a:extLst>
            <a:ext uri="{FF2B5EF4-FFF2-40B4-BE49-F238E27FC236}">
              <a16:creationId xmlns:a16="http://schemas.microsoft.com/office/drawing/2014/main" id="{7B759478-7C18-F495-5418-A6258D5080A8}"/>
            </a:ext>
          </a:extLst>
        </xdr:cNvPr>
        <xdr:cNvSpPr txBox="1"/>
      </xdr:nvSpPr>
      <xdr:spPr>
        <a:xfrm>
          <a:off x="3066288" y="4639793"/>
          <a:ext cx="5969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8906402-184A-47E1-86CF-F4917CC2508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1</xdr:row>
      <xdr:rowOff>1785341</xdr:rowOff>
    </xdr:from>
    <xdr:to>
      <xdr:col>5</xdr:col>
      <xdr:colOff>500888</xdr:colOff>
      <xdr:row>1</xdr:row>
      <xdr:rowOff>1975841</xdr:rowOff>
    </xdr:to>
    <xdr:sp macro="" textlink="印字値!$A$17">
      <xdr:nvSpPr>
        <xdr:cNvPr id="18" name="主表13">
          <a:extLst>
            <a:ext uri="{FF2B5EF4-FFF2-40B4-BE49-F238E27FC236}">
              <a16:creationId xmlns:a16="http://schemas.microsoft.com/office/drawing/2014/main" id="{D7541FEA-D1EE-AFF7-FDB7-30AA3B98BF6D}"/>
            </a:ext>
          </a:extLst>
        </xdr:cNvPr>
        <xdr:cNvSpPr txBox="1"/>
      </xdr:nvSpPr>
      <xdr:spPr>
        <a:xfrm>
          <a:off x="3066288" y="5343881"/>
          <a:ext cx="5969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6237E8E-8182-4A80-A722-76F10D58B032}" type="TxLink">
            <a:rPr kumimoji="1" lang="en-US" altLang="en-US" sz="56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6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1</xdr:row>
      <xdr:rowOff>2087093</xdr:rowOff>
    </xdr:from>
    <xdr:to>
      <xdr:col>5</xdr:col>
      <xdr:colOff>500888</xdr:colOff>
      <xdr:row>1</xdr:row>
      <xdr:rowOff>2379193</xdr:rowOff>
    </xdr:to>
    <xdr:sp macro="" textlink="印字値!$A$18">
      <xdr:nvSpPr>
        <xdr:cNvPr id="19" name="主表14">
          <a:extLst>
            <a:ext uri="{FF2B5EF4-FFF2-40B4-BE49-F238E27FC236}">
              <a16:creationId xmlns:a16="http://schemas.microsoft.com/office/drawing/2014/main" id="{01109CDE-968D-CC9D-EE46-985635F58372}"/>
            </a:ext>
          </a:extLst>
        </xdr:cNvPr>
        <xdr:cNvSpPr txBox="1"/>
      </xdr:nvSpPr>
      <xdr:spPr>
        <a:xfrm>
          <a:off x="3066288" y="5645633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24A550D-094B-4BB7-B6E9-15E3FA49E9B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1</xdr:row>
      <xdr:rowOff>2489428</xdr:rowOff>
    </xdr:from>
    <xdr:to>
      <xdr:col>5</xdr:col>
      <xdr:colOff>500888</xdr:colOff>
      <xdr:row>1</xdr:row>
      <xdr:rowOff>2781528</xdr:rowOff>
    </xdr:to>
    <xdr:sp macro="" textlink="印字値!$A$19">
      <xdr:nvSpPr>
        <xdr:cNvPr id="20" name="主表15">
          <a:extLst>
            <a:ext uri="{FF2B5EF4-FFF2-40B4-BE49-F238E27FC236}">
              <a16:creationId xmlns:a16="http://schemas.microsoft.com/office/drawing/2014/main" id="{25A22B9F-2AB5-91D5-521D-5DA71E671876}"/>
            </a:ext>
          </a:extLst>
        </xdr:cNvPr>
        <xdr:cNvSpPr txBox="1"/>
      </xdr:nvSpPr>
      <xdr:spPr>
        <a:xfrm>
          <a:off x="3066288" y="6047968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00C384F-9F4A-43B2-886C-AA80CF4B1C0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1</xdr:row>
      <xdr:rowOff>2891765</xdr:rowOff>
    </xdr:from>
    <xdr:to>
      <xdr:col>5</xdr:col>
      <xdr:colOff>500888</xdr:colOff>
      <xdr:row>1</xdr:row>
      <xdr:rowOff>3183865</xdr:rowOff>
    </xdr:to>
    <xdr:sp macro="" textlink="印字値!$A$20">
      <xdr:nvSpPr>
        <xdr:cNvPr id="21" name="主表16">
          <a:extLst>
            <a:ext uri="{FF2B5EF4-FFF2-40B4-BE49-F238E27FC236}">
              <a16:creationId xmlns:a16="http://schemas.microsoft.com/office/drawing/2014/main" id="{55EF0A91-5BF3-77E9-0160-D8D5FB18139D}"/>
            </a:ext>
          </a:extLst>
        </xdr:cNvPr>
        <xdr:cNvSpPr txBox="1"/>
      </xdr:nvSpPr>
      <xdr:spPr>
        <a:xfrm>
          <a:off x="3066288" y="6450305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250B28B-9A6F-44E0-A47C-9B0D1811736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1</xdr:row>
      <xdr:rowOff>3294101</xdr:rowOff>
    </xdr:from>
    <xdr:to>
      <xdr:col>5</xdr:col>
      <xdr:colOff>500888</xdr:colOff>
      <xdr:row>2</xdr:row>
      <xdr:rowOff>27661</xdr:rowOff>
    </xdr:to>
    <xdr:sp macro="" textlink="印字値!$A$21">
      <xdr:nvSpPr>
        <xdr:cNvPr id="22" name="主表17">
          <a:extLst>
            <a:ext uri="{FF2B5EF4-FFF2-40B4-BE49-F238E27FC236}">
              <a16:creationId xmlns:a16="http://schemas.microsoft.com/office/drawing/2014/main" id="{3F311EB0-4209-CD18-B553-CEFCE2208131}"/>
            </a:ext>
          </a:extLst>
        </xdr:cNvPr>
        <xdr:cNvSpPr txBox="1"/>
      </xdr:nvSpPr>
      <xdr:spPr>
        <a:xfrm>
          <a:off x="3066288" y="6852641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1CD31B8-13CB-4F0A-90AF-ECF3F9EC8D9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2</xdr:row>
      <xdr:rowOff>137897</xdr:rowOff>
    </xdr:from>
    <xdr:to>
      <xdr:col>5</xdr:col>
      <xdr:colOff>500888</xdr:colOff>
      <xdr:row>2</xdr:row>
      <xdr:rowOff>429997</xdr:rowOff>
    </xdr:to>
    <xdr:sp macro="" textlink="印字値!$A$22">
      <xdr:nvSpPr>
        <xdr:cNvPr id="23" name="主表18">
          <a:extLst>
            <a:ext uri="{FF2B5EF4-FFF2-40B4-BE49-F238E27FC236}">
              <a16:creationId xmlns:a16="http://schemas.microsoft.com/office/drawing/2014/main" id="{574500DC-2C9C-177C-721D-FDBA9D25E666}"/>
            </a:ext>
          </a:extLst>
        </xdr:cNvPr>
        <xdr:cNvSpPr txBox="1"/>
      </xdr:nvSpPr>
      <xdr:spPr>
        <a:xfrm>
          <a:off x="3066288" y="7254977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D751112-7B15-4A84-8B7B-88A45B5FCD3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2</xdr:row>
      <xdr:rowOff>540232</xdr:rowOff>
    </xdr:from>
    <xdr:to>
      <xdr:col>5</xdr:col>
      <xdr:colOff>500888</xdr:colOff>
      <xdr:row>2</xdr:row>
      <xdr:rowOff>832332</xdr:rowOff>
    </xdr:to>
    <xdr:sp macro="" textlink="印字値!$A$23">
      <xdr:nvSpPr>
        <xdr:cNvPr id="24" name="主表19">
          <a:extLst>
            <a:ext uri="{FF2B5EF4-FFF2-40B4-BE49-F238E27FC236}">
              <a16:creationId xmlns:a16="http://schemas.microsoft.com/office/drawing/2014/main" id="{5EB1CEAF-EED3-8970-A73B-7EC356CB74BC}"/>
            </a:ext>
          </a:extLst>
        </xdr:cNvPr>
        <xdr:cNvSpPr txBox="1"/>
      </xdr:nvSpPr>
      <xdr:spPr>
        <a:xfrm>
          <a:off x="3066288" y="7657312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2596292-840C-44D0-AF61-F7A226662B5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2</xdr:row>
      <xdr:rowOff>942568</xdr:rowOff>
    </xdr:from>
    <xdr:to>
      <xdr:col>5</xdr:col>
      <xdr:colOff>500888</xdr:colOff>
      <xdr:row>2</xdr:row>
      <xdr:rowOff>1234668</xdr:rowOff>
    </xdr:to>
    <xdr:sp macro="" textlink="印字値!$A$24">
      <xdr:nvSpPr>
        <xdr:cNvPr id="25" name="主表20">
          <a:extLst>
            <a:ext uri="{FF2B5EF4-FFF2-40B4-BE49-F238E27FC236}">
              <a16:creationId xmlns:a16="http://schemas.microsoft.com/office/drawing/2014/main" id="{2B19898C-ED8D-4FC0-F0AA-85A40F64E9ED}"/>
            </a:ext>
          </a:extLst>
        </xdr:cNvPr>
        <xdr:cNvSpPr txBox="1"/>
      </xdr:nvSpPr>
      <xdr:spPr>
        <a:xfrm>
          <a:off x="3066288" y="8059648"/>
          <a:ext cx="5969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49A3874-A340-403C-97FA-42627FDFFE0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2</xdr:row>
      <xdr:rowOff>1344904</xdr:rowOff>
    </xdr:from>
    <xdr:to>
      <xdr:col>5</xdr:col>
      <xdr:colOff>297688</xdr:colOff>
      <xdr:row>2</xdr:row>
      <xdr:rowOff>1637004</xdr:rowOff>
    </xdr:to>
    <xdr:sp macro="" textlink="印字値!$A$25">
      <xdr:nvSpPr>
        <xdr:cNvPr id="26" name="主表21">
          <a:extLst>
            <a:ext uri="{FF2B5EF4-FFF2-40B4-BE49-F238E27FC236}">
              <a16:creationId xmlns:a16="http://schemas.microsoft.com/office/drawing/2014/main" id="{B8F7993F-061E-9204-B46A-04D0A9E80DF0}"/>
            </a:ext>
          </a:extLst>
        </xdr:cNvPr>
        <xdr:cNvSpPr txBox="1"/>
      </xdr:nvSpPr>
      <xdr:spPr>
        <a:xfrm>
          <a:off x="3066288" y="8461984"/>
          <a:ext cx="393700" cy="292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FCC7C32-318E-4133-B899-BC60E3538804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3432785</xdr:rowOff>
    </xdr:from>
    <xdr:to>
      <xdr:col>10</xdr:col>
      <xdr:colOff>325628</xdr:colOff>
      <xdr:row>1</xdr:row>
      <xdr:rowOff>674345</xdr:rowOff>
    </xdr:to>
    <xdr:sp macro="" textlink="印字値!$A$26">
      <xdr:nvSpPr>
        <xdr:cNvPr id="27" name="主表22">
          <a:extLst>
            <a:ext uri="{FF2B5EF4-FFF2-40B4-BE49-F238E27FC236}">
              <a16:creationId xmlns:a16="http://schemas.microsoft.com/office/drawing/2014/main" id="{7B50352E-A1CB-CAF8-2319-7CECA1E7B1AB}"/>
            </a:ext>
          </a:extLst>
        </xdr:cNvPr>
        <xdr:cNvSpPr txBox="1"/>
      </xdr:nvSpPr>
      <xdr:spPr>
        <a:xfrm>
          <a:off x="6053328" y="3432785"/>
          <a:ext cx="596900" cy="8001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16DDA1C-F28E-4B71-9A08-B4FB4FC4EB8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779501</xdr:rowOff>
    </xdr:from>
    <xdr:to>
      <xdr:col>10</xdr:col>
      <xdr:colOff>325628</xdr:colOff>
      <xdr:row>1</xdr:row>
      <xdr:rowOff>1884401</xdr:rowOff>
    </xdr:to>
    <xdr:sp macro="" textlink="印字値!$A$27">
      <xdr:nvSpPr>
        <xdr:cNvPr id="28" name="主表23">
          <a:extLst>
            <a:ext uri="{FF2B5EF4-FFF2-40B4-BE49-F238E27FC236}">
              <a16:creationId xmlns:a16="http://schemas.microsoft.com/office/drawing/2014/main" id="{272422BB-960C-7803-A539-775D4BA525C2}"/>
            </a:ext>
          </a:extLst>
        </xdr:cNvPr>
        <xdr:cNvSpPr txBox="1"/>
      </xdr:nvSpPr>
      <xdr:spPr>
        <a:xfrm>
          <a:off x="6053328" y="4338041"/>
          <a:ext cx="596900" cy="1104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704B7AA-9C16-4A16-90CF-8933A8FB3C6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1986509</xdr:rowOff>
    </xdr:from>
    <xdr:to>
      <xdr:col>10</xdr:col>
      <xdr:colOff>325628</xdr:colOff>
      <xdr:row>1</xdr:row>
      <xdr:rowOff>2583409</xdr:rowOff>
    </xdr:to>
    <xdr:sp macro="" textlink="印字値!$A$28">
      <xdr:nvSpPr>
        <xdr:cNvPr id="29" name="主表24">
          <a:extLst>
            <a:ext uri="{FF2B5EF4-FFF2-40B4-BE49-F238E27FC236}">
              <a16:creationId xmlns:a16="http://schemas.microsoft.com/office/drawing/2014/main" id="{9D314DF9-3DB2-1226-2F27-C22C5738B4BE}"/>
            </a:ext>
          </a:extLst>
        </xdr:cNvPr>
        <xdr:cNvSpPr txBox="1"/>
      </xdr:nvSpPr>
      <xdr:spPr>
        <a:xfrm>
          <a:off x="6053328" y="5545049"/>
          <a:ext cx="5969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A0E0C86-8E13-4CB0-BA8B-764563854B4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2690597</xdr:rowOff>
    </xdr:from>
    <xdr:to>
      <xdr:col>10</xdr:col>
      <xdr:colOff>325628</xdr:colOff>
      <xdr:row>1</xdr:row>
      <xdr:rowOff>3185897</xdr:rowOff>
    </xdr:to>
    <xdr:sp macro="" textlink="印字値!$A$29">
      <xdr:nvSpPr>
        <xdr:cNvPr id="30" name="主表25">
          <a:extLst>
            <a:ext uri="{FF2B5EF4-FFF2-40B4-BE49-F238E27FC236}">
              <a16:creationId xmlns:a16="http://schemas.microsoft.com/office/drawing/2014/main" id="{A6EE3E28-52F8-13DC-5812-E334427CAC95}"/>
            </a:ext>
          </a:extLst>
        </xdr:cNvPr>
        <xdr:cNvSpPr txBox="1"/>
      </xdr:nvSpPr>
      <xdr:spPr>
        <a:xfrm>
          <a:off x="6053328" y="6249137"/>
          <a:ext cx="5969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B96350F-8395-44A3-9ADE-C5C8E4028CE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3294101</xdr:rowOff>
    </xdr:from>
    <xdr:to>
      <xdr:col>10</xdr:col>
      <xdr:colOff>325628</xdr:colOff>
      <xdr:row>2</xdr:row>
      <xdr:rowOff>332461</xdr:rowOff>
    </xdr:to>
    <xdr:sp macro="" textlink="印字値!$A$30">
      <xdr:nvSpPr>
        <xdr:cNvPr id="31" name="主表26">
          <a:extLst>
            <a:ext uri="{FF2B5EF4-FFF2-40B4-BE49-F238E27FC236}">
              <a16:creationId xmlns:a16="http://schemas.microsoft.com/office/drawing/2014/main" id="{3F17A217-3CEF-F0D4-DDA2-B5D0FBAA1903}"/>
            </a:ext>
          </a:extLst>
        </xdr:cNvPr>
        <xdr:cNvSpPr txBox="1"/>
      </xdr:nvSpPr>
      <xdr:spPr>
        <a:xfrm>
          <a:off x="6053328" y="6852641"/>
          <a:ext cx="5969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E5D6851-814C-4CCE-B65C-04757523CF6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2</xdr:row>
      <xdr:rowOff>439649</xdr:rowOff>
    </xdr:from>
    <xdr:to>
      <xdr:col>10</xdr:col>
      <xdr:colOff>325628</xdr:colOff>
      <xdr:row>2</xdr:row>
      <xdr:rowOff>1036549</xdr:rowOff>
    </xdr:to>
    <xdr:sp macro="" textlink="印字値!$A$31">
      <xdr:nvSpPr>
        <xdr:cNvPr id="32" name="主表27">
          <a:extLst>
            <a:ext uri="{FF2B5EF4-FFF2-40B4-BE49-F238E27FC236}">
              <a16:creationId xmlns:a16="http://schemas.microsoft.com/office/drawing/2014/main" id="{C93F17B7-B5EC-FDD0-26C6-422ADFE35043}"/>
            </a:ext>
          </a:extLst>
        </xdr:cNvPr>
        <xdr:cNvSpPr txBox="1"/>
      </xdr:nvSpPr>
      <xdr:spPr>
        <a:xfrm>
          <a:off x="6053328" y="7556729"/>
          <a:ext cx="5969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23E460C-76D6-4276-9645-DF1A8C6E4C3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2</xdr:row>
      <xdr:rowOff>1143737</xdr:rowOff>
    </xdr:from>
    <xdr:to>
      <xdr:col>10</xdr:col>
      <xdr:colOff>325628</xdr:colOff>
      <xdr:row>2</xdr:row>
      <xdr:rowOff>1639037</xdr:rowOff>
    </xdr:to>
    <xdr:sp macro="" textlink="印字値!$A$32">
      <xdr:nvSpPr>
        <xdr:cNvPr id="33" name="主表28">
          <a:extLst>
            <a:ext uri="{FF2B5EF4-FFF2-40B4-BE49-F238E27FC236}">
              <a16:creationId xmlns:a16="http://schemas.microsoft.com/office/drawing/2014/main" id="{916F4DCE-CBC9-B894-3CA3-258DAF450E7B}"/>
            </a:ext>
          </a:extLst>
        </xdr:cNvPr>
        <xdr:cNvSpPr txBox="1"/>
      </xdr:nvSpPr>
      <xdr:spPr>
        <a:xfrm>
          <a:off x="6053328" y="8260817"/>
          <a:ext cx="596900" cy="495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9AA9DB3-DE53-4FB8-A987-776F2BC838C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536448</xdr:colOff>
      <xdr:row>0</xdr:row>
      <xdr:rowOff>3420085</xdr:rowOff>
    </xdr:from>
    <xdr:to>
      <xdr:col>5</xdr:col>
      <xdr:colOff>475488</xdr:colOff>
      <xdr:row>0</xdr:row>
      <xdr:rowOff>3521685</xdr:rowOff>
    </xdr:to>
    <xdr:sp macro="" textlink="印字値!$B$5">
      <xdr:nvSpPr>
        <xdr:cNvPr id="34" name="主表09内書">
          <a:extLst>
            <a:ext uri="{FF2B5EF4-FFF2-40B4-BE49-F238E27FC236}">
              <a16:creationId xmlns:a16="http://schemas.microsoft.com/office/drawing/2014/main" id="{1E545BDD-54CF-95B4-AFA8-2E40F5082D36}"/>
            </a:ext>
          </a:extLst>
        </xdr:cNvPr>
        <xdr:cNvSpPr txBox="1"/>
      </xdr:nvSpPr>
      <xdr:spPr>
        <a:xfrm>
          <a:off x="3066288" y="3420085"/>
          <a:ext cx="571500" cy="101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t">
          <a:normAutofit/>
        </a:bodyPr>
        <a:lstStyle/>
        <a:p>
          <a:pPr algn="r"/>
          <a:fld id="{065B95E1-3C44-4435-A646-9D64BD2CFF57}" type="TxLink">
            <a:rPr kumimoji="1" lang="en-US" altLang="en-US" sz="52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52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5080</xdr:colOff>
      <xdr:row>3</xdr:row>
      <xdr:rowOff>17780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17CCB30D-1DD8-87C5-FDD3-45D94030CC3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6500" cy="10693400"/>
        </a:xfrm>
        <a:prstGeom prst="rect">
          <a:avLst/>
        </a:prstGeom>
      </xdr:spPr>
    </xdr:pic>
    <xdr:clientData/>
  </xdr:twoCellAnchor>
  <xdr:twoCellAnchor editAs="absolute">
    <xdr:from>
      <xdr:col>6</xdr:col>
      <xdr:colOff>355600</xdr:colOff>
      <xdr:row>0</xdr:row>
      <xdr:rowOff>464033</xdr:rowOff>
    </xdr:from>
    <xdr:to>
      <xdr:col>8</xdr:col>
      <xdr:colOff>81280</xdr:colOff>
      <xdr:row>0</xdr:row>
      <xdr:rowOff>857733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63F24DE7-42BF-6131-97A1-696C46BF606B}"/>
            </a:ext>
          </a:extLst>
        </xdr:cNvPr>
        <xdr:cNvSpPr txBox="1"/>
      </xdr:nvSpPr>
      <xdr:spPr>
        <a:xfrm>
          <a:off x="4150360" y="464033"/>
          <a:ext cx="9906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6A0D5B69-D78D-4529-A072-6D276AB1FE9E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2022.4.1
2023.3.31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456184</xdr:colOff>
      <xdr:row>0</xdr:row>
      <xdr:rowOff>464033</xdr:rowOff>
    </xdr:from>
    <xdr:to>
      <xdr:col>10</xdr:col>
      <xdr:colOff>524764</xdr:colOff>
      <xdr:row>0</xdr:row>
      <xdr:rowOff>857733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F5FE342A-0F1F-EC03-7910-B72BE1B164FB}"/>
            </a:ext>
          </a:extLst>
        </xdr:cNvPr>
        <xdr:cNvSpPr txBox="1"/>
      </xdr:nvSpPr>
      <xdr:spPr>
        <a:xfrm>
          <a:off x="5515864" y="464033"/>
          <a:ext cx="13335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8AAFCDC2-EC81-4655-A52C-40C0D93F28DA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0</xdr:row>
      <xdr:rowOff>921233</xdr:rowOff>
    </xdr:from>
    <xdr:to>
      <xdr:col>5</xdr:col>
      <xdr:colOff>508000</xdr:colOff>
      <xdr:row>0</xdr:row>
      <xdr:rowOff>1289533</xdr:rowOff>
    </xdr:to>
    <xdr:sp macro="" textlink="印字値!$C$5">
      <xdr:nvSpPr>
        <xdr:cNvPr id="6" name="付表01">
          <a:extLst>
            <a:ext uri="{FF2B5EF4-FFF2-40B4-BE49-F238E27FC236}">
              <a16:creationId xmlns:a16="http://schemas.microsoft.com/office/drawing/2014/main" id="{B27642C5-907D-27AF-EDCA-2DA21FEB6077}"/>
            </a:ext>
          </a:extLst>
        </xdr:cNvPr>
        <xdr:cNvSpPr txBox="1"/>
      </xdr:nvSpPr>
      <xdr:spPr>
        <a:xfrm>
          <a:off x="2895600" y="92123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3ED8E14-911B-4338-8FF7-9E97A32F58C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0</xdr:row>
      <xdr:rowOff>1390625</xdr:rowOff>
    </xdr:from>
    <xdr:to>
      <xdr:col>5</xdr:col>
      <xdr:colOff>508000</xdr:colOff>
      <xdr:row>0</xdr:row>
      <xdr:rowOff>1758925</xdr:rowOff>
    </xdr:to>
    <xdr:sp macro="" textlink="印字値!$C$6">
      <xdr:nvSpPr>
        <xdr:cNvPr id="7" name="付表02">
          <a:extLst>
            <a:ext uri="{FF2B5EF4-FFF2-40B4-BE49-F238E27FC236}">
              <a16:creationId xmlns:a16="http://schemas.microsoft.com/office/drawing/2014/main" id="{A2F53822-DC43-5B01-35C0-8F47A379278E}"/>
            </a:ext>
          </a:extLst>
        </xdr:cNvPr>
        <xdr:cNvSpPr txBox="1"/>
      </xdr:nvSpPr>
      <xdr:spPr>
        <a:xfrm>
          <a:off x="2895600" y="1390625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257EF94-F2B1-4243-94E0-EDAF234A74A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0</xdr:row>
      <xdr:rowOff>1860017</xdr:rowOff>
    </xdr:from>
    <xdr:to>
      <xdr:col>5</xdr:col>
      <xdr:colOff>508000</xdr:colOff>
      <xdr:row>0</xdr:row>
      <xdr:rowOff>2228317</xdr:rowOff>
    </xdr:to>
    <xdr:sp macro="" textlink="印字値!$C$7">
      <xdr:nvSpPr>
        <xdr:cNvPr id="8" name="付表03">
          <a:extLst>
            <a:ext uri="{FF2B5EF4-FFF2-40B4-BE49-F238E27FC236}">
              <a16:creationId xmlns:a16="http://schemas.microsoft.com/office/drawing/2014/main" id="{B7791CD7-1925-63F7-C31B-013DDA07B6A8}"/>
            </a:ext>
          </a:extLst>
        </xdr:cNvPr>
        <xdr:cNvSpPr txBox="1"/>
      </xdr:nvSpPr>
      <xdr:spPr>
        <a:xfrm>
          <a:off x="2895600" y="1860017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2EB4225-F09F-4C97-9135-4A90BDF69FB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0</xdr:row>
      <xdr:rowOff>2329409</xdr:rowOff>
    </xdr:from>
    <xdr:to>
      <xdr:col>5</xdr:col>
      <xdr:colOff>508000</xdr:colOff>
      <xdr:row>0</xdr:row>
      <xdr:rowOff>2697709</xdr:rowOff>
    </xdr:to>
    <xdr:sp macro="" textlink="印字値!$C$8">
      <xdr:nvSpPr>
        <xdr:cNvPr id="9" name="付表04">
          <a:extLst>
            <a:ext uri="{FF2B5EF4-FFF2-40B4-BE49-F238E27FC236}">
              <a16:creationId xmlns:a16="http://schemas.microsoft.com/office/drawing/2014/main" id="{3C8AD54B-55D4-F6EE-8918-DB75C41AC381}"/>
            </a:ext>
          </a:extLst>
        </xdr:cNvPr>
        <xdr:cNvSpPr txBox="1"/>
      </xdr:nvSpPr>
      <xdr:spPr>
        <a:xfrm>
          <a:off x="2895600" y="2329409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3B1E8EE-7D70-4BD2-885A-1A70F1B3EB4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0</xdr:row>
      <xdr:rowOff>2798801</xdr:rowOff>
    </xdr:from>
    <xdr:to>
      <xdr:col>5</xdr:col>
      <xdr:colOff>508000</xdr:colOff>
      <xdr:row>0</xdr:row>
      <xdr:rowOff>3167101</xdr:rowOff>
    </xdr:to>
    <xdr:sp macro="" textlink="印字値!$C$9">
      <xdr:nvSpPr>
        <xdr:cNvPr id="10" name="付表05">
          <a:extLst>
            <a:ext uri="{FF2B5EF4-FFF2-40B4-BE49-F238E27FC236}">
              <a16:creationId xmlns:a16="http://schemas.microsoft.com/office/drawing/2014/main" id="{54D988BF-F411-187F-336E-6B8C2C031AD0}"/>
            </a:ext>
          </a:extLst>
        </xdr:cNvPr>
        <xdr:cNvSpPr txBox="1"/>
      </xdr:nvSpPr>
      <xdr:spPr>
        <a:xfrm>
          <a:off x="2895600" y="2798801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A321824-452C-43B8-9DB0-66D34790F13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0</xdr:row>
      <xdr:rowOff>3268193</xdr:rowOff>
    </xdr:from>
    <xdr:to>
      <xdr:col>5</xdr:col>
      <xdr:colOff>508000</xdr:colOff>
      <xdr:row>1</xdr:row>
      <xdr:rowOff>77953</xdr:rowOff>
    </xdr:to>
    <xdr:sp macro="" textlink="印字値!$C$10">
      <xdr:nvSpPr>
        <xdr:cNvPr id="11" name="付表06">
          <a:extLst>
            <a:ext uri="{FF2B5EF4-FFF2-40B4-BE49-F238E27FC236}">
              <a16:creationId xmlns:a16="http://schemas.microsoft.com/office/drawing/2014/main" id="{08A2B9DD-6CF8-9C0C-623C-DA75EDF206A6}"/>
            </a:ext>
          </a:extLst>
        </xdr:cNvPr>
        <xdr:cNvSpPr txBox="1"/>
      </xdr:nvSpPr>
      <xdr:spPr>
        <a:xfrm>
          <a:off x="2895600" y="326819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585BFD0-A698-4C23-8AA4-F0795894A76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1</xdr:row>
      <xdr:rowOff>179045</xdr:rowOff>
    </xdr:from>
    <xdr:to>
      <xdr:col>5</xdr:col>
      <xdr:colOff>508000</xdr:colOff>
      <xdr:row>1</xdr:row>
      <xdr:rowOff>547345</xdr:rowOff>
    </xdr:to>
    <xdr:sp macro="" textlink="印字値!$C$11">
      <xdr:nvSpPr>
        <xdr:cNvPr id="12" name="付表07">
          <a:extLst>
            <a:ext uri="{FF2B5EF4-FFF2-40B4-BE49-F238E27FC236}">
              <a16:creationId xmlns:a16="http://schemas.microsoft.com/office/drawing/2014/main" id="{DDF0E755-DD66-3FA3-CCF1-276472916BB8}"/>
            </a:ext>
          </a:extLst>
        </xdr:cNvPr>
        <xdr:cNvSpPr txBox="1"/>
      </xdr:nvSpPr>
      <xdr:spPr>
        <a:xfrm>
          <a:off x="2895600" y="3737585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43C64601-397E-4200-9936-7353F766968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1</xdr:row>
      <xdr:rowOff>648437</xdr:rowOff>
    </xdr:from>
    <xdr:to>
      <xdr:col>5</xdr:col>
      <xdr:colOff>508000</xdr:colOff>
      <xdr:row>1</xdr:row>
      <xdr:rowOff>1131037</xdr:rowOff>
    </xdr:to>
    <xdr:sp macro="" textlink="印字値!$C$12">
      <xdr:nvSpPr>
        <xdr:cNvPr id="13" name="付表08">
          <a:extLst>
            <a:ext uri="{FF2B5EF4-FFF2-40B4-BE49-F238E27FC236}">
              <a16:creationId xmlns:a16="http://schemas.microsoft.com/office/drawing/2014/main" id="{F4ABB749-36D8-9C20-0D0D-C3E07291D24C}"/>
            </a:ext>
          </a:extLst>
        </xdr:cNvPr>
        <xdr:cNvSpPr txBox="1"/>
      </xdr:nvSpPr>
      <xdr:spPr>
        <a:xfrm>
          <a:off x="2895600" y="4206977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8140F243-1FA4-401D-8EFB-FC1A9FE3BD1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1</xdr:row>
      <xdr:rowOff>1235177</xdr:rowOff>
    </xdr:from>
    <xdr:to>
      <xdr:col>5</xdr:col>
      <xdr:colOff>508000</xdr:colOff>
      <xdr:row>1</xdr:row>
      <xdr:rowOff>1603477</xdr:rowOff>
    </xdr:to>
    <xdr:sp macro="" textlink="印字値!$C$13">
      <xdr:nvSpPr>
        <xdr:cNvPr id="14" name="付表09">
          <a:extLst>
            <a:ext uri="{FF2B5EF4-FFF2-40B4-BE49-F238E27FC236}">
              <a16:creationId xmlns:a16="http://schemas.microsoft.com/office/drawing/2014/main" id="{5F953C2D-EC84-3F9C-01D9-B95405882D58}"/>
            </a:ext>
          </a:extLst>
        </xdr:cNvPr>
        <xdr:cNvSpPr txBox="1"/>
      </xdr:nvSpPr>
      <xdr:spPr>
        <a:xfrm>
          <a:off x="2895600" y="4793717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BA61B1A-124B-47D9-929C-69873799DB5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1</xdr:row>
      <xdr:rowOff>1704569</xdr:rowOff>
    </xdr:from>
    <xdr:to>
      <xdr:col>5</xdr:col>
      <xdr:colOff>508000</xdr:colOff>
      <xdr:row>1</xdr:row>
      <xdr:rowOff>2187169</xdr:rowOff>
    </xdr:to>
    <xdr:sp macro="" textlink="印字値!$C$14">
      <xdr:nvSpPr>
        <xdr:cNvPr id="15" name="付表10">
          <a:extLst>
            <a:ext uri="{FF2B5EF4-FFF2-40B4-BE49-F238E27FC236}">
              <a16:creationId xmlns:a16="http://schemas.microsoft.com/office/drawing/2014/main" id="{3E1EDBB7-47D4-0E14-C10C-F50CB1F92847}"/>
            </a:ext>
          </a:extLst>
        </xdr:cNvPr>
        <xdr:cNvSpPr txBox="1"/>
      </xdr:nvSpPr>
      <xdr:spPr>
        <a:xfrm>
          <a:off x="2895600" y="5263109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143FB8D-E9D9-4482-8469-C3E3161A9A8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1</xdr:row>
      <xdr:rowOff>2291309</xdr:rowOff>
    </xdr:from>
    <xdr:to>
      <xdr:col>5</xdr:col>
      <xdr:colOff>508000</xdr:colOff>
      <xdr:row>1</xdr:row>
      <xdr:rowOff>2773909</xdr:rowOff>
    </xdr:to>
    <xdr:sp macro="" textlink="印字値!$C$15">
      <xdr:nvSpPr>
        <xdr:cNvPr id="16" name="付表11">
          <a:extLst>
            <a:ext uri="{FF2B5EF4-FFF2-40B4-BE49-F238E27FC236}">
              <a16:creationId xmlns:a16="http://schemas.microsoft.com/office/drawing/2014/main" id="{342435FE-7E3B-5794-B9C8-FB74C434633D}"/>
            </a:ext>
          </a:extLst>
        </xdr:cNvPr>
        <xdr:cNvSpPr txBox="1"/>
      </xdr:nvSpPr>
      <xdr:spPr>
        <a:xfrm>
          <a:off x="2895600" y="5849849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57FC155-DE78-4840-B4FA-18BC6990C28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1</xdr:row>
      <xdr:rowOff>2878049</xdr:rowOff>
    </xdr:from>
    <xdr:to>
      <xdr:col>5</xdr:col>
      <xdr:colOff>508000</xdr:colOff>
      <xdr:row>1</xdr:row>
      <xdr:rowOff>3474949</xdr:rowOff>
    </xdr:to>
    <xdr:sp macro="" textlink="印字値!$C$16">
      <xdr:nvSpPr>
        <xdr:cNvPr id="17" name="付表12">
          <a:extLst>
            <a:ext uri="{FF2B5EF4-FFF2-40B4-BE49-F238E27FC236}">
              <a16:creationId xmlns:a16="http://schemas.microsoft.com/office/drawing/2014/main" id="{BBBC648A-560A-317A-4986-771C48F631AD}"/>
            </a:ext>
          </a:extLst>
        </xdr:cNvPr>
        <xdr:cNvSpPr txBox="1"/>
      </xdr:nvSpPr>
      <xdr:spPr>
        <a:xfrm>
          <a:off x="2895600" y="6436589"/>
          <a:ext cx="7747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9311B82-F3EF-439C-A643-FF44BAABF5E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2</xdr:row>
      <xdr:rowOff>23597</xdr:rowOff>
    </xdr:from>
    <xdr:to>
      <xdr:col>5</xdr:col>
      <xdr:colOff>508000</xdr:colOff>
      <xdr:row>2</xdr:row>
      <xdr:rowOff>506197</xdr:rowOff>
    </xdr:to>
    <xdr:sp macro="" textlink="印字値!$C$17">
      <xdr:nvSpPr>
        <xdr:cNvPr id="18" name="付表13">
          <a:extLst>
            <a:ext uri="{FF2B5EF4-FFF2-40B4-BE49-F238E27FC236}">
              <a16:creationId xmlns:a16="http://schemas.microsoft.com/office/drawing/2014/main" id="{92A9B4A5-D859-00EC-2DAE-3C4105561C55}"/>
            </a:ext>
          </a:extLst>
        </xdr:cNvPr>
        <xdr:cNvSpPr txBox="1"/>
      </xdr:nvSpPr>
      <xdr:spPr>
        <a:xfrm>
          <a:off x="2895600" y="7140677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43E4032-1D27-4590-A4F9-90A434E17D6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2</xdr:row>
      <xdr:rowOff>610337</xdr:rowOff>
    </xdr:from>
    <xdr:to>
      <xdr:col>5</xdr:col>
      <xdr:colOff>508000</xdr:colOff>
      <xdr:row>2</xdr:row>
      <xdr:rowOff>1207237</xdr:rowOff>
    </xdr:to>
    <xdr:sp macro="" textlink="印字値!$C$18">
      <xdr:nvSpPr>
        <xdr:cNvPr id="19" name="付表14">
          <a:extLst>
            <a:ext uri="{FF2B5EF4-FFF2-40B4-BE49-F238E27FC236}">
              <a16:creationId xmlns:a16="http://schemas.microsoft.com/office/drawing/2014/main" id="{DAE83B12-84AD-285A-811B-82C74C97A87D}"/>
            </a:ext>
          </a:extLst>
        </xdr:cNvPr>
        <xdr:cNvSpPr txBox="1"/>
      </xdr:nvSpPr>
      <xdr:spPr>
        <a:xfrm>
          <a:off x="2895600" y="7727417"/>
          <a:ext cx="7747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8FFFB6B-3FA3-4D6F-B2D8-37769ECF8FE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2</xdr:row>
      <xdr:rowOff>1314425</xdr:rowOff>
    </xdr:from>
    <xdr:to>
      <xdr:col>5</xdr:col>
      <xdr:colOff>508000</xdr:colOff>
      <xdr:row>2</xdr:row>
      <xdr:rowOff>1797025</xdr:rowOff>
    </xdr:to>
    <xdr:sp macro="" textlink="印字値!$C$19">
      <xdr:nvSpPr>
        <xdr:cNvPr id="20" name="付表15">
          <a:extLst>
            <a:ext uri="{FF2B5EF4-FFF2-40B4-BE49-F238E27FC236}">
              <a16:creationId xmlns:a16="http://schemas.microsoft.com/office/drawing/2014/main" id="{265DE0CB-8FA9-EA4E-5B6D-CDACDBD2ED44}"/>
            </a:ext>
          </a:extLst>
        </xdr:cNvPr>
        <xdr:cNvSpPr txBox="1"/>
      </xdr:nvSpPr>
      <xdr:spPr>
        <a:xfrm>
          <a:off x="2895600" y="8431505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0EC71CA-4C7A-4E81-8FC1-EAF6DFBAD9C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365760</xdr:colOff>
      <xdr:row>2</xdr:row>
      <xdr:rowOff>1901165</xdr:rowOff>
    </xdr:from>
    <xdr:to>
      <xdr:col>5</xdr:col>
      <xdr:colOff>508000</xdr:colOff>
      <xdr:row>2</xdr:row>
      <xdr:rowOff>2383765</xdr:rowOff>
    </xdr:to>
    <xdr:sp macro="" textlink="印字値!$C$20">
      <xdr:nvSpPr>
        <xdr:cNvPr id="21" name="付表16">
          <a:extLst>
            <a:ext uri="{FF2B5EF4-FFF2-40B4-BE49-F238E27FC236}">
              <a16:creationId xmlns:a16="http://schemas.microsoft.com/office/drawing/2014/main" id="{964D9279-D88D-3490-3A68-B0AE1407125B}"/>
            </a:ext>
          </a:extLst>
        </xdr:cNvPr>
        <xdr:cNvSpPr txBox="1"/>
      </xdr:nvSpPr>
      <xdr:spPr>
        <a:xfrm>
          <a:off x="2895600" y="9018245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80A6AA7-2081-428A-B544-F9515D91008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921233</xdr:rowOff>
    </xdr:from>
    <xdr:to>
      <xdr:col>10</xdr:col>
      <xdr:colOff>503428</xdr:colOff>
      <xdr:row>0</xdr:row>
      <xdr:rowOff>1289533</xdr:rowOff>
    </xdr:to>
    <xdr:sp macro="" textlink="印字値!$C$21">
      <xdr:nvSpPr>
        <xdr:cNvPr id="22" name="付表17">
          <a:extLst>
            <a:ext uri="{FF2B5EF4-FFF2-40B4-BE49-F238E27FC236}">
              <a16:creationId xmlns:a16="http://schemas.microsoft.com/office/drawing/2014/main" id="{91AFEAAA-548D-5F37-D9AB-015C50D2713D}"/>
            </a:ext>
          </a:extLst>
        </xdr:cNvPr>
        <xdr:cNvSpPr txBox="1"/>
      </xdr:nvSpPr>
      <xdr:spPr>
        <a:xfrm>
          <a:off x="6053328" y="92123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ADC9C3E-1163-4D26-BCAA-4D960108785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1390625</xdr:rowOff>
    </xdr:from>
    <xdr:to>
      <xdr:col>10</xdr:col>
      <xdr:colOff>503428</xdr:colOff>
      <xdr:row>0</xdr:row>
      <xdr:rowOff>1758925</xdr:rowOff>
    </xdr:to>
    <xdr:sp macro="" textlink="印字値!$C$22">
      <xdr:nvSpPr>
        <xdr:cNvPr id="23" name="付表18">
          <a:extLst>
            <a:ext uri="{FF2B5EF4-FFF2-40B4-BE49-F238E27FC236}">
              <a16:creationId xmlns:a16="http://schemas.microsoft.com/office/drawing/2014/main" id="{C5D9B1B9-ABBD-5927-CC04-F1646858DC64}"/>
            </a:ext>
          </a:extLst>
        </xdr:cNvPr>
        <xdr:cNvSpPr txBox="1"/>
      </xdr:nvSpPr>
      <xdr:spPr>
        <a:xfrm>
          <a:off x="6053328" y="1390625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DE7AB76-2AB0-469F-BF79-F2AE64CD3C0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1860017</xdr:rowOff>
    </xdr:from>
    <xdr:to>
      <xdr:col>10</xdr:col>
      <xdr:colOff>503428</xdr:colOff>
      <xdr:row>0</xdr:row>
      <xdr:rowOff>2228317</xdr:rowOff>
    </xdr:to>
    <xdr:sp macro="" textlink="印字値!$C$23">
      <xdr:nvSpPr>
        <xdr:cNvPr id="24" name="付表19">
          <a:extLst>
            <a:ext uri="{FF2B5EF4-FFF2-40B4-BE49-F238E27FC236}">
              <a16:creationId xmlns:a16="http://schemas.microsoft.com/office/drawing/2014/main" id="{7C5AB09A-1A43-F7DE-0EB4-DCB7A78FA6F3}"/>
            </a:ext>
          </a:extLst>
        </xdr:cNvPr>
        <xdr:cNvSpPr txBox="1"/>
      </xdr:nvSpPr>
      <xdr:spPr>
        <a:xfrm>
          <a:off x="6053328" y="1860017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2903D34-B234-4346-906B-B518B755F32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2329409</xdr:rowOff>
    </xdr:from>
    <xdr:to>
      <xdr:col>10</xdr:col>
      <xdr:colOff>503428</xdr:colOff>
      <xdr:row>0</xdr:row>
      <xdr:rowOff>2697709</xdr:rowOff>
    </xdr:to>
    <xdr:sp macro="" textlink="印字値!$C$24">
      <xdr:nvSpPr>
        <xdr:cNvPr id="25" name="付表20">
          <a:extLst>
            <a:ext uri="{FF2B5EF4-FFF2-40B4-BE49-F238E27FC236}">
              <a16:creationId xmlns:a16="http://schemas.microsoft.com/office/drawing/2014/main" id="{883B9E44-D253-FF56-B170-F154ACB7F361}"/>
            </a:ext>
          </a:extLst>
        </xdr:cNvPr>
        <xdr:cNvSpPr txBox="1"/>
      </xdr:nvSpPr>
      <xdr:spPr>
        <a:xfrm>
          <a:off x="6053328" y="2329409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8D4752C-5D16-4C9A-A6E0-B97F4A13FABD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2798801</xdr:rowOff>
    </xdr:from>
    <xdr:to>
      <xdr:col>10</xdr:col>
      <xdr:colOff>503428</xdr:colOff>
      <xdr:row>0</xdr:row>
      <xdr:rowOff>3167101</xdr:rowOff>
    </xdr:to>
    <xdr:sp macro="" textlink="印字値!$C$25">
      <xdr:nvSpPr>
        <xdr:cNvPr id="26" name="付表21">
          <a:extLst>
            <a:ext uri="{FF2B5EF4-FFF2-40B4-BE49-F238E27FC236}">
              <a16:creationId xmlns:a16="http://schemas.microsoft.com/office/drawing/2014/main" id="{1638C59F-B572-440A-3814-8C7BA9D6A023}"/>
            </a:ext>
          </a:extLst>
        </xdr:cNvPr>
        <xdr:cNvSpPr txBox="1"/>
      </xdr:nvSpPr>
      <xdr:spPr>
        <a:xfrm>
          <a:off x="6053328" y="2798801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BA93F83-A001-4250-A4FD-3C78A416A894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0</xdr:row>
      <xdr:rowOff>3268193</xdr:rowOff>
    </xdr:from>
    <xdr:to>
      <xdr:col>10</xdr:col>
      <xdr:colOff>503428</xdr:colOff>
      <xdr:row>1</xdr:row>
      <xdr:rowOff>77953</xdr:rowOff>
    </xdr:to>
    <xdr:sp macro="" textlink="印字値!$C$26">
      <xdr:nvSpPr>
        <xdr:cNvPr id="27" name="付表22">
          <a:extLst>
            <a:ext uri="{FF2B5EF4-FFF2-40B4-BE49-F238E27FC236}">
              <a16:creationId xmlns:a16="http://schemas.microsoft.com/office/drawing/2014/main" id="{3A9B1EA0-6169-EAA9-00BA-F43F8B906AB2}"/>
            </a:ext>
          </a:extLst>
        </xdr:cNvPr>
        <xdr:cNvSpPr txBox="1"/>
      </xdr:nvSpPr>
      <xdr:spPr>
        <a:xfrm>
          <a:off x="6053328" y="326819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F335C50-AB59-41B6-B0D5-E6232C1760B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179045</xdr:rowOff>
    </xdr:from>
    <xdr:to>
      <xdr:col>10</xdr:col>
      <xdr:colOff>503428</xdr:colOff>
      <xdr:row>1</xdr:row>
      <xdr:rowOff>547345</xdr:rowOff>
    </xdr:to>
    <xdr:sp macro="" textlink="印字値!$C$27">
      <xdr:nvSpPr>
        <xdr:cNvPr id="28" name="付表23">
          <a:extLst>
            <a:ext uri="{FF2B5EF4-FFF2-40B4-BE49-F238E27FC236}">
              <a16:creationId xmlns:a16="http://schemas.microsoft.com/office/drawing/2014/main" id="{32244FD1-33EF-8DE3-9712-44644AF3FB51}"/>
            </a:ext>
          </a:extLst>
        </xdr:cNvPr>
        <xdr:cNvSpPr txBox="1"/>
      </xdr:nvSpPr>
      <xdr:spPr>
        <a:xfrm>
          <a:off x="6053328" y="3737585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0669FAC-7811-44F1-A36F-96F98931420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648437</xdr:rowOff>
    </xdr:from>
    <xdr:to>
      <xdr:col>10</xdr:col>
      <xdr:colOff>503428</xdr:colOff>
      <xdr:row>1</xdr:row>
      <xdr:rowOff>1016737</xdr:rowOff>
    </xdr:to>
    <xdr:sp macro="" textlink="印字値!$C$28">
      <xdr:nvSpPr>
        <xdr:cNvPr id="29" name="付表24">
          <a:extLst>
            <a:ext uri="{FF2B5EF4-FFF2-40B4-BE49-F238E27FC236}">
              <a16:creationId xmlns:a16="http://schemas.microsoft.com/office/drawing/2014/main" id="{DF3E43F9-EEE0-CE59-6598-EFA168485A91}"/>
            </a:ext>
          </a:extLst>
        </xdr:cNvPr>
        <xdr:cNvSpPr txBox="1"/>
      </xdr:nvSpPr>
      <xdr:spPr>
        <a:xfrm>
          <a:off x="6053328" y="4206977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84D3874-7EFD-42D4-92FA-8BFE2A8DBA4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1117828</xdr:rowOff>
    </xdr:from>
    <xdr:to>
      <xdr:col>10</xdr:col>
      <xdr:colOff>503428</xdr:colOff>
      <xdr:row>1</xdr:row>
      <xdr:rowOff>1486128</xdr:rowOff>
    </xdr:to>
    <xdr:sp macro="" textlink="印字値!$C$29">
      <xdr:nvSpPr>
        <xdr:cNvPr id="30" name="付表25">
          <a:extLst>
            <a:ext uri="{FF2B5EF4-FFF2-40B4-BE49-F238E27FC236}">
              <a16:creationId xmlns:a16="http://schemas.microsoft.com/office/drawing/2014/main" id="{E805D5FA-1FAE-D8A8-C625-060E6CD3B78E}"/>
            </a:ext>
          </a:extLst>
        </xdr:cNvPr>
        <xdr:cNvSpPr txBox="1"/>
      </xdr:nvSpPr>
      <xdr:spPr>
        <a:xfrm>
          <a:off x="6053328" y="4676368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46BEE0F-C86C-4BB6-8F09-7732A391FAC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1587221</xdr:rowOff>
    </xdr:from>
    <xdr:to>
      <xdr:col>10</xdr:col>
      <xdr:colOff>503428</xdr:colOff>
      <xdr:row>1</xdr:row>
      <xdr:rowOff>2069821</xdr:rowOff>
    </xdr:to>
    <xdr:sp macro="" textlink="印字値!$C$30">
      <xdr:nvSpPr>
        <xdr:cNvPr id="31" name="付表26">
          <a:extLst>
            <a:ext uri="{FF2B5EF4-FFF2-40B4-BE49-F238E27FC236}">
              <a16:creationId xmlns:a16="http://schemas.microsoft.com/office/drawing/2014/main" id="{D6FACFF8-017B-DED5-77E9-4C107D5C1494}"/>
            </a:ext>
          </a:extLst>
        </xdr:cNvPr>
        <xdr:cNvSpPr txBox="1"/>
      </xdr:nvSpPr>
      <xdr:spPr>
        <a:xfrm>
          <a:off x="6053328" y="5145761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BC8C952-0CDF-47F8-BF33-5234DFA12BE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2173960</xdr:rowOff>
    </xdr:from>
    <xdr:to>
      <xdr:col>10</xdr:col>
      <xdr:colOff>503428</xdr:colOff>
      <xdr:row>1</xdr:row>
      <xdr:rowOff>2656560</xdr:rowOff>
    </xdr:to>
    <xdr:sp macro="" textlink="印字値!$C$31">
      <xdr:nvSpPr>
        <xdr:cNvPr id="32" name="付表27">
          <a:extLst>
            <a:ext uri="{FF2B5EF4-FFF2-40B4-BE49-F238E27FC236}">
              <a16:creationId xmlns:a16="http://schemas.microsoft.com/office/drawing/2014/main" id="{D3B2C0EF-E050-63AC-22B4-00176381EEA5}"/>
            </a:ext>
          </a:extLst>
        </xdr:cNvPr>
        <xdr:cNvSpPr txBox="1"/>
      </xdr:nvSpPr>
      <xdr:spPr>
        <a:xfrm>
          <a:off x="6053328" y="5732500"/>
          <a:ext cx="774700" cy="482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7638A16-7971-4BC2-B511-99E4CAF751F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2760701</xdr:rowOff>
    </xdr:from>
    <xdr:to>
      <xdr:col>10</xdr:col>
      <xdr:colOff>503428</xdr:colOff>
      <xdr:row>1</xdr:row>
      <xdr:rowOff>3129001</xdr:rowOff>
    </xdr:to>
    <xdr:sp macro="" textlink="印字値!$C$32">
      <xdr:nvSpPr>
        <xdr:cNvPr id="33" name="付表28">
          <a:extLst>
            <a:ext uri="{FF2B5EF4-FFF2-40B4-BE49-F238E27FC236}">
              <a16:creationId xmlns:a16="http://schemas.microsoft.com/office/drawing/2014/main" id="{F7E2C45D-FFEC-EA3B-11F2-82A20729D1E2}"/>
            </a:ext>
          </a:extLst>
        </xdr:cNvPr>
        <xdr:cNvSpPr txBox="1"/>
      </xdr:nvSpPr>
      <xdr:spPr>
        <a:xfrm>
          <a:off x="6053328" y="6319241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6D71345-4F99-4D56-B0CA-1600527E421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1</xdr:row>
      <xdr:rowOff>3230093</xdr:rowOff>
    </xdr:from>
    <xdr:to>
      <xdr:col>10</xdr:col>
      <xdr:colOff>503428</xdr:colOff>
      <xdr:row>2</xdr:row>
      <xdr:rowOff>39853</xdr:rowOff>
    </xdr:to>
    <xdr:sp macro="" textlink="印字値!$C$33">
      <xdr:nvSpPr>
        <xdr:cNvPr id="34" name="付表29">
          <a:extLst>
            <a:ext uri="{FF2B5EF4-FFF2-40B4-BE49-F238E27FC236}">
              <a16:creationId xmlns:a16="http://schemas.microsoft.com/office/drawing/2014/main" id="{A27C88C5-CC42-C545-5FCD-6CF3C5438FFE}"/>
            </a:ext>
          </a:extLst>
        </xdr:cNvPr>
        <xdr:cNvSpPr txBox="1"/>
      </xdr:nvSpPr>
      <xdr:spPr>
        <a:xfrm>
          <a:off x="6053328" y="678863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701993B-C7E9-401F-9AC4-519F073A9CC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2</xdr:row>
      <xdr:rowOff>140944</xdr:rowOff>
    </xdr:from>
    <xdr:to>
      <xdr:col>10</xdr:col>
      <xdr:colOff>503428</xdr:colOff>
      <xdr:row>2</xdr:row>
      <xdr:rowOff>737844</xdr:rowOff>
    </xdr:to>
    <xdr:sp macro="" textlink="印字値!$C$34">
      <xdr:nvSpPr>
        <xdr:cNvPr id="35" name="付表30">
          <a:extLst>
            <a:ext uri="{FF2B5EF4-FFF2-40B4-BE49-F238E27FC236}">
              <a16:creationId xmlns:a16="http://schemas.microsoft.com/office/drawing/2014/main" id="{D856FB73-FED4-E00C-9236-BCA204EC2E6E}"/>
            </a:ext>
          </a:extLst>
        </xdr:cNvPr>
        <xdr:cNvSpPr txBox="1"/>
      </xdr:nvSpPr>
      <xdr:spPr>
        <a:xfrm>
          <a:off x="6053328" y="7258024"/>
          <a:ext cx="7747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CB0135E4-27A5-4B18-B824-D11B9F6317BC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2</xdr:row>
      <xdr:rowOff>845032</xdr:rowOff>
    </xdr:from>
    <xdr:to>
      <xdr:col>10</xdr:col>
      <xdr:colOff>503428</xdr:colOff>
      <xdr:row>2</xdr:row>
      <xdr:rowOff>1441932</xdr:rowOff>
    </xdr:to>
    <xdr:sp macro="" textlink="印字値!$C$35">
      <xdr:nvSpPr>
        <xdr:cNvPr id="36" name="付表31">
          <a:extLst>
            <a:ext uri="{FF2B5EF4-FFF2-40B4-BE49-F238E27FC236}">
              <a16:creationId xmlns:a16="http://schemas.microsoft.com/office/drawing/2014/main" id="{8F62F746-D3B6-8289-3F6C-30792D017E8B}"/>
            </a:ext>
          </a:extLst>
        </xdr:cNvPr>
        <xdr:cNvSpPr txBox="1"/>
      </xdr:nvSpPr>
      <xdr:spPr>
        <a:xfrm>
          <a:off x="6053328" y="7962112"/>
          <a:ext cx="7747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7C326EE-38FF-4C31-9F96-97B5D8214EA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2</xdr:row>
      <xdr:rowOff>1549120</xdr:rowOff>
    </xdr:from>
    <xdr:to>
      <xdr:col>10</xdr:col>
      <xdr:colOff>503428</xdr:colOff>
      <xdr:row>2</xdr:row>
      <xdr:rowOff>1917420</xdr:rowOff>
    </xdr:to>
    <xdr:sp macro="" textlink="印字値!$C$36">
      <xdr:nvSpPr>
        <xdr:cNvPr id="37" name="付表32">
          <a:extLst>
            <a:ext uri="{FF2B5EF4-FFF2-40B4-BE49-F238E27FC236}">
              <a16:creationId xmlns:a16="http://schemas.microsoft.com/office/drawing/2014/main" id="{BB71FEF3-0D61-4EF0-8ABC-D233CBBF0789}"/>
            </a:ext>
          </a:extLst>
        </xdr:cNvPr>
        <xdr:cNvSpPr txBox="1"/>
      </xdr:nvSpPr>
      <xdr:spPr>
        <a:xfrm>
          <a:off x="6053328" y="8666200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7EF56CC-8DAE-40CF-A70D-78F585C6068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361188</xdr:colOff>
      <xdr:row>2</xdr:row>
      <xdr:rowOff>2018513</xdr:rowOff>
    </xdr:from>
    <xdr:to>
      <xdr:col>10</xdr:col>
      <xdr:colOff>503428</xdr:colOff>
      <xdr:row>2</xdr:row>
      <xdr:rowOff>2386813</xdr:rowOff>
    </xdr:to>
    <xdr:sp macro="" textlink="印字値!$C$37">
      <xdr:nvSpPr>
        <xdr:cNvPr id="38" name="付表33">
          <a:extLst>
            <a:ext uri="{FF2B5EF4-FFF2-40B4-BE49-F238E27FC236}">
              <a16:creationId xmlns:a16="http://schemas.microsoft.com/office/drawing/2014/main" id="{8AC358E5-58B9-A2E9-17B4-E45CDB7DE31F}"/>
            </a:ext>
          </a:extLst>
        </xdr:cNvPr>
        <xdr:cNvSpPr txBox="1"/>
      </xdr:nvSpPr>
      <xdr:spPr>
        <a:xfrm>
          <a:off x="6053328" y="9135593"/>
          <a:ext cx="7747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653BAE7-D773-4965-A607-F0A1342EEBBE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20,000,000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12</xdr:col>
      <xdr:colOff>5080</xdr:colOff>
      <xdr:row>3</xdr:row>
      <xdr:rowOff>17780</xdr:rowOff>
    </xdr:to>
    <xdr:pic>
      <xdr:nvPicPr>
        <xdr:cNvPr id="3" name="国税庁公式様式_背景">
          <a:extLst>
            <a:ext uri="{FF2B5EF4-FFF2-40B4-BE49-F238E27FC236}">
              <a16:creationId xmlns:a16="http://schemas.microsoft.com/office/drawing/2014/main" id="{1683A81A-254C-22CD-1DF6-BE835E7FCB4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556500" cy="10693400"/>
        </a:xfrm>
        <a:prstGeom prst="rect">
          <a:avLst/>
        </a:prstGeom>
      </xdr:spPr>
    </xdr:pic>
    <xdr:clientData/>
  </xdr:twoCellAnchor>
  <xdr:twoCellAnchor editAs="absolute">
    <xdr:from>
      <xdr:col>6</xdr:col>
      <xdr:colOff>355600</xdr:colOff>
      <xdr:row>0</xdr:row>
      <xdr:rowOff>464033</xdr:rowOff>
    </xdr:from>
    <xdr:to>
      <xdr:col>7</xdr:col>
      <xdr:colOff>624840</xdr:colOff>
      <xdr:row>0</xdr:row>
      <xdr:rowOff>857733</xdr:rowOff>
    </xdr:to>
    <xdr:sp macro="" textlink="印字値!$A$2">
      <xdr:nvSpPr>
        <xdr:cNvPr id="4" name="事業年度">
          <a:extLst>
            <a:ext uri="{FF2B5EF4-FFF2-40B4-BE49-F238E27FC236}">
              <a16:creationId xmlns:a16="http://schemas.microsoft.com/office/drawing/2014/main" id="{83ABF508-2E69-AFCF-6BBA-ADB2CDF27238}"/>
            </a:ext>
          </a:extLst>
        </xdr:cNvPr>
        <xdr:cNvSpPr txBox="1"/>
      </xdr:nvSpPr>
      <xdr:spPr>
        <a:xfrm>
          <a:off x="4150360" y="464033"/>
          <a:ext cx="901700" cy="393700"/>
        </a:xfrm>
        <a:prstGeom prst="rect">
          <a:avLst/>
        </a:prstGeom>
        <a:solidFill>
          <a:srgbClr val="FFFFFF"/>
        </a:solidFill>
        <a:ln w="9525" cmpd="sng">
          <a:noFill/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ctr"/>
          <a:fld id="{E7C3FFB6-85BB-49FB-A185-421A16E1D200}" type="TxLink">
            <a:rPr kumimoji="1" lang="en-US" altLang="en-US" sz="58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ctr"/>
            <a:t>2022.4.1
2023.3.31</a:t>
          </a:fld>
          <a:endParaRPr kumimoji="1" lang="ja-JP" altLang="en-US" sz="58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8</xdr:col>
      <xdr:colOff>370840</xdr:colOff>
      <xdr:row>0</xdr:row>
      <xdr:rowOff>464033</xdr:rowOff>
    </xdr:from>
    <xdr:to>
      <xdr:col>10</xdr:col>
      <xdr:colOff>528320</xdr:colOff>
      <xdr:row>0</xdr:row>
      <xdr:rowOff>857733</xdr:rowOff>
    </xdr:to>
    <xdr:sp macro="" textlink="印字値!$A$1">
      <xdr:nvSpPr>
        <xdr:cNvPr id="5" name="法人名">
          <a:extLst>
            <a:ext uri="{FF2B5EF4-FFF2-40B4-BE49-F238E27FC236}">
              <a16:creationId xmlns:a16="http://schemas.microsoft.com/office/drawing/2014/main" id="{D83EA5FE-6FD7-8C2C-6BA7-94A239089786}"/>
            </a:ext>
          </a:extLst>
        </xdr:cNvPr>
        <xdr:cNvSpPr txBox="1"/>
      </xdr:nvSpPr>
      <xdr:spPr>
        <a:xfrm>
          <a:off x="5430520" y="464033"/>
          <a:ext cx="14224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0" tIns="0" rIns="0" bIns="0" rtlCol="0" anchor="ctr">
          <a:normAutofit/>
        </a:bodyPr>
        <a:lstStyle/>
        <a:p>
          <a:pPr algn="l"/>
          <a:fld id="{0F317618-B459-46E1-ADF6-95371AD93DAF}" type="TxLink">
            <a:rPr kumimoji="1" lang="en-US" altLang="en-US" sz="51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l"/>
            <a:t> </a:t>
          </a:fld>
          <a:endParaRPr kumimoji="1" lang="ja-JP" altLang="en-US" sz="51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0</xdr:row>
      <xdr:rowOff>1107161</xdr:rowOff>
    </xdr:from>
    <xdr:to>
      <xdr:col>5</xdr:col>
      <xdr:colOff>504444</xdr:colOff>
      <xdr:row>0</xdr:row>
      <xdr:rowOff>1500861</xdr:rowOff>
    </xdr:to>
    <xdr:sp macro="" textlink="印字値!$E$5">
      <xdr:nvSpPr>
        <xdr:cNvPr id="6" name="付表二01">
          <a:extLst>
            <a:ext uri="{FF2B5EF4-FFF2-40B4-BE49-F238E27FC236}">
              <a16:creationId xmlns:a16="http://schemas.microsoft.com/office/drawing/2014/main" id="{E63FC7AC-22F1-DE30-02C1-15EB3FF33FEC}"/>
            </a:ext>
          </a:extLst>
        </xdr:cNvPr>
        <xdr:cNvSpPr txBox="1"/>
      </xdr:nvSpPr>
      <xdr:spPr>
        <a:xfrm>
          <a:off x="2980944" y="1107161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D6E11F9-B8AF-4024-9186-250DBEDC462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0</xdr:row>
      <xdr:rowOff>1607033</xdr:rowOff>
    </xdr:from>
    <xdr:to>
      <xdr:col>5</xdr:col>
      <xdr:colOff>504444</xdr:colOff>
      <xdr:row>0</xdr:row>
      <xdr:rowOff>2000733</xdr:rowOff>
    </xdr:to>
    <xdr:sp macro="" textlink="印字値!$E$6">
      <xdr:nvSpPr>
        <xdr:cNvPr id="7" name="付表二02">
          <a:extLst>
            <a:ext uri="{FF2B5EF4-FFF2-40B4-BE49-F238E27FC236}">
              <a16:creationId xmlns:a16="http://schemas.microsoft.com/office/drawing/2014/main" id="{56B5F15B-0318-FBE1-814D-86975D317377}"/>
            </a:ext>
          </a:extLst>
        </xdr:cNvPr>
        <xdr:cNvSpPr txBox="1"/>
      </xdr:nvSpPr>
      <xdr:spPr>
        <a:xfrm>
          <a:off x="2980944" y="1607033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AFAC757E-8849-410E-9FE6-B1F1FBB71AA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0</xdr:row>
      <xdr:rowOff>2106905</xdr:rowOff>
    </xdr:from>
    <xdr:to>
      <xdr:col>5</xdr:col>
      <xdr:colOff>504444</xdr:colOff>
      <xdr:row>0</xdr:row>
      <xdr:rowOff>2500605</xdr:rowOff>
    </xdr:to>
    <xdr:sp macro="" textlink="印字値!$E$7">
      <xdr:nvSpPr>
        <xdr:cNvPr id="8" name="付表二03">
          <a:extLst>
            <a:ext uri="{FF2B5EF4-FFF2-40B4-BE49-F238E27FC236}">
              <a16:creationId xmlns:a16="http://schemas.microsoft.com/office/drawing/2014/main" id="{5E49CF03-3622-AD1B-5128-45F14ED300DE}"/>
            </a:ext>
          </a:extLst>
        </xdr:cNvPr>
        <xdr:cNvSpPr txBox="1"/>
      </xdr:nvSpPr>
      <xdr:spPr>
        <a:xfrm>
          <a:off x="2980944" y="2106905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268246D-9693-4E06-BB84-AFF07BDE8B0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0</xdr:row>
      <xdr:rowOff>2606777</xdr:rowOff>
    </xdr:from>
    <xdr:to>
      <xdr:col>5</xdr:col>
      <xdr:colOff>504444</xdr:colOff>
      <xdr:row>0</xdr:row>
      <xdr:rowOff>3000477</xdr:rowOff>
    </xdr:to>
    <xdr:sp macro="" textlink="印字値!$E$8">
      <xdr:nvSpPr>
        <xdr:cNvPr id="9" name="付表二04">
          <a:extLst>
            <a:ext uri="{FF2B5EF4-FFF2-40B4-BE49-F238E27FC236}">
              <a16:creationId xmlns:a16="http://schemas.microsoft.com/office/drawing/2014/main" id="{B15160B2-9793-1886-863D-32FB00E8AC90}"/>
            </a:ext>
          </a:extLst>
        </xdr:cNvPr>
        <xdr:cNvSpPr txBox="1"/>
      </xdr:nvSpPr>
      <xdr:spPr>
        <a:xfrm>
          <a:off x="2980944" y="2606777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52DB572-E085-41DA-BBC0-555FE9A6E94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0</xdr:row>
      <xdr:rowOff>3106649</xdr:rowOff>
    </xdr:from>
    <xdr:to>
      <xdr:col>5</xdr:col>
      <xdr:colOff>504444</xdr:colOff>
      <xdr:row>0</xdr:row>
      <xdr:rowOff>3500349</xdr:rowOff>
    </xdr:to>
    <xdr:sp macro="" textlink="印字値!$E$9">
      <xdr:nvSpPr>
        <xdr:cNvPr id="10" name="付表二05">
          <a:extLst>
            <a:ext uri="{FF2B5EF4-FFF2-40B4-BE49-F238E27FC236}">
              <a16:creationId xmlns:a16="http://schemas.microsoft.com/office/drawing/2014/main" id="{178EF9CF-F068-179F-8D38-524A92D39302}"/>
            </a:ext>
          </a:extLst>
        </xdr:cNvPr>
        <xdr:cNvSpPr txBox="1"/>
      </xdr:nvSpPr>
      <xdr:spPr>
        <a:xfrm>
          <a:off x="2980944" y="3106649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602D314-2399-4E25-9434-CB8AEBE6E3C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0</xdr:row>
      <xdr:rowOff>1107161</xdr:rowOff>
    </xdr:from>
    <xdr:to>
      <xdr:col>10</xdr:col>
      <xdr:colOff>499872</xdr:colOff>
      <xdr:row>0</xdr:row>
      <xdr:rowOff>1500861</xdr:rowOff>
    </xdr:to>
    <xdr:sp macro="" textlink="印字値!$E$10">
      <xdr:nvSpPr>
        <xdr:cNvPr id="11" name="付表二06">
          <a:extLst>
            <a:ext uri="{FF2B5EF4-FFF2-40B4-BE49-F238E27FC236}">
              <a16:creationId xmlns:a16="http://schemas.microsoft.com/office/drawing/2014/main" id="{F18A6177-E762-8D69-6E91-BD8EF51E87D1}"/>
            </a:ext>
          </a:extLst>
        </xdr:cNvPr>
        <xdr:cNvSpPr txBox="1"/>
      </xdr:nvSpPr>
      <xdr:spPr>
        <a:xfrm>
          <a:off x="6138672" y="1107161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BCB167E-85CE-48F2-AE24-B288469A3295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0</xdr:row>
      <xdr:rowOff>1607033</xdr:rowOff>
    </xdr:from>
    <xdr:to>
      <xdr:col>10</xdr:col>
      <xdr:colOff>499872</xdr:colOff>
      <xdr:row>0</xdr:row>
      <xdr:rowOff>2000733</xdr:rowOff>
    </xdr:to>
    <xdr:sp macro="" textlink="印字値!$E$11">
      <xdr:nvSpPr>
        <xdr:cNvPr id="12" name="付表二07">
          <a:extLst>
            <a:ext uri="{FF2B5EF4-FFF2-40B4-BE49-F238E27FC236}">
              <a16:creationId xmlns:a16="http://schemas.microsoft.com/office/drawing/2014/main" id="{9BE9319B-9602-AD38-6264-98F002A46CE8}"/>
            </a:ext>
          </a:extLst>
        </xdr:cNvPr>
        <xdr:cNvSpPr txBox="1"/>
      </xdr:nvSpPr>
      <xdr:spPr>
        <a:xfrm>
          <a:off x="6138672" y="1607033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8263F3E-9FDB-4E70-B13A-766B9EA8B96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0</xdr:row>
      <xdr:rowOff>2106905</xdr:rowOff>
    </xdr:from>
    <xdr:to>
      <xdr:col>10</xdr:col>
      <xdr:colOff>499872</xdr:colOff>
      <xdr:row>0</xdr:row>
      <xdr:rowOff>2500605</xdr:rowOff>
    </xdr:to>
    <xdr:sp macro="" textlink="印字値!$E$12">
      <xdr:nvSpPr>
        <xdr:cNvPr id="13" name="付表二08">
          <a:extLst>
            <a:ext uri="{FF2B5EF4-FFF2-40B4-BE49-F238E27FC236}">
              <a16:creationId xmlns:a16="http://schemas.microsoft.com/office/drawing/2014/main" id="{28D22EEB-437E-BE9D-E015-F132E9530F73}"/>
            </a:ext>
          </a:extLst>
        </xdr:cNvPr>
        <xdr:cNvSpPr txBox="1"/>
      </xdr:nvSpPr>
      <xdr:spPr>
        <a:xfrm>
          <a:off x="6138672" y="2106905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C1221F0-3C00-44ED-B584-40E54B0BC36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0</xdr:row>
      <xdr:rowOff>2606777</xdr:rowOff>
    </xdr:from>
    <xdr:to>
      <xdr:col>10</xdr:col>
      <xdr:colOff>499872</xdr:colOff>
      <xdr:row>0</xdr:row>
      <xdr:rowOff>3000477</xdr:rowOff>
    </xdr:to>
    <xdr:sp macro="" textlink="印字値!$E$13">
      <xdr:nvSpPr>
        <xdr:cNvPr id="14" name="付表二09">
          <a:extLst>
            <a:ext uri="{FF2B5EF4-FFF2-40B4-BE49-F238E27FC236}">
              <a16:creationId xmlns:a16="http://schemas.microsoft.com/office/drawing/2014/main" id="{A325ECC0-9C4C-5CA6-B2AD-BF398E7C90D3}"/>
            </a:ext>
          </a:extLst>
        </xdr:cNvPr>
        <xdr:cNvSpPr txBox="1"/>
      </xdr:nvSpPr>
      <xdr:spPr>
        <a:xfrm>
          <a:off x="6138672" y="2606777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365100E-D205-4393-861A-7A1658B2188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0</xdr:row>
      <xdr:rowOff>3106649</xdr:rowOff>
    </xdr:from>
    <xdr:to>
      <xdr:col>10</xdr:col>
      <xdr:colOff>499872</xdr:colOff>
      <xdr:row>0</xdr:row>
      <xdr:rowOff>3500349</xdr:rowOff>
    </xdr:to>
    <xdr:sp macro="" textlink="印字値!$E$14">
      <xdr:nvSpPr>
        <xdr:cNvPr id="15" name="付表二10">
          <a:extLst>
            <a:ext uri="{FF2B5EF4-FFF2-40B4-BE49-F238E27FC236}">
              <a16:creationId xmlns:a16="http://schemas.microsoft.com/office/drawing/2014/main" id="{6F7C1F21-78E4-5346-BC79-DB3EC9ECB4F5}"/>
            </a:ext>
          </a:extLst>
        </xdr:cNvPr>
        <xdr:cNvSpPr txBox="1"/>
      </xdr:nvSpPr>
      <xdr:spPr>
        <a:xfrm>
          <a:off x="6138672" y="3106649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30904E27-AAF8-4EDF-A281-707F61EF2461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1</xdr:row>
      <xdr:rowOff>233909</xdr:rowOff>
    </xdr:from>
    <xdr:to>
      <xdr:col>5</xdr:col>
      <xdr:colOff>504444</xdr:colOff>
      <xdr:row>1</xdr:row>
      <xdr:rowOff>830809</xdr:rowOff>
    </xdr:to>
    <xdr:sp macro="" textlink="印字値!$E$15">
      <xdr:nvSpPr>
        <xdr:cNvPr id="16" name="付表二11">
          <a:extLst>
            <a:ext uri="{FF2B5EF4-FFF2-40B4-BE49-F238E27FC236}">
              <a16:creationId xmlns:a16="http://schemas.microsoft.com/office/drawing/2014/main" id="{3F067CBD-DA11-93BA-30E2-CF34A90359AA}"/>
            </a:ext>
          </a:extLst>
        </xdr:cNvPr>
        <xdr:cNvSpPr txBox="1"/>
      </xdr:nvSpPr>
      <xdr:spPr>
        <a:xfrm>
          <a:off x="2980944" y="3792449"/>
          <a:ext cx="6858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94B30AC-99AD-4D91-94B0-13EFE67DD9EA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1</xdr:row>
      <xdr:rowOff>937997</xdr:rowOff>
    </xdr:from>
    <xdr:to>
      <xdr:col>5</xdr:col>
      <xdr:colOff>504444</xdr:colOff>
      <xdr:row>1</xdr:row>
      <xdr:rowOff>1534897</xdr:rowOff>
    </xdr:to>
    <xdr:sp macro="" textlink="印字値!$E$16">
      <xdr:nvSpPr>
        <xdr:cNvPr id="17" name="付表二12">
          <a:extLst>
            <a:ext uri="{FF2B5EF4-FFF2-40B4-BE49-F238E27FC236}">
              <a16:creationId xmlns:a16="http://schemas.microsoft.com/office/drawing/2014/main" id="{37239EE0-8FDA-3F94-E8F6-6C1BB67EA191}"/>
            </a:ext>
          </a:extLst>
        </xdr:cNvPr>
        <xdr:cNvSpPr txBox="1"/>
      </xdr:nvSpPr>
      <xdr:spPr>
        <a:xfrm>
          <a:off x="2980944" y="4496537"/>
          <a:ext cx="6858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D21514E-7973-488D-B624-67251F0F04E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1</xdr:row>
      <xdr:rowOff>1642084</xdr:rowOff>
    </xdr:from>
    <xdr:to>
      <xdr:col>5</xdr:col>
      <xdr:colOff>504444</xdr:colOff>
      <xdr:row>1</xdr:row>
      <xdr:rowOff>2238984</xdr:rowOff>
    </xdr:to>
    <xdr:sp macro="" textlink="印字値!$E$17">
      <xdr:nvSpPr>
        <xdr:cNvPr id="18" name="付表二13">
          <a:extLst>
            <a:ext uri="{FF2B5EF4-FFF2-40B4-BE49-F238E27FC236}">
              <a16:creationId xmlns:a16="http://schemas.microsoft.com/office/drawing/2014/main" id="{ACB04CAC-5AAC-016F-9B39-47A0517CA5F6}"/>
            </a:ext>
          </a:extLst>
        </xdr:cNvPr>
        <xdr:cNvSpPr txBox="1"/>
      </xdr:nvSpPr>
      <xdr:spPr>
        <a:xfrm>
          <a:off x="2980944" y="5200624"/>
          <a:ext cx="6858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167E32C-B47C-41E2-8C74-418AF70306F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1</xdr:row>
      <xdr:rowOff>233909</xdr:rowOff>
    </xdr:from>
    <xdr:to>
      <xdr:col>10</xdr:col>
      <xdr:colOff>499872</xdr:colOff>
      <xdr:row>1</xdr:row>
      <xdr:rowOff>602209</xdr:rowOff>
    </xdr:to>
    <xdr:sp macro="" textlink="印字値!$E$18">
      <xdr:nvSpPr>
        <xdr:cNvPr id="19" name="付表二14">
          <a:extLst>
            <a:ext uri="{FF2B5EF4-FFF2-40B4-BE49-F238E27FC236}">
              <a16:creationId xmlns:a16="http://schemas.microsoft.com/office/drawing/2014/main" id="{5BC2DF09-0AE0-5AD6-CED9-B8C4870E1293}"/>
            </a:ext>
          </a:extLst>
        </xdr:cNvPr>
        <xdr:cNvSpPr txBox="1"/>
      </xdr:nvSpPr>
      <xdr:spPr>
        <a:xfrm>
          <a:off x="6138672" y="3792449"/>
          <a:ext cx="6858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C8F75DA-66F8-41D4-9209-2202AE21322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1</xdr:row>
      <xdr:rowOff>703301</xdr:rowOff>
    </xdr:from>
    <xdr:to>
      <xdr:col>10</xdr:col>
      <xdr:colOff>499872</xdr:colOff>
      <xdr:row>1</xdr:row>
      <xdr:rowOff>1071601</xdr:rowOff>
    </xdr:to>
    <xdr:sp macro="" textlink="印字値!$E$19">
      <xdr:nvSpPr>
        <xdr:cNvPr id="20" name="付表二15">
          <a:extLst>
            <a:ext uri="{FF2B5EF4-FFF2-40B4-BE49-F238E27FC236}">
              <a16:creationId xmlns:a16="http://schemas.microsoft.com/office/drawing/2014/main" id="{CE447AAA-169B-AFB5-8027-25CC2E9E833A}"/>
            </a:ext>
          </a:extLst>
        </xdr:cNvPr>
        <xdr:cNvSpPr txBox="1"/>
      </xdr:nvSpPr>
      <xdr:spPr>
        <a:xfrm>
          <a:off x="6138672" y="4261841"/>
          <a:ext cx="6858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62C4DC4-03FD-4419-847F-5216D65BE77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1</xdr:row>
      <xdr:rowOff>1172693</xdr:rowOff>
    </xdr:from>
    <xdr:to>
      <xdr:col>10</xdr:col>
      <xdr:colOff>499872</xdr:colOff>
      <xdr:row>1</xdr:row>
      <xdr:rowOff>1540993</xdr:rowOff>
    </xdr:to>
    <xdr:sp macro="" textlink="印字値!$E$20">
      <xdr:nvSpPr>
        <xdr:cNvPr id="21" name="付表二16">
          <a:extLst>
            <a:ext uri="{FF2B5EF4-FFF2-40B4-BE49-F238E27FC236}">
              <a16:creationId xmlns:a16="http://schemas.microsoft.com/office/drawing/2014/main" id="{68D4C61D-26D9-8A47-A651-505247FE4A81}"/>
            </a:ext>
          </a:extLst>
        </xdr:cNvPr>
        <xdr:cNvSpPr txBox="1"/>
      </xdr:nvSpPr>
      <xdr:spPr>
        <a:xfrm>
          <a:off x="6138672" y="4731233"/>
          <a:ext cx="685800" cy="3683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1B8BFB54-F7FD-457D-821C-01B7E96FB16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1</xdr:row>
      <xdr:rowOff>1642084</xdr:rowOff>
    </xdr:from>
    <xdr:to>
      <xdr:col>10</xdr:col>
      <xdr:colOff>499872</xdr:colOff>
      <xdr:row>1</xdr:row>
      <xdr:rowOff>2238984</xdr:rowOff>
    </xdr:to>
    <xdr:sp macro="" textlink="印字値!$E$21">
      <xdr:nvSpPr>
        <xdr:cNvPr id="22" name="付表二17">
          <a:extLst>
            <a:ext uri="{FF2B5EF4-FFF2-40B4-BE49-F238E27FC236}">
              <a16:creationId xmlns:a16="http://schemas.microsoft.com/office/drawing/2014/main" id="{79F5A2A3-FBEA-4464-E84F-0DD8C6FD459E}"/>
            </a:ext>
          </a:extLst>
        </xdr:cNvPr>
        <xdr:cNvSpPr txBox="1"/>
      </xdr:nvSpPr>
      <xdr:spPr>
        <a:xfrm>
          <a:off x="6138672" y="5200624"/>
          <a:ext cx="685800" cy="5969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EE05C815-23DC-4432-99D5-009FE39FF8FF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1</xdr:row>
      <xdr:rowOff>2532101</xdr:rowOff>
    </xdr:from>
    <xdr:to>
      <xdr:col>5</xdr:col>
      <xdr:colOff>504444</xdr:colOff>
      <xdr:row>1</xdr:row>
      <xdr:rowOff>2925801</xdr:rowOff>
    </xdr:to>
    <xdr:sp macro="" textlink="印字値!$E$22">
      <xdr:nvSpPr>
        <xdr:cNvPr id="23" name="付表二18">
          <a:extLst>
            <a:ext uri="{FF2B5EF4-FFF2-40B4-BE49-F238E27FC236}">
              <a16:creationId xmlns:a16="http://schemas.microsoft.com/office/drawing/2014/main" id="{3D3A85FA-FA14-4F61-1649-BEFBC07E3E65}"/>
            </a:ext>
          </a:extLst>
        </xdr:cNvPr>
        <xdr:cNvSpPr txBox="1"/>
      </xdr:nvSpPr>
      <xdr:spPr>
        <a:xfrm>
          <a:off x="2980944" y="6090641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68C32886-780C-45A2-ABE8-3D1CA9D6B853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1</xdr:row>
      <xdr:rowOff>3030449</xdr:rowOff>
    </xdr:from>
    <xdr:to>
      <xdr:col>5</xdr:col>
      <xdr:colOff>504444</xdr:colOff>
      <xdr:row>1</xdr:row>
      <xdr:rowOff>3424149</xdr:rowOff>
    </xdr:to>
    <xdr:sp macro="" textlink="印字値!$E$23">
      <xdr:nvSpPr>
        <xdr:cNvPr id="24" name="付表二19">
          <a:extLst>
            <a:ext uri="{FF2B5EF4-FFF2-40B4-BE49-F238E27FC236}">
              <a16:creationId xmlns:a16="http://schemas.microsoft.com/office/drawing/2014/main" id="{A807AD7E-2000-C628-51EC-DEAB02F0408E}"/>
            </a:ext>
          </a:extLst>
        </xdr:cNvPr>
        <xdr:cNvSpPr txBox="1"/>
      </xdr:nvSpPr>
      <xdr:spPr>
        <a:xfrm>
          <a:off x="2980944" y="6588989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9F6E6B20-8E4B-4E19-B8A7-92AA912DCDA0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1</xdr:row>
      <xdr:rowOff>3530320</xdr:rowOff>
    </xdr:from>
    <xdr:to>
      <xdr:col>5</xdr:col>
      <xdr:colOff>504444</xdr:colOff>
      <xdr:row>2</xdr:row>
      <xdr:rowOff>365480</xdr:rowOff>
    </xdr:to>
    <xdr:sp macro="" textlink="印字値!$E$24">
      <xdr:nvSpPr>
        <xdr:cNvPr id="25" name="付表二20">
          <a:extLst>
            <a:ext uri="{FF2B5EF4-FFF2-40B4-BE49-F238E27FC236}">
              <a16:creationId xmlns:a16="http://schemas.microsoft.com/office/drawing/2014/main" id="{DEE4662C-C264-D5D5-FA2B-EDE74B489C1C}"/>
            </a:ext>
          </a:extLst>
        </xdr:cNvPr>
        <xdr:cNvSpPr txBox="1"/>
      </xdr:nvSpPr>
      <xdr:spPr>
        <a:xfrm>
          <a:off x="2980944" y="7088860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760CA808-1CC9-4F4D-8CFC-CED76BDC2F46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2</xdr:row>
      <xdr:rowOff>471653</xdr:rowOff>
    </xdr:from>
    <xdr:to>
      <xdr:col>5</xdr:col>
      <xdr:colOff>504444</xdr:colOff>
      <xdr:row>2</xdr:row>
      <xdr:rowOff>865353</xdr:rowOff>
    </xdr:to>
    <xdr:sp macro="" textlink="印字値!$E$25">
      <xdr:nvSpPr>
        <xdr:cNvPr id="26" name="付表二21">
          <a:extLst>
            <a:ext uri="{FF2B5EF4-FFF2-40B4-BE49-F238E27FC236}">
              <a16:creationId xmlns:a16="http://schemas.microsoft.com/office/drawing/2014/main" id="{FE185FA6-40FA-9994-0B2C-2C481D5121FF}"/>
            </a:ext>
          </a:extLst>
        </xdr:cNvPr>
        <xdr:cNvSpPr txBox="1"/>
      </xdr:nvSpPr>
      <xdr:spPr>
        <a:xfrm>
          <a:off x="2980944" y="7588733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292EFB6F-93DE-4AF8-B010-0D948DEE40A7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4</xdr:col>
      <xdr:colOff>451104</xdr:colOff>
      <xdr:row>2</xdr:row>
      <xdr:rowOff>971525</xdr:rowOff>
    </xdr:from>
    <xdr:to>
      <xdr:col>5</xdr:col>
      <xdr:colOff>504444</xdr:colOff>
      <xdr:row>2</xdr:row>
      <xdr:rowOff>1365225</xdr:rowOff>
    </xdr:to>
    <xdr:sp macro="" textlink="印字値!$E$26">
      <xdr:nvSpPr>
        <xdr:cNvPr id="27" name="付表二22">
          <a:extLst>
            <a:ext uri="{FF2B5EF4-FFF2-40B4-BE49-F238E27FC236}">
              <a16:creationId xmlns:a16="http://schemas.microsoft.com/office/drawing/2014/main" id="{6B8C4429-8F33-B666-9D6D-1C44E8613EAD}"/>
            </a:ext>
          </a:extLst>
        </xdr:cNvPr>
        <xdr:cNvSpPr txBox="1"/>
      </xdr:nvSpPr>
      <xdr:spPr>
        <a:xfrm>
          <a:off x="2980944" y="8088605"/>
          <a:ext cx="685800" cy="393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D5713B70-8C55-4CC7-91A0-F56254BC9A69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1</xdr:row>
      <xdr:rowOff>2532101</xdr:rowOff>
    </xdr:from>
    <xdr:to>
      <xdr:col>10</xdr:col>
      <xdr:colOff>499872</xdr:colOff>
      <xdr:row>1</xdr:row>
      <xdr:rowOff>3052801</xdr:rowOff>
    </xdr:to>
    <xdr:sp macro="" textlink="印字値!$E$27">
      <xdr:nvSpPr>
        <xdr:cNvPr id="28" name="付表二23">
          <a:extLst>
            <a:ext uri="{FF2B5EF4-FFF2-40B4-BE49-F238E27FC236}">
              <a16:creationId xmlns:a16="http://schemas.microsoft.com/office/drawing/2014/main" id="{546748A4-746E-7CE9-D1EC-EEF6E07F56D0}"/>
            </a:ext>
          </a:extLst>
        </xdr:cNvPr>
        <xdr:cNvSpPr txBox="1"/>
      </xdr:nvSpPr>
      <xdr:spPr>
        <a:xfrm>
          <a:off x="6138672" y="6090641"/>
          <a:ext cx="6858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5509A7A0-F8AA-467E-8A1D-6674F718C8F2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1</xdr:row>
      <xdr:rowOff>3155417</xdr:rowOff>
    </xdr:from>
    <xdr:to>
      <xdr:col>10</xdr:col>
      <xdr:colOff>499872</xdr:colOff>
      <xdr:row>2</xdr:row>
      <xdr:rowOff>117577</xdr:rowOff>
    </xdr:to>
    <xdr:sp macro="" textlink="印字値!$E$28">
      <xdr:nvSpPr>
        <xdr:cNvPr id="29" name="付表二24">
          <a:extLst>
            <a:ext uri="{FF2B5EF4-FFF2-40B4-BE49-F238E27FC236}">
              <a16:creationId xmlns:a16="http://schemas.microsoft.com/office/drawing/2014/main" id="{4CC21F8F-7F65-C443-B73F-F7FB278BBA77}"/>
            </a:ext>
          </a:extLst>
        </xdr:cNvPr>
        <xdr:cNvSpPr txBox="1"/>
      </xdr:nvSpPr>
      <xdr:spPr>
        <a:xfrm>
          <a:off x="6138672" y="6713957"/>
          <a:ext cx="6858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B1F3B230-05D9-4C1C-A871-96F8CC44EB9B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2</xdr:row>
      <xdr:rowOff>221716</xdr:rowOff>
    </xdr:from>
    <xdr:to>
      <xdr:col>10</xdr:col>
      <xdr:colOff>499872</xdr:colOff>
      <xdr:row>2</xdr:row>
      <xdr:rowOff>742416</xdr:rowOff>
    </xdr:to>
    <xdr:sp macro="" textlink="印字値!$E$29">
      <xdr:nvSpPr>
        <xdr:cNvPr id="30" name="付表二25">
          <a:extLst>
            <a:ext uri="{FF2B5EF4-FFF2-40B4-BE49-F238E27FC236}">
              <a16:creationId xmlns:a16="http://schemas.microsoft.com/office/drawing/2014/main" id="{A78013B2-EA52-1015-E727-FEC4EE972B6A}"/>
            </a:ext>
          </a:extLst>
        </xdr:cNvPr>
        <xdr:cNvSpPr txBox="1"/>
      </xdr:nvSpPr>
      <xdr:spPr>
        <a:xfrm>
          <a:off x="6138672" y="7338796"/>
          <a:ext cx="6858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2AAEC6B-CAAE-4BF7-860A-395BB81D6AF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  <xdr:twoCellAnchor editAs="absolute">
    <xdr:from>
      <xdr:col>9</xdr:col>
      <xdr:colOff>446532</xdr:colOff>
      <xdr:row>2</xdr:row>
      <xdr:rowOff>846556</xdr:rowOff>
    </xdr:from>
    <xdr:to>
      <xdr:col>10</xdr:col>
      <xdr:colOff>499872</xdr:colOff>
      <xdr:row>2</xdr:row>
      <xdr:rowOff>1367256</xdr:rowOff>
    </xdr:to>
    <xdr:sp macro="" textlink="印字値!$E$30">
      <xdr:nvSpPr>
        <xdr:cNvPr id="31" name="付表二26">
          <a:extLst>
            <a:ext uri="{FF2B5EF4-FFF2-40B4-BE49-F238E27FC236}">
              <a16:creationId xmlns:a16="http://schemas.microsoft.com/office/drawing/2014/main" id="{D98C580E-6E85-805E-1D07-64489C08EC24}"/>
            </a:ext>
          </a:extLst>
        </xdr:cNvPr>
        <xdr:cNvSpPr txBox="1"/>
      </xdr:nvSpPr>
      <xdr:spPr>
        <a:xfrm>
          <a:off x="6138672" y="7963636"/>
          <a:ext cx="6858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>
          <a:normAutofit/>
        </a:bodyPr>
        <a:lstStyle/>
        <a:p>
          <a:pPr algn="r"/>
          <a:fld id="{0BD5F987-A82E-47AF-960E-EE44A8380258}" type="TxLink">
            <a:rPr kumimoji="1" lang="en-US" altLang="en-US" sz="640" b="0" i="0" u="none" strike="noStrike">
              <a:solidFill>
                <a:srgbClr val="000000"/>
              </a:solidFill>
              <a:latin typeface="ＭＳ 明朝" panose="02020609040205080304" pitchFamily="17" charset="-128"/>
              <a:ea typeface="游ゴシック"/>
            </a:rPr>
            <a:pPr algn="r"/>
            <a:t> </a:t>
          </a:fld>
          <a:endParaRPr kumimoji="1" lang="ja-JP" altLang="en-US" sz="640">
            <a:solidFill>
              <a:srgbClr val="000000"/>
            </a:solidFill>
            <a:latin typeface="ＭＳ 明朝" panose="02020609040205080304" pitchFamily="17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ta.go.jp/law/tsutatsu/kihon/hojin/16/16_01_02.htm" TargetMode="External"/><Relationship Id="rId3" Type="http://schemas.openxmlformats.org/officeDocument/2006/relationships/hyperlink" Target="https://www.nta.go.jp/publication/pamph/hojin/tebiki2022/pdf/02-03.pdf" TargetMode="External"/><Relationship Id="rId7" Type="http://schemas.openxmlformats.org/officeDocument/2006/relationships/hyperlink" Target="https://www.nta.go.jp/taxes/tetsuzuki/shinsei/annai/hojin/shinkoku/itiran2022/pdf/03%2801%29-f2-ki.pdf" TargetMode="External"/><Relationship Id="rId2" Type="http://schemas.openxmlformats.org/officeDocument/2006/relationships/hyperlink" Target="https://www.nta.go.jp/taxes/tetsuzuki/shinsei/annai/hojin/shinkoku/itiran2022/pdf/03%2801%29.pdf" TargetMode="External"/><Relationship Id="rId1" Type="http://schemas.openxmlformats.org/officeDocument/2006/relationships/hyperlink" Target="https://www.nta.go.jp/taxes/tetsuzuki/shinsei/annai/hojin/shinkoku/itiran2022/01.htm" TargetMode="External"/><Relationship Id="rId6" Type="http://schemas.openxmlformats.org/officeDocument/2006/relationships/hyperlink" Target="https://www.nta.go.jp/taxes/tetsuzuki/shinsei/annai/hojin/shinkoku/itiran2022/pdf/03%2801%29-f2.pdf" TargetMode="External"/><Relationship Id="rId11" Type="http://schemas.openxmlformats.org/officeDocument/2006/relationships/printerSettings" Target="../printerSettings/printerSettings10.bin"/><Relationship Id="rId5" Type="http://schemas.openxmlformats.org/officeDocument/2006/relationships/hyperlink" Target="https://www.nta.go.jp/publication/pamph/hojin/tebiki2022/pdf/02-04.pdf" TargetMode="External"/><Relationship Id="rId10" Type="http://schemas.openxmlformats.org/officeDocument/2006/relationships/hyperlink" Target="https://laws.e-gov.go.jp/law/337AC0000000066" TargetMode="External"/><Relationship Id="rId4" Type="http://schemas.openxmlformats.org/officeDocument/2006/relationships/hyperlink" Target="https://www.nta.go.jp/taxes/tetsuzuki/shinsei/annai/hojin/shinkoku/itiran2022/pdf/03%2801%29-f1.pdf" TargetMode="External"/><Relationship Id="rId9" Type="http://schemas.openxmlformats.org/officeDocument/2006/relationships/hyperlink" Target="https://laws.e-gov.go.jp/law/340AC00000000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94C47-04C9-4A5F-8FC0-D1E5E1E065D1}">
  <sheetPr>
    <tabColor rgb="FF17365D"/>
    <pageSetUpPr fitToPage="1"/>
  </sheetPr>
  <dimension ref="A1:H40"/>
  <sheetViews>
    <sheetView showGridLines="0" tabSelected="1" zoomScale="90" zoomScaleNormal="90" workbookViewId="0">
      <selection sqref="A1:H1"/>
    </sheetView>
  </sheetViews>
  <sheetFormatPr defaultRowHeight="18"/>
  <cols>
    <col min="1" max="8" width="15.69921875" customWidth="1"/>
  </cols>
  <sheetData>
    <row r="1" spans="1:8" ht="28.8">
      <c r="A1" s="38" t="s">
        <v>370</v>
      </c>
      <c r="B1" s="3"/>
      <c r="C1" s="3"/>
      <c r="D1" s="3"/>
      <c r="E1" s="3"/>
      <c r="F1" s="3"/>
      <c r="G1" s="3"/>
      <c r="H1" s="3"/>
    </row>
    <row r="2" spans="1:8">
      <c r="A2" s="39" t="s">
        <v>371</v>
      </c>
      <c r="B2" s="3"/>
      <c r="C2" s="3"/>
      <c r="D2" s="3"/>
      <c r="E2" s="3"/>
      <c r="F2" s="3"/>
      <c r="G2" s="3"/>
      <c r="H2" s="3"/>
    </row>
    <row r="3" spans="1:8">
      <c r="A3" s="5"/>
      <c r="B3" s="5"/>
      <c r="C3" s="5"/>
      <c r="D3" s="5"/>
      <c r="E3" s="5"/>
      <c r="F3" s="5"/>
      <c r="G3" s="5"/>
      <c r="H3" s="5"/>
    </row>
    <row r="4" spans="1:8" ht="22.95" customHeight="1">
      <c r="A4" s="6" t="s">
        <v>372</v>
      </c>
      <c r="B4" s="6"/>
      <c r="C4" s="6"/>
      <c r="D4" s="6"/>
      <c r="E4" s="6"/>
      <c r="F4" s="6"/>
      <c r="G4" s="6"/>
      <c r="H4" s="6"/>
    </row>
    <row r="5" spans="1:8">
      <c r="A5" s="8" t="s">
        <v>373</v>
      </c>
      <c r="B5" s="8"/>
      <c r="C5" s="8"/>
      <c r="D5" s="8"/>
      <c r="E5" s="8"/>
      <c r="F5" s="40">
        <f>out_retained_tax</f>
        <v>0</v>
      </c>
      <c r="G5" s="41"/>
      <c r="H5" s="41"/>
    </row>
    <row r="6" spans="1:8">
      <c r="A6" s="8" t="s">
        <v>374</v>
      </c>
      <c r="B6" s="8"/>
      <c r="C6" s="8"/>
      <c r="D6" s="8"/>
      <c r="E6" s="8"/>
      <c r="F6" s="40">
        <f>out_taxable_retained</f>
        <v>0</v>
      </c>
      <c r="G6" s="41"/>
      <c r="H6" s="41"/>
    </row>
    <row r="7" spans="1:8">
      <c r="A7" s="8" t="s">
        <v>375</v>
      </c>
      <c r="B7" s="8"/>
      <c r="C7" s="8"/>
      <c r="D7" s="8"/>
      <c r="E7" s="8"/>
      <c r="F7" s="40">
        <f>out_retention_allowance</f>
        <v>20000000</v>
      </c>
      <c r="G7" s="41"/>
      <c r="H7" s="41"/>
    </row>
    <row r="8" spans="1:8">
      <c r="A8" s="8" t="s">
        <v>376</v>
      </c>
      <c r="B8" s="8"/>
      <c r="C8" s="8"/>
      <c r="D8" s="8"/>
      <c r="E8" s="8"/>
      <c r="F8" s="40">
        <f>out_municipal_tax</f>
        <v>0</v>
      </c>
      <c r="G8" s="41"/>
      <c r="H8" s="41"/>
    </row>
    <row r="9" spans="1:8">
      <c r="A9" s="5"/>
      <c r="B9" s="5"/>
      <c r="C9" s="5"/>
      <c r="D9" s="5"/>
      <c r="E9" s="5"/>
      <c r="F9" s="5"/>
      <c r="G9" s="5"/>
      <c r="H9" s="5"/>
    </row>
    <row r="10" spans="1:8" ht="22.95" customHeight="1">
      <c r="A10" s="6" t="s">
        <v>377</v>
      </c>
      <c r="B10" s="6"/>
      <c r="C10" s="6"/>
      <c r="D10" s="6"/>
      <c r="E10" s="6"/>
      <c r="F10" s="6"/>
      <c r="G10" s="6"/>
      <c r="H10" s="6"/>
    </row>
    <row r="11" spans="1:8">
      <c r="A11" s="8" t="s">
        <v>378</v>
      </c>
      <c r="B11" s="8"/>
      <c r="C11" s="8"/>
      <c r="D11" s="8"/>
      <c r="E11" s="8"/>
      <c r="F11" s="12" t="str">
        <f>IF(cfg_applicable,"OK","要確認：開始日・終了日がこの年度版の対象外")</f>
        <v>OK</v>
      </c>
      <c r="G11" s="12"/>
      <c r="H11" s="12"/>
    </row>
    <row r="12" spans="1:8">
      <c r="A12" s="8" t="s">
        <v>379</v>
      </c>
      <c r="B12" s="8"/>
      <c r="C12" s="8"/>
      <c r="D12" s="8"/>
      <c r="E12" s="8"/>
      <c r="F12" s="12" t="str">
        <f>IF(inp_special="はい","OK","対象外：別表二の判定を確認")</f>
        <v>OK</v>
      </c>
      <c r="G12" s="12"/>
      <c r="H12" s="12"/>
    </row>
    <row r="13" spans="1:8">
      <c r="A13" s="8" t="s">
        <v>380</v>
      </c>
      <c r="B13" s="8"/>
      <c r="C13" s="8"/>
      <c r="D13" s="8"/>
      <c r="E13" s="8"/>
      <c r="F13" s="12" t="str">
        <f>IF(inp_group&lt;&gt;"はい","非通算法人",IF(cfg_f2_input_valid,"付表二を計算・整合OK","要確認：付表二21・23欄の控除前合計額"))</f>
        <v>非通算法人</v>
      </c>
      <c r="G13" s="12"/>
      <c r="H13" s="12"/>
    </row>
    <row r="14" spans="1:8">
      <c r="A14" s="8" t="s">
        <v>381</v>
      </c>
      <c r="B14" s="8"/>
      <c r="C14" s="8"/>
      <c r="D14" s="8"/>
      <c r="E14" s="8"/>
      <c r="F14" s="12" t="str">
        <f>IF(AND(inp_months&gt;=1,inp_months&lt;=12),"OK："&amp;inp_months&amp;"か月","要確認")</f>
        <v>OK：12か月</v>
      </c>
      <c r="G14" s="12"/>
      <c r="H14" s="12"/>
    </row>
    <row r="15" spans="1:8">
      <c r="A15" s="5"/>
      <c r="B15" s="5"/>
      <c r="C15" s="5"/>
      <c r="D15" s="5"/>
      <c r="E15" s="5"/>
      <c r="F15" s="5"/>
      <c r="G15" s="5"/>
      <c r="H15" s="5"/>
    </row>
    <row r="16" spans="1:8" ht="22.95" customHeight="1">
      <c r="A16" s="42" t="s">
        <v>382</v>
      </c>
      <c r="B16" s="42"/>
      <c r="C16" s="42"/>
      <c r="D16" s="42"/>
      <c r="E16" s="42"/>
      <c r="F16" s="42"/>
      <c r="G16" s="42"/>
      <c r="H16" s="42"/>
    </row>
    <row r="17" spans="1:8" ht="28.05" customHeight="1">
      <c r="A17" s="32" t="s">
        <v>383</v>
      </c>
      <c r="B17" s="32"/>
      <c r="C17" s="32"/>
      <c r="D17" s="32"/>
      <c r="E17" s="32"/>
      <c r="F17" s="32"/>
      <c r="G17" s="32"/>
      <c r="H17" s="32"/>
    </row>
    <row r="18" spans="1:8" ht="28.05" customHeight="1">
      <c r="A18" s="32" t="s">
        <v>384</v>
      </c>
      <c r="B18" s="32"/>
      <c r="C18" s="32"/>
      <c r="D18" s="32"/>
      <c r="E18" s="32"/>
      <c r="F18" s="32"/>
      <c r="G18" s="32"/>
      <c r="H18" s="32"/>
    </row>
    <row r="19" spans="1:8" ht="28.05" customHeight="1">
      <c r="A19" s="32" t="s">
        <v>385</v>
      </c>
      <c r="B19" s="32"/>
      <c r="C19" s="32"/>
      <c r="D19" s="32"/>
      <c r="E19" s="32"/>
      <c r="F19" s="32"/>
      <c r="G19" s="32"/>
      <c r="H19" s="32"/>
    </row>
    <row r="20" spans="1:8" ht="28.05" customHeight="1">
      <c r="A20" s="32" t="s">
        <v>386</v>
      </c>
      <c r="B20" s="32"/>
      <c r="C20" s="32"/>
      <c r="D20" s="32"/>
      <c r="E20" s="32"/>
      <c r="F20" s="32"/>
      <c r="G20" s="32"/>
      <c r="H20" s="32"/>
    </row>
    <row r="21" spans="1:8">
      <c r="A21" s="5"/>
      <c r="B21" s="5"/>
      <c r="C21" s="5"/>
      <c r="D21" s="5"/>
      <c r="E21" s="5"/>
      <c r="F21" s="5"/>
      <c r="G21" s="5"/>
      <c r="H21" s="5"/>
    </row>
    <row r="22" spans="1:8">
      <c r="A22" s="43" t="s">
        <v>387</v>
      </c>
      <c r="B22" s="32"/>
      <c r="C22" s="32"/>
      <c r="D22" s="32"/>
      <c r="E22" s="32"/>
      <c r="F22" s="32"/>
      <c r="G22" s="32"/>
      <c r="H22" s="32"/>
    </row>
    <row r="23" spans="1:8">
      <c r="A23" s="32"/>
      <c r="B23" s="32"/>
      <c r="C23" s="32"/>
      <c r="D23" s="32"/>
      <c r="E23" s="32"/>
      <c r="F23" s="32"/>
      <c r="G23" s="32"/>
      <c r="H23" s="32"/>
    </row>
    <row r="24" spans="1:8">
      <c r="A24" s="5"/>
      <c r="B24" s="5"/>
      <c r="C24" s="5"/>
      <c r="D24" s="5"/>
      <c r="E24" s="5"/>
      <c r="F24" s="5"/>
      <c r="G24" s="5"/>
      <c r="H24" s="5"/>
    </row>
    <row r="25" spans="1:8" ht="22.95" customHeight="1">
      <c r="A25" s="42" t="s">
        <v>388</v>
      </c>
      <c r="B25" s="42"/>
      <c r="C25" s="42"/>
      <c r="D25" s="42"/>
      <c r="E25" s="42"/>
      <c r="F25" s="42"/>
      <c r="G25" s="42"/>
      <c r="H25" s="42"/>
    </row>
    <row r="26" spans="1:8">
      <c r="A26" s="44" t="s">
        <v>389</v>
      </c>
      <c r="B26" s="44" t="s">
        <v>390</v>
      </c>
      <c r="C26" s="44" t="s">
        <v>391</v>
      </c>
      <c r="D26" s="44" t="s">
        <v>392</v>
      </c>
      <c r="E26" s="44" t="s">
        <v>393</v>
      </c>
      <c r="F26" s="44" t="s">
        <v>394</v>
      </c>
      <c r="G26" s="44" t="s">
        <v>395</v>
      </c>
      <c r="H26" s="5"/>
    </row>
    <row r="27" spans="1:8">
      <c r="A27" s="5"/>
      <c r="B27" s="5"/>
      <c r="C27" s="5"/>
      <c r="D27" s="5"/>
      <c r="E27" s="5"/>
      <c r="F27" s="5"/>
      <c r="G27" s="5"/>
      <c r="H27" s="5"/>
    </row>
    <row r="28" spans="1:8">
      <c r="A28" s="5"/>
      <c r="B28" s="5"/>
      <c r="C28" s="5"/>
      <c r="D28" s="5"/>
      <c r="E28" s="5"/>
      <c r="F28" s="5"/>
      <c r="G28" s="5"/>
      <c r="H28" s="5"/>
    </row>
    <row r="29" spans="1:8">
      <c r="A29" s="5"/>
      <c r="B29" s="5"/>
      <c r="C29" s="5"/>
      <c r="D29" s="5"/>
      <c r="E29" s="5"/>
      <c r="F29" s="5"/>
      <c r="G29" s="5"/>
      <c r="H29" s="5"/>
    </row>
    <row r="30" spans="1:8">
      <c r="A30" s="5"/>
      <c r="B30" s="5"/>
      <c r="C30" s="5"/>
      <c r="D30" s="5"/>
      <c r="E30" s="5"/>
      <c r="F30" s="5"/>
      <c r="G30" s="5"/>
      <c r="H30" s="5"/>
    </row>
    <row r="31" spans="1:8">
      <c r="A31" s="5"/>
      <c r="B31" s="5"/>
      <c r="C31" s="5"/>
      <c r="D31" s="5"/>
      <c r="E31" s="5"/>
      <c r="F31" s="5"/>
      <c r="G31" s="5"/>
      <c r="H31" s="5"/>
    </row>
    <row r="32" spans="1:8">
      <c r="A32" s="5"/>
      <c r="B32" s="5"/>
      <c r="C32" s="5"/>
      <c r="D32" s="5"/>
      <c r="E32" s="5"/>
      <c r="F32" s="5"/>
      <c r="G32" s="5"/>
      <c r="H32" s="5"/>
    </row>
    <row r="33" spans="1:8">
      <c r="A33" s="5"/>
      <c r="B33" s="5"/>
      <c r="C33" s="5"/>
      <c r="D33" s="5"/>
      <c r="E33" s="5"/>
      <c r="F33" s="5"/>
      <c r="G33" s="5"/>
      <c r="H33" s="5"/>
    </row>
    <row r="34" spans="1:8">
      <c r="A34" s="5"/>
      <c r="B34" s="5"/>
      <c r="C34" s="5"/>
      <c r="D34" s="5"/>
      <c r="E34" s="5"/>
      <c r="F34" s="5"/>
      <c r="G34" s="5"/>
      <c r="H34" s="5"/>
    </row>
    <row r="35" spans="1:8">
      <c r="A35" s="5"/>
      <c r="B35" s="5"/>
      <c r="C35" s="5"/>
      <c r="D35" s="5"/>
      <c r="E35" s="5"/>
      <c r="F35" s="5"/>
      <c r="G35" s="5"/>
      <c r="H35" s="5"/>
    </row>
    <row r="36" spans="1:8">
      <c r="A36" s="5"/>
      <c r="B36" s="5"/>
      <c r="C36" s="5"/>
      <c r="D36" s="5"/>
      <c r="E36" s="5"/>
      <c r="F36" s="5"/>
      <c r="G36" s="5"/>
      <c r="H36" s="5"/>
    </row>
    <row r="37" spans="1:8">
      <c r="A37" s="5"/>
      <c r="B37" s="5"/>
      <c r="C37" s="5"/>
      <c r="D37" s="5"/>
      <c r="E37" s="5"/>
      <c r="F37" s="5"/>
      <c r="G37" s="5"/>
      <c r="H37" s="5"/>
    </row>
    <row r="38" spans="1:8">
      <c r="A38" s="5"/>
      <c r="B38" s="5"/>
      <c r="C38" s="5"/>
      <c r="D38" s="5"/>
      <c r="E38" s="5"/>
      <c r="F38" s="5"/>
      <c r="G38" s="5"/>
      <c r="H38" s="5"/>
    </row>
    <row r="39" spans="1:8">
      <c r="A39" s="5"/>
      <c r="B39" s="5"/>
      <c r="C39" s="5"/>
      <c r="D39" s="5"/>
      <c r="E39" s="5"/>
      <c r="F39" s="5"/>
      <c r="G39" s="5"/>
      <c r="H39" s="5"/>
    </row>
    <row r="40" spans="1:8">
      <c r="A40" s="5"/>
      <c r="B40" s="5"/>
      <c r="C40" s="5"/>
      <c r="D40" s="5"/>
      <c r="E40" s="5"/>
      <c r="F40" s="5"/>
      <c r="G40" s="5"/>
      <c r="H40" s="5"/>
    </row>
  </sheetData>
  <sheetProtection sheet="1" objects="1" scenarios="1"/>
  <mergeCells count="27">
    <mergeCell ref="A25:H25"/>
    <mergeCell ref="A16:H16"/>
    <mergeCell ref="A17:H17"/>
    <mergeCell ref="A18:H18"/>
    <mergeCell ref="A19:H19"/>
    <mergeCell ref="A20:H20"/>
    <mergeCell ref="A22:H23"/>
    <mergeCell ref="A12:E12"/>
    <mergeCell ref="F12:H12"/>
    <mergeCell ref="A13:E13"/>
    <mergeCell ref="F13:H13"/>
    <mergeCell ref="A14:E14"/>
    <mergeCell ref="F14:H14"/>
    <mergeCell ref="A7:E7"/>
    <mergeCell ref="F7:H7"/>
    <mergeCell ref="A8:E8"/>
    <mergeCell ref="F8:H8"/>
    <mergeCell ref="A10:H10"/>
    <mergeCell ref="A11:E11"/>
    <mergeCell ref="F11:H11"/>
    <mergeCell ref="A1:H1"/>
    <mergeCell ref="A2:H2"/>
    <mergeCell ref="A4:H4"/>
    <mergeCell ref="A5:E5"/>
    <mergeCell ref="F5:H5"/>
    <mergeCell ref="A6:E6"/>
    <mergeCell ref="F6:H6"/>
  </mergeCells>
  <phoneticPr fontId="2"/>
  <hyperlinks>
    <hyperlink ref="A26" location="'入力'!A1" display="入力" xr:uid="{1CA9F8AB-4CBC-409B-B068-B2068D061420}"/>
    <hyperlink ref="B26" location="'別表三一_計算'!A1" display="主表計算" xr:uid="{4602771D-8DBF-42DA-A9D4-2312EF6C874F}"/>
    <hyperlink ref="C26" location="'付表一_計算'!A1" display="付表一_計算" xr:uid="{2B136ACD-43E8-43C1-B12C-6CCFEDA569B5}"/>
    <hyperlink ref="D26" location="'付表二_計算'!A1" display="付表二計算" xr:uid="{A088D3A6-E516-49D3-88BA-B9FB3AE6F16D}"/>
    <hyperlink ref="E26" location="'別表三(一)'!A1" display="公式様式" xr:uid="{A29BC7DF-A399-4D08-8B4C-EB16F77F49E1}"/>
    <hyperlink ref="F26" location="'検算'!A1" display="検算" xr:uid="{B6F49956-AC32-46D8-AD8A-FC8115A95631}"/>
    <hyperlink ref="G26" location="'根拠・出典'!A1" display="根拠・出典" xr:uid="{23E45467-E7FE-44B3-94D1-3E02A1C548B8}"/>
  </hyperlinks>
  <pageMargins left="0.7" right="0.7" top="0.75" bottom="0.75" header="0.3" footer="0.3"/>
  <pageSetup paperSize="9" fitToHeight="99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0E7DC-D44F-44F0-AB6C-2CF3BE0B9E5F}">
  <sheetPr>
    <tabColor rgb="FFFFF2CC"/>
    <pageSetUpPr fitToPage="1"/>
  </sheetPr>
  <dimension ref="A1:H81"/>
  <sheetViews>
    <sheetView showGridLines="0" zoomScale="90" zoomScaleNormal="90" workbookViewId="0">
      <pane ySplit="13" topLeftCell="A14" activePane="bottomLeft" state="frozenSplit"/>
      <selection pane="bottomLeft" sqref="A1:H1"/>
    </sheetView>
  </sheetViews>
  <sheetFormatPr defaultRowHeight="18"/>
  <cols>
    <col min="1" max="1" width="29.69921875" customWidth="1"/>
    <col min="2" max="2" width="32.69921875" customWidth="1"/>
    <col min="3" max="3" width="48.69921875" customWidth="1"/>
    <col min="4" max="4" width="19.69921875" customWidth="1"/>
    <col min="5" max="5" width="29.69921875" customWidth="1"/>
    <col min="6" max="6" width="18.69921875" customWidth="1"/>
    <col min="7" max="7" width="14.69921875" customWidth="1"/>
    <col min="8" max="8" width="16.69921875" customWidth="1"/>
  </cols>
  <sheetData>
    <row r="1" spans="1:8" ht="26.4">
      <c r="A1" s="20" t="s">
        <v>0</v>
      </c>
      <c r="B1" s="21"/>
      <c r="C1" s="21"/>
      <c r="D1" s="21"/>
      <c r="E1" s="21"/>
      <c r="F1" s="21"/>
      <c r="G1" s="21"/>
      <c r="H1" s="21"/>
    </row>
    <row r="2" spans="1:8">
      <c r="A2" s="22" t="s">
        <v>1</v>
      </c>
      <c r="B2" s="21"/>
      <c r="C2" s="21"/>
      <c r="D2" s="21"/>
      <c r="E2" s="21"/>
      <c r="F2" s="21"/>
      <c r="G2" s="21"/>
      <c r="H2" s="21"/>
    </row>
    <row r="3" spans="1:8">
      <c r="A3" s="23"/>
      <c r="B3" s="23"/>
      <c r="C3" s="23"/>
      <c r="D3" s="23"/>
      <c r="E3" s="23"/>
      <c r="F3" s="23"/>
      <c r="G3" s="23"/>
      <c r="H3" s="23"/>
    </row>
    <row r="4" spans="1:8" ht="22.95" customHeight="1">
      <c r="A4" s="6" t="s">
        <v>9</v>
      </c>
      <c r="B4" s="6"/>
      <c r="C4" s="6"/>
      <c r="D4" s="6"/>
      <c r="E4" s="6"/>
      <c r="F4" s="7" t="s">
        <v>10</v>
      </c>
      <c r="G4" s="8"/>
      <c r="H4" s="8"/>
    </row>
    <row r="5" spans="1:8">
      <c r="A5" s="8" t="s">
        <v>2</v>
      </c>
      <c r="B5" s="8"/>
      <c r="C5" s="8"/>
      <c r="D5" s="54"/>
      <c r="E5" s="9"/>
      <c r="F5" s="8" t="s">
        <v>11</v>
      </c>
      <c r="G5" s="8"/>
      <c r="H5" s="10" t="b">
        <f>AND(inp_start&gt;=DATE(2022,4,1),inp_end&gt;=DATE(2022,4,1),inp_end&lt;DATE(2023,4,1))</f>
        <v>1</v>
      </c>
    </row>
    <row r="6" spans="1:8">
      <c r="A6" s="8" t="s">
        <v>3</v>
      </c>
      <c r="B6" s="8"/>
      <c r="C6" s="8"/>
      <c r="D6" s="55">
        <v>44652</v>
      </c>
      <c r="E6" s="9"/>
      <c r="F6" s="8" t="s">
        <v>12</v>
      </c>
      <c r="G6" s="8"/>
      <c r="H6" s="11">
        <f>10.4%</f>
        <v>0.10400000000000001</v>
      </c>
    </row>
    <row r="7" spans="1:8">
      <c r="A7" s="8" t="s">
        <v>4</v>
      </c>
      <c r="B7" s="8"/>
      <c r="C7" s="8"/>
      <c r="D7" s="55">
        <v>45016</v>
      </c>
      <c r="E7" s="9"/>
      <c r="F7" s="8" t="s">
        <v>13</v>
      </c>
      <c r="G7" s="8"/>
      <c r="H7" s="11">
        <f>40%</f>
        <v>0.4</v>
      </c>
    </row>
    <row r="8" spans="1:8">
      <c r="A8" s="8" t="s">
        <v>5</v>
      </c>
      <c r="B8" s="8"/>
      <c r="C8" s="8"/>
      <c r="D8" s="15">
        <f>IF(OR(D6="",D7="",D7&lt;D6),"",MAX(1,MIN(12,1+--(D7&gt;IF(DAY(EDATE(D6,1))&lt;DAY(D6),EDATE(D6,1),EDATE(D6,1)-1))+--(D7&gt;IF(DAY(EDATE(D6,2))&lt;DAY(D6),EDATE(D6,2),EDATE(D6,2)-1))+--(D7&gt;IF(DAY(EDATE(D6,3))&lt;DAY(D6),EDATE(D6,3),EDATE(D6,3)-1))+--(D7&gt;IF(DAY(EDATE(D6,4))&lt;DAY(D6),EDATE(D6,4),EDATE(D6,4)-1))+--(D7&gt;IF(DAY(EDATE(D6,5))&lt;DAY(D6),EDATE(D6,5),EDATE(D6,5)-1))+--(D7&gt;IF(DAY(EDATE(D6,6))&lt;DAY(D6),EDATE(D6,6),EDATE(D6,6)-1))+--(D7&gt;IF(DAY(EDATE(D6,7))&lt;DAY(D6),EDATE(D6,7),EDATE(D6,7)-1))+--(D7&gt;IF(DAY(EDATE(D6,8))&lt;DAY(D6),EDATE(D6,8),EDATE(D6,8)-1))+--(D7&gt;IF(DAY(EDATE(D6,9))&lt;DAY(D6),EDATE(D6,9),EDATE(D6,9)-1))+--(D7&gt;IF(DAY(EDATE(D6,10))&lt;DAY(D6),EDATE(D6,10),EDATE(D6,10)-1))+--(D7&gt;IF(DAY(EDATE(D6,11))&lt;DAY(D6),EDATE(D6,11),EDATE(D6,11)-1)))))</f>
        <v>12</v>
      </c>
      <c r="E8" s="9"/>
      <c r="F8" s="12" t="s">
        <v>14</v>
      </c>
      <c r="G8" s="12"/>
      <c r="H8" s="12"/>
    </row>
    <row r="9" spans="1:8">
      <c r="A9" s="8" t="s">
        <v>6</v>
      </c>
      <c r="B9" s="8"/>
      <c r="C9" s="8"/>
      <c r="D9" s="54" t="s">
        <v>438</v>
      </c>
      <c r="E9" s="9"/>
      <c r="F9" s="12"/>
      <c r="G9" s="12"/>
      <c r="H9" s="12"/>
    </row>
    <row r="10" spans="1:8">
      <c r="A10" s="8" t="s">
        <v>7</v>
      </c>
      <c r="B10" s="8"/>
      <c r="C10" s="8"/>
      <c r="D10" s="54" t="s">
        <v>437</v>
      </c>
      <c r="E10" s="9"/>
      <c r="F10" s="12"/>
      <c r="G10" s="12"/>
      <c r="H10" s="12"/>
    </row>
    <row r="11" spans="1:8">
      <c r="A11" s="8" t="s">
        <v>8</v>
      </c>
      <c r="B11" s="8"/>
      <c r="C11" s="8"/>
      <c r="D11" s="54" t="s">
        <v>439</v>
      </c>
      <c r="E11" s="9"/>
      <c r="F11" s="33" t="s">
        <v>369</v>
      </c>
      <c r="G11" s="34"/>
      <c r="H11" s="35" t="b">
        <f>AND(inp_f2_21&gt;=f2_20,inp_f2_23&gt;=f2_22,f2_24&gt;=0,f2_24&lt;=1)</f>
        <v>1</v>
      </c>
    </row>
    <row r="12" spans="1:8">
      <c r="A12" s="23"/>
      <c r="B12" s="23"/>
      <c r="C12" s="23"/>
      <c r="D12" s="16"/>
      <c r="E12" s="23"/>
      <c r="F12" s="36" t="str">
        <f>IF(H11,"付表二の控除前合計額と割合は整合","要確認：付表二21・23欄の控除前合計額")</f>
        <v>付表二の控除前合計額と割合は整合</v>
      </c>
      <c r="G12" s="37"/>
      <c r="H12" s="37"/>
    </row>
    <row r="13" spans="1:8" ht="22.95" customHeight="1">
      <c r="A13" s="6" t="s">
        <v>15</v>
      </c>
      <c r="B13" s="6"/>
      <c r="C13" s="6"/>
      <c r="D13" s="17"/>
      <c r="E13" s="6"/>
      <c r="F13" s="23"/>
      <c r="G13" s="23"/>
      <c r="H13" s="23"/>
    </row>
    <row r="14" spans="1:8">
      <c r="A14" s="13" t="s">
        <v>16</v>
      </c>
      <c r="B14" s="13" t="s">
        <v>17</v>
      </c>
      <c r="C14" s="13" t="s">
        <v>18</v>
      </c>
      <c r="D14" s="18" t="s">
        <v>19</v>
      </c>
      <c r="E14" s="13" t="s">
        <v>20</v>
      </c>
      <c r="F14" s="23"/>
      <c r="G14" s="23"/>
      <c r="H14" s="23"/>
    </row>
    <row r="15" spans="1:8" ht="31.95" customHeight="1">
      <c r="A15" s="9" t="s">
        <v>21</v>
      </c>
      <c r="B15" s="14" t="s">
        <v>22</v>
      </c>
      <c r="C15" s="14" t="s">
        <v>23</v>
      </c>
      <c r="D15" s="53">
        <v>0</v>
      </c>
      <c r="E15" s="14" t="s">
        <v>24</v>
      </c>
      <c r="F15" s="23"/>
      <c r="G15" s="23"/>
      <c r="H15" s="23"/>
    </row>
    <row r="16" spans="1:8" ht="31.95" customHeight="1">
      <c r="A16" s="9" t="s">
        <v>25</v>
      </c>
      <c r="B16" s="14" t="s">
        <v>26</v>
      </c>
      <c r="C16" s="14" t="s">
        <v>27</v>
      </c>
      <c r="D16" s="53">
        <v>0</v>
      </c>
      <c r="E16" s="14" t="s">
        <v>28</v>
      </c>
      <c r="F16" s="23"/>
      <c r="G16" s="23"/>
      <c r="H16" s="23"/>
    </row>
    <row r="17" spans="1:8" ht="31.95" customHeight="1">
      <c r="A17" s="9" t="s">
        <v>29</v>
      </c>
      <c r="B17" s="14" t="s">
        <v>30</v>
      </c>
      <c r="C17" s="14" t="s">
        <v>31</v>
      </c>
      <c r="D17" s="53">
        <v>0</v>
      </c>
      <c r="E17" s="14" t="s">
        <v>32</v>
      </c>
      <c r="F17" s="23"/>
      <c r="G17" s="23"/>
      <c r="H17" s="23"/>
    </row>
    <row r="18" spans="1:8" ht="31.95" customHeight="1">
      <c r="A18" s="9" t="s">
        <v>33</v>
      </c>
      <c r="B18" s="14" t="s">
        <v>34</v>
      </c>
      <c r="C18" s="14" t="s">
        <v>35</v>
      </c>
      <c r="D18" s="53">
        <v>0</v>
      </c>
      <c r="E18" s="14"/>
      <c r="F18" s="23"/>
      <c r="G18" s="23"/>
      <c r="H18" s="23"/>
    </row>
    <row r="19" spans="1:8" ht="31.95" customHeight="1">
      <c r="A19" s="9" t="s">
        <v>36</v>
      </c>
      <c r="B19" s="14" t="s">
        <v>37</v>
      </c>
      <c r="C19" s="14" t="s">
        <v>38</v>
      </c>
      <c r="D19" s="53">
        <v>0</v>
      </c>
      <c r="E19" s="14"/>
      <c r="F19" s="23"/>
      <c r="G19" s="23"/>
      <c r="H19" s="23"/>
    </row>
    <row r="20" spans="1:8" ht="31.95" customHeight="1">
      <c r="A20" s="9" t="s">
        <v>39</v>
      </c>
      <c r="B20" s="14" t="s">
        <v>40</v>
      </c>
      <c r="C20" s="14" t="s">
        <v>41</v>
      </c>
      <c r="D20" s="53">
        <v>0</v>
      </c>
      <c r="E20" s="14"/>
      <c r="F20" s="23"/>
      <c r="G20" s="23"/>
      <c r="H20" s="23"/>
    </row>
    <row r="21" spans="1:8" ht="31.95" customHeight="1">
      <c r="A21" s="9" t="s">
        <v>42</v>
      </c>
      <c r="B21" s="14" t="s">
        <v>43</v>
      </c>
      <c r="C21" s="14" t="s">
        <v>44</v>
      </c>
      <c r="D21" s="53">
        <v>0</v>
      </c>
      <c r="E21" s="14"/>
      <c r="F21" s="23"/>
      <c r="G21" s="23"/>
      <c r="H21" s="23"/>
    </row>
    <row r="22" spans="1:8" ht="31.95" customHeight="1">
      <c r="A22" s="9" t="s">
        <v>45</v>
      </c>
      <c r="B22" s="14" t="s">
        <v>46</v>
      </c>
      <c r="C22" s="14" t="s">
        <v>47</v>
      </c>
      <c r="D22" s="53">
        <v>0</v>
      </c>
      <c r="E22" s="14"/>
      <c r="F22" s="23"/>
      <c r="G22" s="23"/>
      <c r="H22" s="23"/>
    </row>
    <row r="23" spans="1:8" ht="31.95" customHeight="1">
      <c r="A23" s="9" t="s">
        <v>48</v>
      </c>
      <c r="B23" s="14" t="s">
        <v>49</v>
      </c>
      <c r="C23" s="14" t="s">
        <v>50</v>
      </c>
      <c r="D23" s="53">
        <v>0</v>
      </c>
      <c r="E23" s="14"/>
      <c r="F23" s="23"/>
      <c r="G23" s="23"/>
      <c r="H23" s="23"/>
    </row>
    <row r="24" spans="1:8" ht="31.95" customHeight="1">
      <c r="A24" s="9" t="s">
        <v>51</v>
      </c>
      <c r="B24" s="14" t="s">
        <v>52</v>
      </c>
      <c r="C24" s="14" t="s">
        <v>53</v>
      </c>
      <c r="D24" s="53">
        <v>0</v>
      </c>
      <c r="E24" s="14"/>
      <c r="F24" s="23"/>
      <c r="G24" s="23"/>
      <c r="H24" s="23"/>
    </row>
    <row r="25" spans="1:8" ht="31.95" customHeight="1">
      <c r="A25" s="9" t="s">
        <v>54</v>
      </c>
      <c r="B25" s="14" t="s">
        <v>55</v>
      </c>
      <c r="C25" s="14" t="s">
        <v>56</v>
      </c>
      <c r="D25" s="53">
        <v>0</v>
      </c>
      <c r="E25" s="14"/>
      <c r="F25" s="23"/>
      <c r="G25" s="23"/>
      <c r="H25" s="23"/>
    </row>
    <row r="26" spans="1:8" ht="31.95" customHeight="1">
      <c r="A26" s="9" t="s">
        <v>57</v>
      </c>
      <c r="B26" s="14" t="s">
        <v>58</v>
      </c>
      <c r="C26" s="14" t="s">
        <v>59</v>
      </c>
      <c r="D26" s="53">
        <v>0</v>
      </c>
      <c r="E26" s="14"/>
      <c r="F26" s="23"/>
      <c r="G26" s="23"/>
      <c r="H26" s="23"/>
    </row>
    <row r="27" spans="1:8" ht="31.95" customHeight="1">
      <c r="A27" s="9" t="s">
        <v>60</v>
      </c>
      <c r="B27" s="14" t="s">
        <v>61</v>
      </c>
      <c r="C27" s="14" t="s">
        <v>62</v>
      </c>
      <c r="D27" s="53">
        <v>0</v>
      </c>
      <c r="E27" s="14"/>
      <c r="F27" s="23"/>
      <c r="G27" s="23"/>
      <c r="H27" s="23"/>
    </row>
    <row r="28" spans="1:8" ht="31.95" customHeight="1">
      <c r="A28" s="9" t="s">
        <v>63</v>
      </c>
      <c r="B28" s="14" t="s">
        <v>64</v>
      </c>
      <c r="C28" s="14" t="s">
        <v>65</v>
      </c>
      <c r="D28" s="53">
        <v>0</v>
      </c>
      <c r="E28" s="14"/>
      <c r="F28" s="23"/>
      <c r="G28" s="23"/>
      <c r="H28" s="23"/>
    </row>
    <row r="29" spans="1:8" ht="31.95" customHeight="1">
      <c r="A29" s="9" t="s">
        <v>66</v>
      </c>
      <c r="B29" s="14" t="s">
        <v>67</v>
      </c>
      <c r="C29" s="14" t="s">
        <v>68</v>
      </c>
      <c r="D29" s="53">
        <v>0</v>
      </c>
      <c r="E29" s="14"/>
      <c r="F29" s="23"/>
      <c r="G29" s="23"/>
      <c r="H29" s="23"/>
    </row>
    <row r="30" spans="1:8" ht="31.95" customHeight="1">
      <c r="A30" s="9" t="s">
        <v>69</v>
      </c>
      <c r="B30" s="14" t="s">
        <v>70</v>
      </c>
      <c r="C30" s="14" t="s">
        <v>71</v>
      </c>
      <c r="D30" s="53">
        <v>0</v>
      </c>
      <c r="E30" s="14"/>
      <c r="F30" s="23"/>
      <c r="G30" s="23"/>
      <c r="H30" s="23"/>
    </row>
    <row r="31" spans="1:8" ht="31.95" customHeight="1">
      <c r="A31" s="9" t="s">
        <v>72</v>
      </c>
      <c r="B31" s="14" t="s">
        <v>73</v>
      </c>
      <c r="C31" s="14" t="s">
        <v>74</v>
      </c>
      <c r="D31" s="53">
        <v>0</v>
      </c>
      <c r="E31" s="14"/>
      <c r="F31" s="23"/>
      <c r="G31" s="23"/>
      <c r="H31" s="23"/>
    </row>
    <row r="32" spans="1:8" ht="31.95" customHeight="1">
      <c r="A32" s="9" t="s">
        <v>75</v>
      </c>
      <c r="B32" s="14" t="s">
        <v>76</v>
      </c>
      <c r="C32" s="14" t="s">
        <v>77</v>
      </c>
      <c r="D32" s="53">
        <v>0</v>
      </c>
      <c r="E32" s="14"/>
      <c r="F32" s="23"/>
      <c r="G32" s="23"/>
      <c r="H32" s="23"/>
    </row>
    <row r="33" spans="1:8" ht="31.95" customHeight="1">
      <c r="A33" s="9" t="s">
        <v>78</v>
      </c>
      <c r="B33" s="14" t="s">
        <v>79</v>
      </c>
      <c r="C33" s="14" t="s">
        <v>80</v>
      </c>
      <c r="D33" s="53">
        <v>0</v>
      </c>
      <c r="E33" s="14"/>
      <c r="F33" s="23"/>
      <c r="G33" s="23"/>
      <c r="H33" s="23"/>
    </row>
    <row r="34" spans="1:8" ht="31.95" customHeight="1">
      <c r="A34" s="9" t="s">
        <v>81</v>
      </c>
      <c r="B34" s="14" t="s">
        <v>82</v>
      </c>
      <c r="C34" s="14" t="s">
        <v>83</v>
      </c>
      <c r="D34" s="53">
        <v>0</v>
      </c>
      <c r="E34" s="14"/>
      <c r="F34" s="23"/>
      <c r="G34" s="23"/>
      <c r="H34" s="23"/>
    </row>
    <row r="35" spans="1:8" ht="31.95" customHeight="1">
      <c r="A35" s="9" t="s">
        <v>84</v>
      </c>
      <c r="B35" s="14" t="s">
        <v>85</v>
      </c>
      <c r="C35" s="14" t="s">
        <v>86</v>
      </c>
      <c r="D35" s="53">
        <v>0</v>
      </c>
      <c r="E35" s="14"/>
      <c r="F35" s="23"/>
      <c r="G35" s="23"/>
      <c r="H35" s="23"/>
    </row>
    <row r="36" spans="1:8" ht="31.95" customHeight="1">
      <c r="A36" s="9" t="s">
        <v>87</v>
      </c>
      <c r="B36" s="14" t="s">
        <v>85</v>
      </c>
      <c r="C36" s="14" t="s">
        <v>88</v>
      </c>
      <c r="D36" s="53">
        <v>0</v>
      </c>
      <c r="E36" s="14"/>
      <c r="F36" s="23"/>
      <c r="G36" s="23"/>
      <c r="H36" s="23"/>
    </row>
    <row r="37" spans="1:8" ht="31.95" customHeight="1">
      <c r="A37" s="9" t="s">
        <v>89</v>
      </c>
      <c r="B37" s="14" t="s">
        <v>90</v>
      </c>
      <c r="C37" s="14" t="s">
        <v>91</v>
      </c>
      <c r="D37" s="53">
        <v>0</v>
      </c>
      <c r="E37" s="14"/>
      <c r="F37" s="23"/>
      <c r="G37" s="23"/>
      <c r="H37" s="23"/>
    </row>
    <row r="38" spans="1:8" ht="31.95" customHeight="1">
      <c r="A38" s="9" t="s">
        <v>92</v>
      </c>
      <c r="B38" s="14" t="s">
        <v>93</v>
      </c>
      <c r="C38" s="14" t="s">
        <v>94</v>
      </c>
      <c r="D38" s="53">
        <v>0</v>
      </c>
      <c r="E38" s="14" t="s">
        <v>95</v>
      </c>
      <c r="F38" s="23"/>
      <c r="G38" s="23"/>
      <c r="H38" s="23"/>
    </row>
    <row r="39" spans="1:8" ht="31.95" customHeight="1">
      <c r="A39" s="9" t="s">
        <v>96</v>
      </c>
      <c r="B39" s="14" t="s">
        <v>97</v>
      </c>
      <c r="C39" s="14" t="s">
        <v>98</v>
      </c>
      <c r="D39" s="53">
        <v>0</v>
      </c>
      <c r="E39" s="14"/>
      <c r="F39" s="23"/>
      <c r="G39" s="23"/>
      <c r="H39" s="23"/>
    </row>
    <row r="40" spans="1:8">
      <c r="A40" s="9"/>
      <c r="B40" s="9"/>
      <c r="C40" s="9"/>
      <c r="D40" s="19"/>
      <c r="E40" s="9"/>
      <c r="F40" s="23"/>
      <c r="G40" s="23"/>
      <c r="H40" s="23"/>
    </row>
    <row r="41" spans="1:8" ht="22.95" customHeight="1">
      <c r="A41" s="6" t="s">
        <v>99</v>
      </c>
      <c r="B41" s="6"/>
      <c r="C41" s="6"/>
      <c r="D41" s="17"/>
      <c r="E41" s="6"/>
      <c r="F41" s="23"/>
      <c r="G41" s="23"/>
      <c r="H41" s="23"/>
    </row>
    <row r="42" spans="1:8">
      <c r="A42" s="13" t="s">
        <v>16</v>
      </c>
      <c r="B42" s="13" t="s">
        <v>17</v>
      </c>
      <c r="C42" s="13" t="s">
        <v>18</v>
      </c>
      <c r="D42" s="18" t="s">
        <v>19</v>
      </c>
      <c r="E42" s="13" t="s">
        <v>20</v>
      </c>
      <c r="F42" s="23"/>
      <c r="G42" s="23"/>
      <c r="H42" s="23"/>
    </row>
    <row r="43" spans="1:8" ht="31.95" customHeight="1">
      <c r="A43" s="9" t="s">
        <v>100</v>
      </c>
      <c r="B43" s="14" t="s">
        <v>101</v>
      </c>
      <c r="C43" s="14" t="s">
        <v>102</v>
      </c>
      <c r="D43" s="53">
        <v>0</v>
      </c>
      <c r="E43" s="14"/>
      <c r="F43" s="23"/>
      <c r="G43" s="23"/>
      <c r="H43" s="23"/>
    </row>
    <row r="44" spans="1:8" ht="31.95" customHeight="1">
      <c r="A44" s="9" t="s">
        <v>103</v>
      </c>
      <c r="B44" s="14" t="s">
        <v>104</v>
      </c>
      <c r="C44" s="14" t="s">
        <v>105</v>
      </c>
      <c r="D44" s="53">
        <v>0</v>
      </c>
      <c r="E44" s="14" t="s">
        <v>106</v>
      </c>
      <c r="F44" s="23"/>
      <c r="G44" s="23"/>
      <c r="H44" s="23"/>
    </row>
    <row r="45" spans="1:8" ht="31.95" customHeight="1">
      <c r="A45" s="9" t="s">
        <v>107</v>
      </c>
      <c r="B45" s="14" t="s">
        <v>108</v>
      </c>
      <c r="C45" s="14" t="s">
        <v>109</v>
      </c>
      <c r="D45" s="53">
        <v>0</v>
      </c>
      <c r="E45" s="14"/>
      <c r="F45" s="23"/>
      <c r="G45" s="23"/>
      <c r="H45" s="23"/>
    </row>
    <row r="46" spans="1:8" ht="31.95" customHeight="1">
      <c r="A46" s="9" t="s">
        <v>110</v>
      </c>
      <c r="B46" s="14" t="s">
        <v>111</v>
      </c>
      <c r="C46" s="14" t="s">
        <v>112</v>
      </c>
      <c r="D46" s="53">
        <v>0</v>
      </c>
      <c r="E46" s="14"/>
      <c r="F46" s="23"/>
      <c r="G46" s="23"/>
      <c r="H46" s="23"/>
    </row>
    <row r="47" spans="1:8" ht="31.95" customHeight="1">
      <c r="A47" s="9" t="s">
        <v>113</v>
      </c>
      <c r="B47" s="14" t="s">
        <v>114</v>
      </c>
      <c r="C47" s="14" t="s">
        <v>115</v>
      </c>
      <c r="D47" s="53">
        <v>0</v>
      </c>
      <c r="E47" s="14" t="s">
        <v>116</v>
      </c>
      <c r="F47" s="23"/>
      <c r="G47" s="23"/>
      <c r="H47" s="23"/>
    </row>
    <row r="48" spans="1:8" ht="31.95" customHeight="1">
      <c r="A48" s="9" t="s">
        <v>117</v>
      </c>
      <c r="B48" s="14" t="s">
        <v>118</v>
      </c>
      <c r="C48" s="14" t="s">
        <v>119</v>
      </c>
      <c r="D48" s="53">
        <v>0</v>
      </c>
      <c r="E48" s="14" t="s">
        <v>120</v>
      </c>
      <c r="F48" s="23"/>
      <c r="G48" s="23"/>
      <c r="H48" s="23"/>
    </row>
    <row r="49" spans="1:8" ht="31.95" customHeight="1">
      <c r="A49" s="9" t="s">
        <v>121</v>
      </c>
      <c r="B49" s="14" t="s">
        <v>122</v>
      </c>
      <c r="C49" s="14" t="s">
        <v>123</v>
      </c>
      <c r="D49" s="53">
        <v>0</v>
      </c>
      <c r="E49" s="14"/>
      <c r="F49" s="23"/>
      <c r="G49" s="23"/>
      <c r="H49" s="23"/>
    </row>
    <row r="50" spans="1:8" ht="31.95" customHeight="1">
      <c r="A50" s="9" t="s">
        <v>124</v>
      </c>
      <c r="B50" s="14" t="s">
        <v>125</v>
      </c>
      <c r="C50" s="14" t="s">
        <v>126</v>
      </c>
      <c r="D50" s="53">
        <v>0</v>
      </c>
      <c r="E50" s="14"/>
      <c r="F50" s="23"/>
      <c r="G50" s="23"/>
      <c r="H50" s="23"/>
    </row>
    <row r="51" spans="1:8" ht="31.95" customHeight="1">
      <c r="A51" s="9" t="s">
        <v>127</v>
      </c>
      <c r="B51" s="14" t="s">
        <v>128</v>
      </c>
      <c r="C51" s="14" t="s">
        <v>129</v>
      </c>
      <c r="D51" s="53">
        <v>0</v>
      </c>
      <c r="E51" s="14"/>
      <c r="F51" s="23"/>
      <c r="G51" s="23"/>
      <c r="H51" s="23"/>
    </row>
    <row r="52" spans="1:8" ht="31.95" customHeight="1">
      <c r="A52" s="9" t="s">
        <v>130</v>
      </c>
      <c r="B52" s="14" t="s">
        <v>131</v>
      </c>
      <c r="C52" s="14" t="s">
        <v>132</v>
      </c>
      <c r="D52" s="53">
        <v>0</v>
      </c>
      <c r="E52" s="14"/>
      <c r="F52" s="23"/>
      <c r="G52" s="23"/>
      <c r="H52" s="23"/>
    </row>
    <row r="53" spans="1:8" ht="31.95" customHeight="1">
      <c r="A53" s="9" t="s">
        <v>133</v>
      </c>
      <c r="B53" s="14" t="s">
        <v>134</v>
      </c>
      <c r="C53" s="14" t="s">
        <v>135</v>
      </c>
      <c r="D53" s="53">
        <v>0</v>
      </c>
      <c r="E53" s="14"/>
      <c r="F53" s="23"/>
      <c r="G53" s="23"/>
      <c r="H53" s="23"/>
    </row>
    <row r="54" spans="1:8" ht="31.95" customHeight="1">
      <c r="A54" s="9" t="s">
        <v>136</v>
      </c>
      <c r="B54" s="14" t="s">
        <v>137</v>
      </c>
      <c r="C54" s="14" t="s">
        <v>138</v>
      </c>
      <c r="D54" s="53">
        <v>0</v>
      </c>
      <c r="E54" s="14"/>
      <c r="F54" s="23"/>
      <c r="G54" s="23"/>
      <c r="H54" s="23"/>
    </row>
    <row r="55" spans="1:8" ht="31.95" customHeight="1">
      <c r="A55" s="9" t="s">
        <v>139</v>
      </c>
      <c r="B55" s="14" t="s">
        <v>140</v>
      </c>
      <c r="C55" s="14" t="s">
        <v>141</v>
      </c>
      <c r="D55" s="53">
        <v>0</v>
      </c>
      <c r="E55" s="14"/>
      <c r="F55" s="23"/>
      <c r="G55" s="23"/>
      <c r="H55" s="23"/>
    </row>
    <row r="56" spans="1:8" ht="31.95" customHeight="1">
      <c r="A56" s="9" t="s">
        <v>142</v>
      </c>
      <c r="B56" s="14" t="s">
        <v>143</v>
      </c>
      <c r="C56" s="14" t="s">
        <v>144</v>
      </c>
      <c r="D56" s="53">
        <v>0</v>
      </c>
      <c r="E56" s="14"/>
      <c r="F56" s="23"/>
      <c r="G56" s="23"/>
      <c r="H56" s="23"/>
    </row>
    <row r="57" spans="1:8" ht="31.95" customHeight="1">
      <c r="A57" s="9" t="s">
        <v>145</v>
      </c>
      <c r="B57" s="14" t="s">
        <v>146</v>
      </c>
      <c r="C57" s="14" t="s">
        <v>147</v>
      </c>
      <c r="D57" s="53">
        <v>0</v>
      </c>
      <c r="E57" s="14"/>
      <c r="F57" s="23"/>
      <c r="G57" s="23"/>
      <c r="H57" s="23"/>
    </row>
    <row r="58" spans="1:8" ht="31.95" customHeight="1">
      <c r="A58" s="9" t="s">
        <v>148</v>
      </c>
      <c r="B58" s="14" t="s">
        <v>149</v>
      </c>
      <c r="C58" s="14" t="s">
        <v>150</v>
      </c>
      <c r="D58" s="53">
        <v>0</v>
      </c>
      <c r="E58" s="14"/>
      <c r="F58" s="23"/>
      <c r="G58" s="23"/>
      <c r="H58" s="23"/>
    </row>
    <row r="59" spans="1:8" ht="31.95" customHeight="1">
      <c r="A59" s="9" t="s">
        <v>151</v>
      </c>
      <c r="B59" s="14" t="s">
        <v>152</v>
      </c>
      <c r="C59" s="14" t="s">
        <v>153</v>
      </c>
      <c r="D59" s="53">
        <v>0</v>
      </c>
      <c r="E59" s="14"/>
      <c r="F59" s="23"/>
      <c r="G59" s="23"/>
      <c r="H59" s="23"/>
    </row>
    <row r="60" spans="1:8" ht="31.95" customHeight="1">
      <c r="A60" s="9" t="s">
        <v>154</v>
      </c>
      <c r="B60" s="14" t="s">
        <v>155</v>
      </c>
      <c r="C60" s="14" t="s">
        <v>156</v>
      </c>
      <c r="D60" s="53">
        <v>0</v>
      </c>
      <c r="E60" s="14"/>
      <c r="F60" s="23"/>
      <c r="G60" s="23"/>
      <c r="H60" s="23"/>
    </row>
    <row r="61" spans="1:8" ht="31.95" customHeight="1">
      <c r="A61" s="9" t="s">
        <v>157</v>
      </c>
      <c r="B61" s="14" t="s">
        <v>158</v>
      </c>
      <c r="C61" s="14" t="s">
        <v>159</v>
      </c>
      <c r="D61" s="53">
        <v>0</v>
      </c>
      <c r="E61" s="14"/>
      <c r="F61" s="23"/>
      <c r="G61" s="23"/>
      <c r="H61" s="23"/>
    </row>
    <row r="62" spans="1:8" ht="31.95" customHeight="1">
      <c r="A62" s="9" t="s">
        <v>160</v>
      </c>
      <c r="B62" s="14" t="s">
        <v>161</v>
      </c>
      <c r="C62" s="14" t="s">
        <v>162</v>
      </c>
      <c r="D62" s="53">
        <v>0</v>
      </c>
      <c r="E62" s="14"/>
      <c r="F62" s="23"/>
      <c r="G62" s="23"/>
      <c r="H62" s="23"/>
    </row>
    <row r="63" spans="1:8" ht="31.95" customHeight="1">
      <c r="A63" s="9" t="s">
        <v>163</v>
      </c>
      <c r="B63" s="14" t="s">
        <v>164</v>
      </c>
      <c r="C63" s="14" t="s">
        <v>165</v>
      </c>
      <c r="D63" s="53">
        <v>0</v>
      </c>
      <c r="E63" s="14"/>
      <c r="F63" s="23"/>
      <c r="G63" s="23"/>
      <c r="H63" s="23"/>
    </row>
    <row r="64" spans="1:8" ht="31.95" customHeight="1">
      <c r="A64" s="9" t="s">
        <v>166</v>
      </c>
      <c r="B64" s="14" t="s">
        <v>167</v>
      </c>
      <c r="C64" s="14" t="s">
        <v>168</v>
      </c>
      <c r="D64" s="53">
        <v>0</v>
      </c>
      <c r="E64" s="14"/>
      <c r="F64" s="23"/>
      <c r="G64" s="23"/>
      <c r="H64" s="23"/>
    </row>
    <row r="65" spans="1:8" ht="31.95" customHeight="1">
      <c r="A65" s="9" t="s">
        <v>169</v>
      </c>
      <c r="B65" s="14" t="s">
        <v>170</v>
      </c>
      <c r="C65" s="14" t="s">
        <v>171</v>
      </c>
      <c r="D65" s="53">
        <v>0</v>
      </c>
      <c r="E65" s="14"/>
      <c r="F65" s="23"/>
      <c r="G65" s="23"/>
      <c r="H65" s="23"/>
    </row>
    <row r="66" spans="1:8" ht="31.95" customHeight="1">
      <c r="A66" s="9" t="s">
        <v>172</v>
      </c>
      <c r="B66" s="14" t="s">
        <v>173</v>
      </c>
      <c r="C66" s="14" t="s">
        <v>174</v>
      </c>
      <c r="D66" s="53">
        <v>0</v>
      </c>
      <c r="E66" s="14"/>
      <c r="F66" s="23"/>
      <c r="G66" s="23"/>
      <c r="H66" s="23"/>
    </row>
    <row r="67" spans="1:8">
      <c r="A67" s="9"/>
      <c r="B67" s="9"/>
      <c r="C67" s="9"/>
      <c r="D67" s="19"/>
      <c r="E67" s="9"/>
      <c r="F67" s="23"/>
      <c r="G67" s="23"/>
      <c r="H67" s="23"/>
    </row>
    <row r="68" spans="1:8" ht="22.95" customHeight="1">
      <c r="A68" s="6" t="s">
        <v>175</v>
      </c>
      <c r="B68" s="6"/>
      <c r="C68" s="6"/>
      <c r="D68" s="17"/>
      <c r="E68" s="6"/>
      <c r="F68" s="23"/>
      <c r="G68" s="23"/>
      <c r="H68" s="23"/>
    </row>
    <row r="69" spans="1:8">
      <c r="A69" s="13" t="s">
        <v>16</v>
      </c>
      <c r="B69" s="13" t="s">
        <v>17</v>
      </c>
      <c r="C69" s="13" t="s">
        <v>18</v>
      </c>
      <c r="D69" s="18" t="s">
        <v>19</v>
      </c>
      <c r="E69" s="13" t="s">
        <v>20</v>
      </c>
      <c r="F69" s="23"/>
      <c r="G69" s="23"/>
      <c r="H69" s="23"/>
    </row>
    <row r="70" spans="1:8" ht="31.95" customHeight="1">
      <c r="A70" s="9" t="s">
        <v>176</v>
      </c>
      <c r="B70" s="14" t="s">
        <v>177</v>
      </c>
      <c r="C70" s="14" t="s">
        <v>178</v>
      </c>
      <c r="D70" s="53">
        <v>0</v>
      </c>
      <c r="E70" s="14"/>
      <c r="F70" s="23"/>
      <c r="G70" s="23"/>
      <c r="H70" s="23"/>
    </row>
    <row r="71" spans="1:8" ht="31.95" customHeight="1">
      <c r="A71" s="9" t="s">
        <v>179</v>
      </c>
      <c r="B71" s="14" t="s">
        <v>180</v>
      </c>
      <c r="C71" s="14" t="s">
        <v>181</v>
      </c>
      <c r="D71" s="53">
        <v>0</v>
      </c>
      <c r="E71" s="14"/>
      <c r="F71" s="23"/>
      <c r="G71" s="23"/>
      <c r="H71" s="23"/>
    </row>
    <row r="72" spans="1:8" ht="31.95" customHeight="1">
      <c r="A72" s="9" t="s">
        <v>182</v>
      </c>
      <c r="B72" s="14" t="s">
        <v>183</v>
      </c>
      <c r="C72" s="14" t="s">
        <v>184</v>
      </c>
      <c r="D72" s="53">
        <v>0</v>
      </c>
      <c r="E72" s="14"/>
      <c r="F72" s="23"/>
      <c r="G72" s="23"/>
      <c r="H72" s="23"/>
    </row>
    <row r="73" spans="1:8" ht="31.95" customHeight="1">
      <c r="A73" s="9" t="s">
        <v>185</v>
      </c>
      <c r="B73" s="14" t="s">
        <v>183</v>
      </c>
      <c r="C73" s="14" t="s">
        <v>186</v>
      </c>
      <c r="D73" s="53">
        <v>0</v>
      </c>
      <c r="E73" s="14"/>
      <c r="F73" s="23"/>
      <c r="G73" s="23"/>
      <c r="H73" s="23"/>
    </row>
    <row r="74" spans="1:8" ht="31.95" customHeight="1">
      <c r="A74" s="9" t="s">
        <v>187</v>
      </c>
      <c r="B74" s="14" t="s">
        <v>188</v>
      </c>
      <c r="C74" s="14" t="s">
        <v>189</v>
      </c>
      <c r="D74" s="53">
        <v>0</v>
      </c>
      <c r="E74" s="14"/>
      <c r="F74" s="23"/>
      <c r="G74" s="23"/>
      <c r="H74" s="23"/>
    </row>
    <row r="75" spans="1:8" ht="31.95" customHeight="1">
      <c r="A75" s="9" t="s">
        <v>190</v>
      </c>
      <c r="B75" s="14" t="s">
        <v>191</v>
      </c>
      <c r="C75" s="14" t="s">
        <v>192</v>
      </c>
      <c r="D75" s="53">
        <v>0</v>
      </c>
      <c r="E75" s="14"/>
      <c r="F75" s="23"/>
      <c r="G75" s="23"/>
      <c r="H75" s="23"/>
    </row>
    <row r="76" spans="1:8" ht="31.95" customHeight="1">
      <c r="A76" s="9" t="s">
        <v>193</v>
      </c>
      <c r="B76" s="14" t="s">
        <v>194</v>
      </c>
      <c r="C76" s="14" t="s">
        <v>195</v>
      </c>
      <c r="D76" s="53">
        <v>0</v>
      </c>
      <c r="E76" s="14"/>
      <c r="F76" s="23"/>
      <c r="G76" s="23"/>
      <c r="H76" s="23"/>
    </row>
    <row r="77" spans="1:8" ht="31.95" customHeight="1">
      <c r="A77" s="9" t="s">
        <v>196</v>
      </c>
      <c r="B77" s="14" t="s">
        <v>197</v>
      </c>
      <c r="C77" s="14" t="s">
        <v>198</v>
      </c>
      <c r="D77" s="53">
        <v>0</v>
      </c>
      <c r="E77" s="14"/>
      <c r="F77" s="23"/>
      <c r="G77" s="23"/>
      <c r="H77" s="23"/>
    </row>
    <row r="78" spans="1:8" ht="31.95" customHeight="1">
      <c r="A78" s="9" t="s">
        <v>199</v>
      </c>
      <c r="B78" s="14" t="s">
        <v>200</v>
      </c>
      <c r="C78" s="14" t="s">
        <v>201</v>
      </c>
      <c r="D78" s="53">
        <v>0</v>
      </c>
      <c r="E78" s="14"/>
      <c r="F78" s="23"/>
      <c r="G78" s="23"/>
      <c r="H78" s="23"/>
    </row>
    <row r="79" spans="1:8" ht="31.95" customHeight="1">
      <c r="A79" s="9" t="s">
        <v>202</v>
      </c>
      <c r="B79" s="14" t="s">
        <v>203</v>
      </c>
      <c r="C79" s="14" t="s">
        <v>204</v>
      </c>
      <c r="D79" s="53">
        <v>0</v>
      </c>
      <c r="E79" s="14"/>
      <c r="F79" s="23"/>
      <c r="G79" s="23"/>
      <c r="H79" s="23"/>
    </row>
    <row r="80" spans="1:8" ht="31.95" customHeight="1">
      <c r="A80" s="9" t="s">
        <v>205</v>
      </c>
      <c r="B80" s="14" t="s">
        <v>206</v>
      </c>
      <c r="C80" s="14" t="s">
        <v>207</v>
      </c>
      <c r="D80" s="53">
        <v>0</v>
      </c>
      <c r="E80" s="14" t="s">
        <v>208</v>
      </c>
      <c r="F80" s="23"/>
      <c r="G80" s="23"/>
      <c r="H80" s="23"/>
    </row>
    <row r="81" spans="1:8" ht="31.95" customHeight="1">
      <c r="A81" s="9" t="s">
        <v>209</v>
      </c>
      <c r="B81" s="14" t="s">
        <v>210</v>
      </c>
      <c r="C81" s="14" t="s">
        <v>211</v>
      </c>
      <c r="D81" s="53">
        <v>0</v>
      </c>
      <c r="E81" s="14" t="s">
        <v>212</v>
      </c>
      <c r="F81" s="23"/>
      <c r="G81" s="23"/>
      <c r="H81" s="23"/>
    </row>
  </sheetData>
  <sheetProtection sheet="1" objects="1" scenarios="1"/>
  <mergeCells count="20">
    <mergeCell ref="A13:E13"/>
    <mergeCell ref="A41:E41"/>
    <mergeCell ref="A68:E68"/>
    <mergeCell ref="F11:G11"/>
    <mergeCell ref="F12:H12"/>
    <mergeCell ref="A8:C8"/>
    <mergeCell ref="A9:C9"/>
    <mergeCell ref="A10:C10"/>
    <mergeCell ref="A11:C11"/>
    <mergeCell ref="F4:H4"/>
    <mergeCell ref="F5:G5"/>
    <mergeCell ref="F6:G6"/>
    <mergeCell ref="F7:G7"/>
    <mergeCell ref="F8:H10"/>
    <mergeCell ref="A1:H1"/>
    <mergeCell ref="A2:H2"/>
    <mergeCell ref="A4:E4"/>
    <mergeCell ref="A5:C5"/>
    <mergeCell ref="A6:C6"/>
    <mergeCell ref="A7:C7"/>
  </mergeCells>
  <phoneticPr fontId="2"/>
  <dataValidations count="66">
    <dataValidation type="custom" showInputMessage="1" showErrorMessage="1" sqref="D6" xr:uid="{BEC356D9-2971-4A98-B909-372C5BC44D25}">
      <formula1>AND(ISNUMBER(D6),D6&gt;=DATE(1900,1,1),D6&lt;=DATE(2100,12,31))</formula1>
    </dataValidation>
    <dataValidation type="custom" showInputMessage="1" showErrorMessage="1" sqref="D7" xr:uid="{85D30A31-C723-4B68-96FE-11260CD058ED}">
      <formula1>AND(ISNUMBER(D7),ISNUMBER(D6),D7&gt;=D6,D7&lt;=IF(DAY(EDATE(D6,12))&lt;DAY(D6),EDATE(D6,12),EDATE(D6,12)-1))</formula1>
    </dataValidation>
    <dataValidation type="list" showInputMessage="1" showErrorMessage="1" sqref="D9" xr:uid="{2D6F35F8-3C9B-4567-BE43-09774C97AFA8}">
      <formula1>"該当,非該当"</formula1>
    </dataValidation>
    <dataValidation type="list" showInputMessage="1" showErrorMessage="1" sqref="D10" xr:uid="{3485A0E4-E24F-4F61-9893-ABFC2CD8DAEB}">
      <formula1>"はい,いいえ"</formula1>
    </dataValidation>
    <dataValidation type="list" showInputMessage="1" showErrorMessage="1" sqref="D11" xr:uid="{B9AF1C03-A97A-4F5E-96B7-728936C8B5A4}">
      <formula1>"はい,いいえ"</formula1>
    </dataValidation>
    <dataValidation type="custom" showInputMessage="1" showErrorMessage="1" errorTitle="入力エラー" error="絶対値1,000兆円未満の円単位整数を入力してください（負数可）。" sqref="D15" xr:uid="{977CF7E9-AE22-4A0C-AB13-3AAF6568308B}">
      <formula1>AND(ISNUMBER(D15),D15=INT(D15),ABS(D15)&lt;=999999999999999)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6" xr:uid="{89163B85-9658-42E7-93B7-F7B3571B6728}">
      <formula1>AND(ISNUMBER(D16),D16=INT(D16),D16&gt;=0,D16&lt;=999999999999999)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7" xr:uid="{48C0C055-10CB-43B8-9401-FEEAA29D9E0C}">
      <formula1>AND(ISNUMBER(D17),D17=INT(D17),D17&gt;=0,D17&lt;=999999999999999)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8" xr:uid="{294A5C34-B8D0-47E8-85CB-5EB536C3EF00}">
      <formula1>AND(ISNUMBER(D18),D18=INT(D18),D18&gt;=0,D18&lt;=999999999999999)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19" xr:uid="{A9317462-3211-411B-9F73-31A2D098C845}">
      <formula1>AND(ISNUMBER(D19),D19=INT(D19),D19&gt;=0,D19&lt;=999999999999999)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0" xr:uid="{64FAC6DA-0E9B-436F-AD0D-DD92166B6501}">
      <formula1>AND(ISNUMBER(D20),D20=INT(D20),D20&gt;=0,D20&lt;=999999999999999)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1" xr:uid="{EE5F8C9E-28C0-4837-AA64-CAC8741F5D21}">
      <formula1>AND(ISNUMBER(D21),D21=INT(D21),D21&gt;=0,D21&lt;=999999999999999)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2" xr:uid="{11039A2E-3463-4470-B4AF-67C241363FC2}">
      <formula1>AND(ISNUMBER(D22),D22=INT(D22),D22&gt;=0,D22&lt;=999999999999999)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3" xr:uid="{5DBF72F3-89A3-4126-9DA6-E417077F2EEF}">
      <formula1>AND(ISNUMBER(D23),D23=INT(D23),D23&gt;=0,D23&lt;=999999999999999)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4" xr:uid="{CD520377-F1B0-42AB-BBD8-7B8CEC924C99}">
      <formula1>AND(ISNUMBER(D24),D24=INT(D24),D24&gt;=0,D24&lt;=999999999999999)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5" xr:uid="{840D4214-A293-4B0E-9021-19C869704E68}">
      <formula1>AND(ISNUMBER(D25),D25=INT(D25),D25&gt;=0,D25&lt;=999999999999999)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6" xr:uid="{B928F05C-4C77-4136-8894-9AC6CC7F4624}">
      <formula1>AND(ISNUMBER(D26),D26=INT(D26),D26&gt;=0,D26&lt;=999999999999999)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7" xr:uid="{9172F044-DF08-47DF-805A-EF02A96F162C}">
      <formula1>AND(ISNUMBER(D27),D27=INT(D27),D27&gt;=0,D27&lt;=999999999999999)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8" xr:uid="{82C2377A-5D13-4513-86A6-3527C2E76726}">
      <formula1>AND(ISNUMBER(D28),D28=INT(D28),D28&gt;=0,D28&lt;=999999999999999)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29" xr:uid="{0E932C25-6D11-475A-8B75-A41F2122E480}">
      <formula1>AND(ISNUMBER(D29),D29=INT(D29),D29&gt;=0,D29&lt;=999999999999999)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0" xr:uid="{6F874F47-9A40-4A24-83F1-FDED2A548B4E}">
      <formula1>AND(ISNUMBER(D30),D30=INT(D30),D30&gt;=0,D30&lt;=999999999999999)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1" xr:uid="{8D713B76-0F50-4384-B01F-BAC719D96F1B}">
      <formula1>AND(ISNUMBER(D31),D31=INT(D31),D31&gt;=0,D31&lt;=999999999999999)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2" xr:uid="{EF2DDA4F-152F-443A-8BE1-E75B56513C22}">
      <formula1>AND(ISNUMBER(D32),D32=INT(D32),D32&gt;=0,D32&lt;=999999999999999)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3" xr:uid="{82210FFC-88E9-46C4-B2E2-FDBB0E8AB857}">
      <formula1>AND(ISNUMBER(D33),D33=INT(D33),D33&gt;=0,D33&lt;=999999999999999)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4" xr:uid="{3BE93A56-CA52-4461-AF7C-B17D409D7875}">
      <formula1>AND(ISNUMBER(D34),D34=INT(D34),D34&gt;=0,D34&lt;=999999999999999)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5" xr:uid="{CE9DB272-5D56-471C-85F3-551665FB7C30}">
      <formula1>AND(ISNUMBER(D35),D35=INT(D35),D35&gt;=0,D35&lt;=999999999999999)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6" xr:uid="{A2B586AA-9039-4203-B40F-D385C5A8CCA6}">
      <formula1>AND(ISNUMBER(D36),D36=INT(D36),D36&gt;=0,D36&lt;=999999999999999)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7" xr:uid="{3E81E6B5-4828-4D58-8750-0B5415F19B90}">
      <formula1>AND(ISNUMBER(D37),D37=INT(D37),D37&gt;=0,D37&lt;=999999999999999)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8" xr:uid="{FBC51AF1-04CD-4463-ABDA-EAB5131BF092}">
      <formula1>AND(ISNUMBER(D38),D38=INT(D38),D38&gt;=0,D38&lt;=999999999999999)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39" xr:uid="{14BB9810-00D2-4B68-8971-79164EAC6BF5}">
      <formula1>AND(ISNUMBER(D39),D39=INT(D39),D39&gt;=0,D39&lt;=999999999999999)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3" xr:uid="{000717F8-80F1-4A9F-A1F4-77D85F83E078}">
      <formula1>AND(ISNUMBER(D43),D43=INT(D43),D43&gt;=0,D43&lt;=999999999999999)</formula1>
    </dataValidation>
    <dataValidation type="custom" showInputMessage="1" showErrorMessage="1" errorTitle="入力エラー" error="絶対値1,000兆円未満の円単位整数を入力してください（負数可）。" sqref="D44" xr:uid="{D26108B6-3DC1-413D-859F-5714E68F3D7C}">
      <formula1>AND(ISNUMBER(D44),D44=INT(D44),ABS(D44)&lt;=999999999999999)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5" xr:uid="{9396EEA9-98AB-473A-BEAE-2E9B788E441E}">
      <formula1>AND(ISNUMBER(D45),D45=INT(D45),D45&gt;=0,D45&lt;=999999999999999)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6" xr:uid="{27F5B374-4DEF-4B78-9B72-B535BFA6925D}">
      <formula1>AND(ISNUMBER(D46),D46=INT(D46),D46&gt;=0,D46&lt;=999999999999999)</formula1>
    </dataValidation>
    <dataValidation type="custom" showInputMessage="1" showErrorMessage="1" errorTitle="入力エラー" error="絶対値1,000兆円未満の円単位整数を入力してください（負数可）。" sqref="D47" xr:uid="{B6C4D066-FB73-4422-8596-838CA79FBC9C}">
      <formula1>AND(ISNUMBER(D47),D47=INT(D47),ABS(D47)&lt;=999999999999999)</formula1>
    </dataValidation>
    <dataValidation type="custom" showInputMessage="1" showErrorMessage="1" errorTitle="入力エラー" error="絶対値1,000兆円未満の円単位整数を入力してください（負数可）。" sqref="D48" xr:uid="{2D2CC260-3656-4284-824D-3E9F207D50F4}">
      <formula1>AND(ISNUMBER(D48),D48=INT(D48),ABS(D48)&lt;=999999999999999)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49" xr:uid="{D1651D59-1D17-4E69-B749-018877317BF4}">
      <formula1>AND(ISNUMBER(D49),D49=INT(D49),D49&gt;=0,D49&lt;=999999999999999)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0" xr:uid="{36E29EF0-2E22-46A0-A42B-BCF7C02DE0FC}">
      <formula1>AND(ISNUMBER(D50),D50=INT(D50),D50&gt;=0,D50&lt;=999999999999999)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1" xr:uid="{F7E11266-F291-499D-BA32-CCB1CFC69C87}">
      <formula1>AND(ISNUMBER(D51),D51=INT(D51),D51&gt;=0,D51&lt;=999999999999999)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2" xr:uid="{DDEC6AD8-0AA5-4E88-8912-E3C282EC8E6E}">
      <formula1>AND(ISNUMBER(D52),D52=INT(D52),D52&gt;=0,D52&lt;=999999999999999)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3" xr:uid="{5CD1AB6F-06FF-4992-9F69-62AFCBC3FFC6}">
      <formula1>AND(ISNUMBER(D53),D53=INT(D53),D53&gt;=0,D53&lt;=999999999999999)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4" xr:uid="{9CD23977-ACB5-492F-AB37-D499C0D967A1}">
      <formula1>AND(ISNUMBER(D54),D54=INT(D54),D54&gt;=0,D54&lt;=999999999999999)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5" xr:uid="{9DD47F30-1151-4F16-80D1-684034837685}">
      <formula1>AND(ISNUMBER(D55),D55=INT(D55),D55&gt;=0,D55&lt;=999999999999999)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6" xr:uid="{625167C3-D8CB-422E-9E50-0F6873AA2058}">
      <formula1>AND(ISNUMBER(D56),D56=INT(D56),D56&gt;=0,D56&lt;=999999999999999)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7" xr:uid="{0E5268FB-72BA-42B5-95C5-DE494E55D49A}">
      <formula1>AND(ISNUMBER(D57),D57=INT(D57),D57&gt;=0,D57&lt;=999999999999999)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8" xr:uid="{9C896BC4-521F-40B8-B4AC-A2F5585C878C}">
      <formula1>AND(ISNUMBER(D58),D58=INT(D58),D58&gt;=0,D58&lt;=999999999999999)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59" xr:uid="{409A0A86-AE5E-4F33-8AA5-2D764F3E5AD1}">
      <formula1>AND(ISNUMBER(D59),D59=INT(D59),D59&gt;=0,D59&lt;=999999999999999)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0" xr:uid="{231888AC-15A5-4255-BE81-9F25B51C2A87}">
      <formula1>AND(ISNUMBER(D60),D60=INT(D60),D60&gt;=0,D60&lt;=999999999999999)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1" xr:uid="{AA7A8E59-3122-4D6F-98C1-CA2AD8D7D03A}">
      <formula1>AND(ISNUMBER(D61),D61=INT(D61),D61&gt;=0,D61&lt;=999999999999999)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2" xr:uid="{FC73945A-F0ED-4C9E-8C7B-F6D2A0C57ABE}">
      <formula1>AND(ISNUMBER(D62),D62=INT(D62),D62&gt;=0,D62&lt;=999999999999999)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3" xr:uid="{183022E9-99E1-4ACF-BC22-BF453A88A759}">
      <formula1>AND(ISNUMBER(D63),D63=INT(D63),D63&gt;=0,D63&lt;=999999999999999)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4" xr:uid="{DB71A626-4F1C-48B7-8DC4-958117683370}">
      <formula1>AND(ISNUMBER(D64),D64=INT(D64),D64&gt;=0,D64&lt;=999999999999999)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5" xr:uid="{A8B091EC-22E9-4293-A538-1742F8D694B2}">
      <formula1>AND(ISNUMBER(D65),D65=INT(D65),D65&gt;=0,D65&lt;=999999999999999)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66" xr:uid="{0CCC4C33-82E0-41EC-936C-A9EE6F6BA34B}">
      <formula1>AND(ISNUMBER(D66),D66=INT(D66),D66&gt;=0,D66&lt;=999999999999999)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0" xr:uid="{FCD41843-2156-4B2A-99B7-3270066CBC76}">
      <formula1>AND(ISNUMBER(D70),D70=INT(D70),D70&gt;=0,D70&lt;=999999999999999)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1" xr:uid="{80336E4E-8ECF-49C1-9690-69BAEA2F55B9}">
      <formula1>AND(ISNUMBER(D71),D71=INT(D71),D71&gt;=0,D71&lt;=999999999999999)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2" xr:uid="{BD5A6D8B-B28F-4C89-9002-0DE1B70616C6}">
      <formula1>AND(ISNUMBER(D72),D72=INT(D72),D72&gt;=0,D72&lt;=999999999999999)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3" xr:uid="{60E968A1-92B3-463E-A3AD-4CEFA17582CB}">
      <formula1>AND(ISNUMBER(D73),D73=INT(D73),D73&gt;=0,D73&lt;=999999999999999)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4" xr:uid="{DBE6A1E4-92E1-4597-9E62-C389F04027EB}">
      <formula1>AND(ISNUMBER(D74),D74=INT(D74),D74&gt;=0,D74&lt;=999999999999999)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5" xr:uid="{00DCE300-1DFC-4428-885C-DED6242010CE}">
      <formula1>AND(ISNUMBER(D75),D75=INT(D75),D75&gt;=0,D75&lt;=999999999999999)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6" xr:uid="{4196570E-55E3-4CD1-85D2-FD289B18BAE8}">
      <formula1>AND(ISNUMBER(D76),D76=INT(D76),D76&gt;=0,D76&lt;=999999999999999)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7" xr:uid="{7508C3C8-9A6C-41DB-9415-5BEA49C32D1C}">
      <formula1>AND(ISNUMBER(D77),D77=INT(D77),D77&gt;=0,D77&lt;=999999999999999)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8" xr:uid="{DAEE5B35-5409-4E68-93B7-43FBA9DF4417}">
      <formula1>AND(ISNUMBER(D78),D78=INT(D78),D78&gt;=0,D78&lt;=999999999999999)</formula1>
    </dataValidation>
    <dataValidation type="custom" showInputMessage="1" showErrorMessage="1" errorTitle="入力エラー" error="0以上1,000兆円未満の円単位整数を入力してください。欠損金控除額・譲渡損失額・損金算入額も正の金額で入力し、符号は計算式側で処理します。" sqref="D79" xr:uid="{AB67AAB7-D08E-4EE2-B988-AA3103671FF6}">
      <formula1>AND(ISNUMBER(D79),D79=INT(D79),D79&gt;=0,D79&lt;=999999999999999)</formula1>
    </dataValidation>
    <dataValidation type="custom" showInputMessage="1" showErrorMessage="1" errorTitle="入力エラー" error="付表二20欄の控除前合計額以上となる、1,000兆円未満の円単位整数を入力してください。" sqref="D80" xr:uid="{D1B6378A-5FF8-49B2-8815-ADFF8A905F6F}">
      <formula1>AND(ISNUMBER(D80),D80=INT(D80),D80&gt;=IF(inp_group="はい",MIN(inp_f2_03,MAX(inp_f2_08-inp_f2_04,0)),0),D80&lt;=999999999999999)</formula1>
    </dataValidation>
    <dataValidation type="custom" showInputMessage="1" showErrorMessage="1" errorTitle="入力エラー" error="付表二22欄の控除前合計額以上となる、1,000兆円未満の円単位整数を入力してください。" sqref="D81" xr:uid="{C3E1076A-6601-49A5-A548-0E38DE9B7CF3}">
      <formula1>AND(ISNUMBER(D81),D81=INT(D81),D81&gt;=IF(inp_group="はい",MAX(inp_f2_04-inp_f2_08,0),0),D81&lt;=999999999999999)</formula1>
    </dataValidation>
  </dataValidations>
  <pageMargins left="0.7" right="0.7" top="0.75" bottom="0.75" header="0.3" footer="0.3"/>
  <pageSetup paperSize="9" fitToHeight="99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A5E-4E5A-41B4-A4D8-7DA026446E41}">
  <sheetPr>
    <tabColor rgb="FF2F75B5"/>
    <pageSetUpPr fitToPage="1"/>
  </sheetPr>
  <dimension ref="A1:G32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  <col min="6" max="6" width="31.69921875" customWidth="1"/>
    <col min="7" max="7" width="19.69921875" customWidth="1"/>
  </cols>
  <sheetData>
    <row r="1" spans="1:7" ht="30" customHeight="1">
      <c r="A1" s="2" t="s">
        <v>213</v>
      </c>
      <c r="B1" s="3"/>
      <c r="C1" s="3"/>
      <c r="D1" s="3"/>
      <c r="E1" s="3"/>
    </row>
    <row r="2" spans="1:7">
      <c r="A2" s="4" t="s">
        <v>214</v>
      </c>
      <c r="B2" s="3"/>
      <c r="C2" s="3"/>
      <c r="D2" s="3"/>
      <c r="E2" s="3"/>
    </row>
    <row r="3" spans="1:7">
      <c r="A3" s="5"/>
      <c r="B3" s="5"/>
      <c r="C3" s="5"/>
      <c r="D3" s="5"/>
      <c r="E3" s="5"/>
    </row>
    <row r="4" spans="1:7">
      <c r="A4" s="24" t="s">
        <v>215</v>
      </c>
      <c r="B4" s="24" t="s">
        <v>216</v>
      </c>
      <c r="C4" s="24" t="s">
        <v>217</v>
      </c>
      <c r="D4" s="24" t="s">
        <v>218</v>
      </c>
      <c r="E4" s="24" t="s">
        <v>219</v>
      </c>
      <c r="F4" s="28" t="s">
        <v>361</v>
      </c>
      <c r="G4" s="28" t="s">
        <v>362</v>
      </c>
    </row>
    <row r="5" spans="1:7" ht="37.950000000000003" customHeight="1">
      <c r="A5" s="25">
        <v>1</v>
      </c>
      <c r="B5" s="26" t="s">
        <v>220</v>
      </c>
      <c r="C5" s="26" t="s">
        <v>221</v>
      </c>
      <c r="D5" s="27">
        <f>MIN(m_21,IF(inp_months="",0,30000000*inp_months/12))</f>
        <v>0</v>
      </c>
      <c r="E5" s="26" t="s">
        <v>222</v>
      </c>
      <c r="F5" s="1" t="s">
        <v>363</v>
      </c>
      <c r="G5" s="29">
        <f>MAX(m_19-m_20,0)</f>
        <v>0</v>
      </c>
    </row>
    <row r="6" spans="1:7" ht="37.950000000000003" customHeight="1">
      <c r="A6" s="25">
        <v>2</v>
      </c>
      <c r="B6" s="26" t="s">
        <v>223</v>
      </c>
      <c r="C6" s="26" t="s">
        <v>224</v>
      </c>
      <c r="D6" s="27">
        <f>$G$10</f>
        <v>0</v>
      </c>
      <c r="E6" s="26" t="s">
        <v>225</v>
      </c>
      <c r="F6" s="1" t="s">
        <v>364</v>
      </c>
      <c r="G6" s="29">
        <f>G5-m_21</f>
        <v>0</v>
      </c>
    </row>
    <row r="7" spans="1:7" ht="37.950000000000003" customHeight="1">
      <c r="A7" s="25">
        <v>3</v>
      </c>
      <c r="B7" s="26" t="s">
        <v>226</v>
      </c>
      <c r="C7" s="26" t="s">
        <v>227</v>
      </c>
      <c r="D7" s="27">
        <f>m_21-m_01-m_02</f>
        <v>0</v>
      </c>
      <c r="E7" s="26" t="s">
        <v>222</v>
      </c>
      <c r="F7" s="1" t="s">
        <v>365</v>
      </c>
      <c r="G7" s="29">
        <f>IF(inp_months="",0,100000000*inp_months/12)</f>
        <v>100000000</v>
      </c>
    </row>
    <row r="8" spans="1:7" ht="37.950000000000003" customHeight="1">
      <c r="A8" s="25">
        <v>4</v>
      </c>
      <c r="B8" s="26" t="s">
        <v>228</v>
      </c>
      <c r="C8" s="26" t="s">
        <v>229</v>
      </c>
      <c r="D8" s="27">
        <f>SUM(m_01:m_03)</f>
        <v>0</v>
      </c>
      <c r="E8" s="26" t="s">
        <v>230</v>
      </c>
      <c r="F8" s="1" t="s">
        <v>366</v>
      </c>
      <c r="G8" s="29">
        <f>MAX(0,MIN(m_21-m_01,G7-m_01))</f>
        <v>0</v>
      </c>
    </row>
    <row r="9" spans="1:7" ht="37.950000000000003" customHeight="1">
      <c r="A9" s="25">
        <v>5</v>
      </c>
      <c r="B9" s="26" t="s">
        <v>231</v>
      </c>
      <c r="C9" s="26" t="s">
        <v>232</v>
      </c>
      <c r="D9" s="27">
        <f>ROUNDDOWN(m_01*10%,0)</f>
        <v>0</v>
      </c>
      <c r="E9" s="26" t="s">
        <v>233</v>
      </c>
      <c r="F9" s="1" t="s">
        <v>367</v>
      </c>
      <c r="G9" s="29">
        <f>G8-ROUNDDOWN(G8,-3)</f>
        <v>0</v>
      </c>
    </row>
    <row r="10" spans="1:7" ht="37.950000000000003" customHeight="1">
      <c r="A10" s="25">
        <v>6</v>
      </c>
      <c r="B10" s="26" t="s">
        <v>234</v>
      </c>
      <c r="C10" s="26" t="s">
        <v>235</v>
      </c>
      <c r="D10" s="27">
        <f>ROUNDDOWN(m_02*15%,0)</f>
        <v>0</v>
      </c>
      <c r="E10" s="26" t="s">
        <v>233</v>
      </c>
      <c r="F10" s="1" t="s">
        <v>368</v>
      </c>
      <c r="G10" s="29">
        <f>IF(G9&gt;G6,ROUNDUP(G8,-3),ROUNDDOWN(G8,-3))</f>
        <v>0</v>
      </c>
    </row>
    <row r="11" spans="1:7" ht="37.950000000000003" customHeight="1">
      <c r="A11" s="25">
        <v>7</v>
      </c>
      <c r="B11" s="26" t="s">
        <v>236</v>
      </c>
      <c r="C11" s="26" t="s">
        <v>237</v>
      </c>
      <c r="D11" s="27">
        <f>ROUNDDOWN(m_03*20%,0)</f>
        <v>0</v>
      </c>
      <c r="E11" s="26" t="s">
        <v>233</v>
      </c>
    </row>
    <row r="12" spans="1:7" ht="37.950000000000003" customHeight="1">
      <c r="A12" s="25">
        <v>8</v>
      </c>
      <c r="B12" s="26" t="s">
        <v>238</v>
      </c>
      <c r="C12" s="26" t="s">
        <v>239</v>
      </c>
      <c r="D12" s="31">
        <f>SUM(m_05:m_07)</f>
        <v>0</v>
      </c>
      <c r="E12" s="26" t="s">
        <v>240</v>
      </c>
    </row>
    <row r="13" spans="1:7" ht="37.950000000000003" customHeight="1">
      <c r="A13" s="25">
        <v>9</v>
      </c>
      <c r="B13" s="26" t="s">
        <v>241</v>
      </c>
      <c r="C13" s="26" t="s">
        <v>242</v>
      </c>
      <c r="D13" s="27">
        <f>inp_m9_base+inp_m9_extra</f>
        <v>0</v>
      </c>
      <c r="E13" s="26" t="s">
        <v>243</v>
      </c>
    </row>
    <row r="14" spans="1:7" ht="37.950000000000003" customHeight="1">
      <c r="A14" s="25">
        <v>10</v>
      </c>
      <c r="B14" s="26" t="s">
        <v>35</v>
      </c>
      <c r="C14" s="26" t="s">
        <v>244</v>
      </c>
      <c r="D14" s="27">
        <f>inp_prev_div</f>
        <v>0</v>
      </c>
      <c r="E14" s="26" t="s">
        <v>233</v>
      </c>
    </row>
    <row r="15" spans="1:7" ht="37.950000000000003" customHeight="1">
      <c r="A15" s="25">
        <v>11</v>
      </c>
      <c r="B15" s="26" t="s">
        <v>38</v>
      </c>
      <c r="C15" s="26" t="s">
        <v>37</v>
      </c>
      <c r="D15" s="27">
        <f>inp_curr_div</f>
        <v>0</v>
      </c>
      <c r="E15" s="26" t="s">
        <v>233</v>
      </c>
    </row>
    <row r="16" spans="1:7" ht="37.950000000000003" customHeight="1">
      <c r="A16" s="25">
        <v>12</v>
      </c>
      <c r="B16" s="26" t="s">
        <v>245</v>
      </c>
      <c r="C16" s="26" t="s">
        <v>246</v>
      </c>
      <c r="D16" s="27">
        <f>MAX(MAX((inp_b1_2-inp_b1_3+inp_b1_4+inp_b1_6+inp_b1_9out-inp_b1_11-inp_b1_18)-inp_b6_5_2_5_3,0)+MAX(inp_b1_32+inp_b1_33-inp_b1_37-inp_b1_77,0)-MAX(inp_b6_5_2_5_3-(inp_b1_2-inp_b1_3+inp_b1_4+inp_b1_6+inp_b1_9out),0),0)</f>
        <v>0</v>
      </c>
      <c r="E16" s="26" t="s">
        <v>247</v>
      </c>
    </row>
    <row r="17" spans="1:5" ht="37.950000000000003" customHeight="1">
      <c r="A17" s="25">
        <v>13</v>
      </c>
      <c r="B17" s="26" t="s">
        <v>248</v>
      </c>
      <c r="C17" s="26" t="s">
        <v>249</v>
      </c>
      <c r="D17" s="27">
        <f>m_28</f>
        <v>0</v>
      </c>
      <c r="E17" s="26" t="s">
        <v>233</v>
      </c>
    </row>
    <row r="18" spans="1:5" ht="37.950000000000003" customHeight="1">
      <c r="A18" s="25">
        <v>14</v>
      </c>
      <c r="B18" s="26" t="s">
        <v>250</v>
      </c>
      <c r="C18" s="26" t="s">
        <v>90</v>
      </c>
      <c r="D18" s="27">
        <f>inp_m14_foreign</f>
        <v>0</v>
      </c>
      <c r="E18" s="26" t="s">
        <v>233</v>
      </c>
    </row>
    <row r="19" spans="1:5" ht="37.950000000000003" customHeight="1">
      <c r="A19" s="25">
        <v>15</v>
      </c>
      <c r="B19" s="26" t="s">
        <v>251</v>
      </c>
      <c r="C19" s="26" t="s">
        <v>252</v>
      </c>
      <c r="D19" s="27">
        <f>MAX(m_12+m_13-m_14,0)</f>
        <v>0</v>
      </c>
      <c r="E19" s="26" t="s">
        <v>233</v>
      </c>
    </row>
    <row r="20" spans="1:5" ht="37.950000000000003" customHeight="1">
      <c r="A20" s="25">
        <v>16</v>
      </c>
      <c r="B20" s="26" t="s">
        <v>253</v>
      </c>
      <c r="C20" s="26" t="s">
        <v>254</v>
      </c>
      <c r="D20" s="27">
        <f>IF(inp_group="はい",f2_05,0)</f>
        <v>0</v>
      </c>
      <c r="E20" s="26" t="s">
        <v>233</v>
      </c>
    </row>
    <row r="21" spans="1:5" ht="37.950000000000003" customHeight="1">
      <c r="A21" s="25">
        <v>17</v>
      </c>
      <c r="B21" s="26" t="s">
        <v>255</v>
      </c>
      <c r="C21" s="26" t="s">
        <v>256</v>
      </c>
      <c r="D21" s="27">
        <f>IF(inp_group="はい",f2_10,0)</f>
        <v>0</v>
      </c>
      <c r="E21" s="26" t="s">
        <v>233</v>
      </c>
    </row>
    <row r="22" spans="1:5" ht="37.950000000000003" customHeight="1">
      <c r="A22" s="25">
        <v>18</v>
      </c>
      <c r="B22" s="26" t="s">
        <v>257</v>
      </c>
      <c r="C22" s="26" t="s">
        <v>258</v>
      </c>
      <c r="D22" s="27">
        <f>f1_19</f>
        <v>0</v>
      </c>
      <c r="E22" s="26" t="s">
        <v>233</v>
      </c>
    </row>
    <row r="23" spans="1:5" ht="37.950000000000003" customHeight="1">
      <c r="A23" s="25">
        <v>19</v>
      </c>
      <c r="B23" s="26" t="s">
        <v>259</v>
      </c>
      <c r="C23" s="26" t="s">
        <v>260</v>
      </c>
      <c r="D23" s="27">
        <f>m_09-inp_m9_inner+m_10-m_11-m_15+m_16-m_17-m_18</f>
        <v>0</v>
      </c>
      <c r="E23" s="26" t="s">
        <v>233</v>
      </c>
    </row>
    <row r="24" spans="1:5" ht="37.950000000000003" customHeight="1">
      <c r="A24" s="25">
        <v>20</v>
      </c>
      <c r="B24" s="26" t="s">
        <v>261</v>
      </c>
      <c r="C24" s="26" t="s">
        <v>262</v>
      </c>
      <c r="D24" s="27">
        <f>f1_33</f>
        <v>20000000</v>
      </c>
      <c r="E24" s="26" t="s">
        <v>233</v>
      </c>
    </row>
    <row r="25" spans="1:5" ht="37.950000000000003" customHeight="1">
      <c r="A25" s="25">
        <v>21</v>
      </c>
      <c r="B25" s="26" t="s">
        <v>263</v>
      </c>
      <c r="C25" s="26" t="s">
        <v>264</v>
      </c>
      <c r="D25" s="31">
        <f>ROUNDDOWN(MAX(m_19-m_20,0),-3)</f>
        <v>0</v>
      </c>
      <c r="E25" s="26" t="s">
        <v>265</v>
      </c>
    </row>
    <row r="26" spans="1:5" ht="37.950000000000003" customHeight="1">
      <c r="A26" s="25">
        <v>22</v>
      </c>
      <c r="B26" s="26" t="s">
        <v>266</v>
      </c>
      <c r="C26" s="26" t="s">
        <v>267</v>
      </c>
      <c r="D26" s="27">
        <f>inp_b1_2+(inp_b1_4-inp_m22_b1_4_adjust)+inp_b1_6+inp_b1_9out-inp_b1_11-inp_b1_17-inp_m22_credits</f>
        <v>0</v>
      </c>
      <c r="E26" s="26" t="s">
        <v>233</v>
      </c>
    </row>
    <row r="27" spans="1:5" ht="37.950000000000003" customHeight="1">
      <c r="A27" s="25">
        <v>23</v>
      </c>
      <c r="B27" s="26" t="s">
        <v>268</v>
      </c>
      <c r="C27" s="26" t="s">
        <v>267</v>
      </c>
      <c r="D27" s="27">
        <f>inp_b1_2+(inp_b1_4-inp_m23_b1_4_adjust)+inp_b1_6+inp_b1_9out-inp_b1_11-inp_b1_17-inp_m23_credits</f>
        <v>0</v>
      </c>
      <c r="E27" s="26" t="s">
        <v>233</v>
      </c>
    </row>
    <row r="28" spans="1:5" ht="37.950000000000003" customHeight="1">
      <c r="A28" s="25">
        <v>24</v>
      </c>
      <c r="B28" s="26" t="s">
        <v>248</v>
      </c>
      <c r="C28" s="26" t="s">
        <v>269</v>
      </c>
      <c r="D28" s="27">
        <f>ROUNDDOWN(MAX(0,IF(inp_class="該当",m_23,m_22))*cfg_resident_rate,0)</f>
        <v>0</v>
      </c>
      <c r="E28" s="26" t="s">
        <v>233</v>
      </c>
    </row>
    <row r="29" spans="1:5" ht="37.950000000000003" customHeight="1">
      <c r="A29" s="25">
        <v>25</v>
      </c>
      <c r="B29" s="26" t="s">
        <v>270</v>
      </c>
      <c r="C29" s="26" t="s">
        <v>271</v>
      </c>
      <c r="D29" s="27">
        <f>ROUNDDOWN(inp_specific_donation_total*cfg_donation_rate,0)</f>
        <v>0</v>
      </c>
      <c r="E29" s="26" t="s">
        <v>233</v>
      </c>
    </row>
    <row r="30" spans="1:5" ht="37.950000000000003" customHeight="1">
      <c r="A30" s="25">
        <v>26</v>
      </c>
      <c r="B30" s="26" t="s">
        <v>272</v>
      </c>
      <c r="C30" s="26" t="s">
        <v>273</v>
      </c>
      <c r="D30" s="27">
        <f>ROUNDDOWN(MAX(0,m_24+(inp_b1_11+inp_b1_17-inp_adjust_local_credit)*cfg_resident_rate)*20%,0)</f>
        <v>0</v>
      </c>
      <c r="E30" s="26" t="s">
        <v>233</v>
      </c>
    </row>
    <row r="31" spans="1:5" ht="37.950000000000003" customHeight="1">
      <c r="A31" s="25">
        <v>27</v>
      </c>
      <c r="B31" s="26" t="s">
        <v>274</v>
      </c>
      <c r="C31" s="26" t="s">
        <v>275</v>
      </c>
      <c r="D31" s="27">
        <f>MIN(m_25,m_26)</f>
        <v>0</v>
      </c>
      <c r="E31" s="26" t="s">
        <v>233</v>
      </c>
    </row>
    <row r="32" spans="1:5" ht="37.950000000000003" customHeight="1">
      <c r="A32" s="25">
        <v>28</v>
      </c>
      <c r="B32" s="26" t="s">
        <v>248</v>
      </c>
      <c r="C32" s="26" t="s">
        <v>276</v>
      </c>
      <c r="D32" s="27">
        <f>m_24-m_27</f>
        <v>0</v>
      </c>
      <c r="E32" s="26" t="s">
        <v>277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DDCF9-1A98-49EC-A29B-5DC5AE2606C5}">
  <sheetPr>
    <tabColor rgb="FF2F75B5"/>
    <pageSetUpPr fitToPage="1"/>
  </sheetPr>
  <dimension ref="A1:E37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2" t="s">
        <v>278</v>
      </c>
      <c r="B1" s="3"/>
      <c r="C1" s="3"/>
      <c r="D1" s="3"/>
      <c r="E1" s="3"/>
    </row>
    <row r="2" spans="1:5">
      <c r="A2" s="4" t="s">
        <v>214</v>
      </c>
      <c r="B2" s="3"/>
      <c r="C2" s="3"/>
      <c r="D2" s="3"/>
      <c r="E2" s="3"/>
    </row>
    <row r="3" spans="1:5">
      <c r="A3" s="5"/>
      <c r="B3" s="5"/>
      <c r="C3" s="5"/>
      <c r="D3" s="5"/>
      <c r="E3" s="5"/>
    </row>
    <row r="4" spans="1:5">
      <c r="A4" s="24" t="s">
        <v>215</v>
      </c>
      <c r="B4" s="24" t="s">
        <v>216</v>
      </c>
      <c r="C4" s="24" t="s">
        <v>217</v>
      </c>
      <c r="D4" s="24" t="s">
        <v>218</v>
      </c>
      <c r="E4" s="24" t="s">
        <v>219</v>
      </c>
    </row>
    <row r="5" spans="1:5" ht="37.950000000000003" customHeight="1">
      <c r="A5" s="25">
        <v>1</v>
      </c>
      <c r="B5" s="26" t="s">
        <v>279</v>
      </c>
      <c r="C5" s="26" t="s">
        <v>280</v>
      </c>
      <c r="D5" s="27">
        <f>inp_f1_capital</f>
        <v>0</v>
      </c>
      <c r="E5" s="26" t="s">
        <v>233</v>
      </c>
    </row>
    <row r="6" spans="1:5" ht="37.950000000000003" customHeight="1">
      <c r="A6" s="25">
        <v>2</v>
      </c>
      <c r="B6" s="26" t="s">
        <v>281</v>
      </c>
      <c r="C6" s="26" t="s">
        <v>282</v>
      </c>
      <c r="D6" s="27">
        <f>ROUNDDOWN(f1_01*25%,0)</f>
        <v>0</v>
      </c>
      <c r="E6" s="26" t="s">
        <v>283</v>
      </c>
    </row>
    <row r="7" spans="1:5" ht="37.950000000000003" customHeight="1">
      <c r="A7" s="25">
        <v>3</v>
      </c>
      <c r="B7" s="26" t="s">
        <v>284</v>
      </c>
      <c r="C7" s="26" t="s">
        <v>285</v>
      </c>
      <c r="D7" s="27">
        <f>inp_f1_opening_profit-inp_prev_div</f>
        <v>0</v>
      </c>
      <c r="E7" s="26" t="s">
        <v>233</v>
      </c>
    </row>
    <row r="8" spans="1:5" ht="37.950000000000003" customHeight="1">
      <c r="A8" s="25">
        <v>4</v>
      </c>
      <c r="B8" s="26" t="s">
        <v>109</v>
      </c>
      <c r="C8" s="26" t="s">
        <v>280</v>
      </c>
      <c r="D8" s="27">
        <f>inp_f1_merger_inc</f>
        <v>0</v>
      </c>
      <c r="E8" s="26" t="s">
        <v>233</v>
      </c>
    </row>
    <row r="9" spans="1:5" ht="37.950000000000003" customHeight="1">
      <c r="A9" s="25">
        <v>5</v>
      </c>
      <c r="B9" s="26" t="s">
        <v>112</v>
      </c>
      <c r="C9" s="26" t="s">
        <v>280</v>
      </c>
      <c r="D9" s="27">
        <f>inp_f1_split_dec</f>
        <v>0</v>
      </c>
      <c r="E9" s="26" t="s">
        <v>233</v>
      </c>
    </row>
    <row r="10" spans="1:5" ht="37.950000000000003" customHeight="1">
      <c r="A10" s="25">
        <v>6</v>
      </c>
      <c r="B10" s="26" t="s">
        <v>286</v>
      </c>
      <c r="C10" s="26" t="s">
        <v>287</v>
      </c>
      <c r="D10" s="27">
        <f>f1_03+f1_04-f1_05</f>
        <v>0</v>
      </c>
      <c r="E10" s="26" t="s">
        <v>233</v>
      </c>
    </row>
    <row r="11" spans="1:5" ht="37.950000000000003" customHeight="1">
      <c r="A11" s="25">
        <v>7</v>
      </c>
      <c r="B11" s="26" t="s">
        <v>288</v>
      </c>
      <c r="C11" s="26" t="s">
        <v>289</v>
      </c>
      <c r="D11" s="27">
        <f>MAX(f1_02-f1_06,0)</f>
        <v>0</v>
      </c>
      <c r="E11" s="26" t="s">
        <v>290</v>
      </c>
    </row>
    <row r="12" spans="1:5" ht="37.950000000000003" customHeight="1">
      <c r="A12" s="25">
        <v>8</v>
      </c>
      <c r="B12" s="26" t="s">
        <v>291</v>
      </c>
      <c r="C12" s="26" t="s">
        <v>292</v>
      </c>
      <c r="D12" s="27">
        <f>IF(inp_months="",0,ROUNDDOWN(20000000*inp_months/12,0))</f>
        <v>20000000</v>
      </c>
      <c r="E12" s="26" t="s">
        <v>283</v>
      </c>
    </row>
    <row r="13" spans="1:5" ht="37.950000000000003" customHeight="1">
      <c r="A13" s="25">
        <v>9</v>
      </c>
      <c r="B13" s="26" t="s">
        <v>293</v>
      </c>
      <c r="C13" s="26" t="s">
        <v>114</v>
      </c>
      <c r="D13" s="27">
        <f>inp_f1_09</f>
        <v>0</v>
      </c>
      <c r="E13" s="26" t="s">
        <v>233</v>
      </c>
    </row>
    <row r="14" spans="1:5" ht="37.950000000000003" customHeight="1">
      <c r="A14" s="25">
        <v>10</v>
      </c>
      <c r="B14" s="26" t="s">
        <v>294</v>
      </c>
      <c r="C14" s="26" t="s">
        <v>118</v>
      </c>
      <c r="D14" s="27">
        <f>inp_f1_10</f>
        <v>0</v>
      </c>
      <c r="E14" s="26" t="s">
        <v>233</v>
      </c>
    </row>
    <row r="15" spans="1:5" ht="37.950000000000003" customHeight="1">
      <c r="A15" s="25">
        <v>11</v>
      </c>
      <c r="B15" s="26" t="s">
        <v>295</v>
      </c>
      <c r="C15" s="26" t="s">
        <v>122</v>
      </c>
      <c r="D15" s="27">
        <f>inp_f1_11</f>
        <v>0</v>
      </c>
      <c r="E15" s="26" t="s">
        <v>233</v>
      </c>
    </row>
    <row r="16" spans="1:5" ht="37.950000000000003" customHeight="1">
      <c r="A16" s="25">
        <v>12</v>
      </c>
      <c r="B16" s="26" t="s">
        <v>296</v>
      </c>
      <c r="C16" s="26" t="s">
        <v>125</v>
      </c>
      <c r="D16" s="27">
        <f>inp_f1_12</f>
        <v>0</v>
      </c>
      <c r="E16" s="26" t="s">
        <v>233</v>
      </c>
    </row>
    <row r="17" spans="1:5" ht="37.950000000000003" customHeight="1">
      <c r="A17" s="25">
        <v>13</v>
      </c>
      <c r="B17" s="26" t="s">
        <v>297</v>
      </c>
      <c r="C17" s="26" t="s">
        <v>128</v>
      </c>
      <c r="D17" s="27">
        <f>inp_f1_13</f>
        <v>0</v>
      </c>
      <c r="E17" s="26" t="s">
        <v>233</v>
      </c>
    </row>
    <row r="18" spans="1:5" ht="37.950000000000003" customHeight="1">
      <c r="A18" s="25">
        <v>14</v>
      </c>
      <c r="B18" s="26" t="s">
        <v>298</v>
      </c>
      <c r="C18" s="26" t="s">
        <v>131</v>
      </c>
      <c r="D18" s="27">
        <f>inp_f1_14</f>
        <v>0</v>
      </c>
      <c r="E18" s="26" t="s">
        <v>233</v>
      </c>
    </row>
    <row r="19" spans="1:5" ht="37.950000000000003" customHeight="1">
      <c r="A19" s="25">
        <v>15</v>
      </c>
      <c r="B19" s="26" t="s">
        <v>299</v>
      </c>
      <c r="C19" s="26" t="s">
        <v>134</v>
      </c>
      <c r="D19" s="27">
        <f>inp_f1_15</f>
        <v>0</v>
      </c>
      <c r="E19" s="26" t="s">
        <v>233</v>
      </c>
    </row>
    <row r="20" spans="1:5" ht="37.950000000000003" customHeight="1">
      <c r="A20" s="25">
        <v>16</v>
      </c>
      <c r="B20" s="26" t="s">
        <v>300</v>
      </c>
      <c r="C20" s="26" t="s">
        <v>137</v>
      </c>
      <c r="D20" s="27">
        <f>inp_f1_16</f>
        <v>0</v>
      </c>
      <c r="E20" s="26" t="s">
        <v>233</v>
      </c>
    </row>
    <row r="21" spans="1:5" ht="37.950000000000003" customHeight="1">
      <c r="A21" s="25">
        <v>17</v>
      </c>
      <c r="B21" s="26" t="s">
        <v>301</v>
      </c>
      <c r="C21" s="26" t="s">
        <v>302</v>
      </c>
      <c r="D21" s="27">
        <f>IF(inp_group="はい",f2_13,0)</f>
        <v>0</v>
      </c>
      <c r="E21" s="26" t="s">
        <v>233</v>
      </c>
    </row>
    <row r="22" spans="1:5" ht="37.950000000000003" customHeight="1">
      <c r="A22" s="25">
        <v>18</v>
      </c>
      <c r="B22" s="26" t="s">
        <v>303</v>
      </c>
      <c r="C22" s="26" t="s">
        <v>304</v>
      </c>
      <c r="D22" s="27">
        <f>IF(inp_group="はい",f2_17,0)</f>
        <v>0</v>
      </c>
      <c r="E22" s="26" t="s">
        <v>233</v>
      </c>
    </row>
    <row r="23" spans="1:5" ht="37.950000000000003" customHeight="1">
      <c r="A23" s="25">
        <v>19</v>
      </c>
      <c r="B23" s="26" t="s">
        <v>257</v>
      </c>
      <c r="C23" s="26" t="s">
        <v>140</v>
      </c>
      <c r="D23" s="27">
        <f>inp_f1_19</f>
        <v>0</v>
      </c>
      <c r="E23" s="26" t="s">
        <v>233</v>
      </c>
    </row>
    <row r="24" spans="1:5" ht="37.950000000000003" customHeight="1">
      <c r="A24" s="25">
        <v>20</v>
      </c>
      <c r="B24" s="26" t="s">
        <v>305</v>
      </c>
      <c r="C24" s="26" t="s">
        <v>143</v>
      </c>
      <c r="D24" s="27">
        <f>inp_f1_20</f>
        <v>0</v>
      </c>
      <c r="E24" s="26" t="s">
        <v>233</v>
      </c>
    </row>
    <row r="25" spans="1:5" ht="37.950000000000003" customHeight="1">
      <c r="A25" s="25">
        <v>21</v>
      </c>
      <c r="B25" s="26" t="s">
        <v>306</v>
      </c>
      <c r="C25" s="26" t="s">
        <v>146</v>
      </c>
      <c r="D25" s="27">
        <f>inp_f1_21</f>
        <v>0</v>
      </c>
      <c r="E25" s="26" t="s">
        <v>233</v>
      </c>
    </row>
    <row r="26" spans="1:5" ht="37.950000000000003" customHeight="1">
      <c r="A26" s="25">
        <v>22</v>
      </c>
      <c r="B26" s="26" t="s">
        <v>307</v>
      </c>
      <c r="C26" s="26" t="s">
        <v>149</v>
      </c>
      <c r="D26" s="27">
        <f>inp_f1_22</f>
        <v>0</v>
      </c>
      <c r="E26" s="26" t="s">
        <v>233</v>
      </c>
    </row>
    <row r="27" spans="1:5" ht="37.950000000000003" customHeight="1">
      <c r="A27" s="25">
        <v>23</v>
      </c>
      <c r="B27" s="26" t="s">
        <v>308</v>
      </c>
      <c r="C27" s="26" t="s">
        <v>152</v>
      </c>
      <c r="D27" s="27">
        <f>inp_f1_23</f>
        <v>0</v>
      </c>
      <c r="E27" s="26" t="s">
        <v>233</v>
      </c>
    </row>
    <row r="28" spans="1:5" ht="37.950000000000003" customHeight="1">
      <c r="A28" s="25">
        <v>24</v>
      </c>
      <c r="B28" s="26" t="s">
        <v>309</v>
      </c>
      <c r="C28" s="26" t="s">
        <v>155</v>
      </c>
      <c r="D28" s="27">
        <f>inp_f1_24</f>
        <v>0</v>
      </c>
      <c r="E28" s="26" t="s">
        <v>233</v>
      </c>
    </row>
    <row r="29" spans="1:5" ht="37.950000000000003" customHeight="1">
      <c r="A29" s="25">
        <v>25</v>
      </c>
      <c r="B29" s="26" t="s">
        <v>310</v>
      </c>
      <c r="C29" s="26" t="s">
        <v>158</v>
      </c>
      <c r="D29" s="27">
        <f>inp_f1_25</f>
        <v>0</v>
      </c>
      <c r="E29" s="26" t="s">
        <v>233</v>
      </c>
    </row>
    <row r="30" spans="1:5" ht="37.950000000000003" customHeight="1">
      <c r="A30" s="25">
        <v>26</v>
      </c>
      <c r="B30" s="26" t="s">
        <v>311</v>
      </c>
      <c r="C30" s="26" t="s">
        <v>161</v>
      </c>
      <c r="D30" s="27">
        <f>inp_f1_26</f>
        <v>0</v>
      </c>
      <c r="E30" s="26" t="s">
        <v>233</v>
      </c>
    </row>
    <row r="31" spans="1:5" ht="37.950000000000003" customHeight="1">
      <c r="A31" s="25">
        <v>27</v>
      </c>
      <c r="B31" s="26" t="s">
        <v>312</v>
      </c>
      <c r="C31" s="26" t="s">
        <v>164</v>
      </c>
      <c r="D31" s="27">
        <f>inp_f1_27</f>
        <v>0</v>
      </c>
      <c r="E31" s="26" t="s">
        <v>233</v>
      </c>
    </row>
    <row r="32" spans="1:5" ht="37.950000000000003" customHeight="1">
      <c r="A32" s="25">
        <v>28</v>
      </c>
      <c r="B32" s="26" t="s">
        <v>313</v>
      </c>
      <c r="C32" s="26" t="s">
        <v>167</v>
      </c>
      <c r="D32" s="27">
        <f>inp_f1_28</f>
        <v>0</v>
      </c>
      <c r="E32" s="26" t="s">
        <v>233</v>
      </c>
    </row>
    <row r="33" spans="1:5" ht="37.950000000000003" customHeight="1">
      <c r="A33" s="25">
        <v>29</v>
      </c>
      <c r="B33" s="26" t="s">
        <v>314</v>
      </c>
      <c r="C33" s="26" t="s">
        <v>170</v>
      </c>
      <c r="D33" s="27">
        <f>inp_f1_29</f>
        <v>0</v>
      </c>
      <c r="E33" s="26" t="s">
        <v>233</v>
      </c>
    </row>
    <row r="34" spans="1:5" ht="37.950000000000003" customHeight="1">
      <c r="A34" s="25">
        <v>30</v>
      </c>
      <c r="B34" s="26" t="s">
        <v>315</v>
      </c>
      <c r="C34" s="26" t="s">
        <v>173</v>
      </c>
      <c r="D34" s="27">
        <f>inp_f1_30</f>
        <v>0</v>
      </c>
      <c r="E34" s="26" t="s">
        <v>233</v>
      </c>
    </row>
    <row r="35" spans="1:5" ht="37.950000000000003" customHeight="1">
      <c r="A35" s="25">
        <v>31</v>
      </c>
      <c r="B35" s="26" t="s">
        <v>316</v>
      </c>
      <c r="C35" s="26" t="s">
        <v>317</v>
      </c>
      <c r="D35" s="27">
        <f>f1_09-f1_10+f1_11+f1_12+f1_13+f1_14+f1_15-f1_16+f1_17-f1_18-f1_19+f1_20+f1_21-f1_22+f1_23-f1_24+f1_25+f1_26-f1_27+f1_28+f1_29-f1_30</f>
        <v>0</v>
      </c>
      <c r="E35" s="26" t="s">
        <v>233</v>
      </c>
    </row>
    <row r="36" spans="1:5" ht="37.950000000000003" customHeight="1">
      <c r="A36" s="25">
        <v>32</v>
      </c>
      <c r="B36" s="26" t="s">
        <v>318</v>
      </c>
      <c r="C36" s="26" t="s">
        <v>319</v>
      </c>
      <c r="D36" s="27">
        <f>ROUNDDOWN(f1_31*40%,0)</f>
        <v>0</v>
      </c>
      <c r="E36" s="26" t="s">
        <v>283</v>
      </c>
    </row>
    <row r="37" spans="1:5" ht="37.950000000000003" customHeight="1">
      <c r="A37" s="25">
        <v>33</v>
      </c>
      <c r="B37" s="26" t="s">
        <v>261</v>
      </c>
      <c r="C37" s="26" t="s">
        <v>320</v>
      </c>
      <c r="D37" s="31">
        <f>MAX(f1_07,f1_08,f1_32)</f>
        <v>20000000</v>
      </c>
      <c r="E37" s="26" t="s">
        <v>321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A7505-1744-4924-9147-65431A463EA4}">
  <sheetPr>
    <tabColor rgb="FF2F75B5"/>
    <pageSetUpPr fitToPage="1"/>
  </sheetPr>
  <dimension ref="A1:E30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7.69921875" customWidth="1"/>
    <col min="2" max="2" width="37.69921875" customWidth="1"/>
    <col min="3" max="3" width="49.69921875" customWidth="1"/>
    <col min="4" max="4" width="18.69921875" customWidth="1"/>
    <col min="5" max="5" width="28.69921875" customWidth="1"/>
  </cols>
  <sheetData>
    <row r="1" spans="1:5" ht="30" customHeight="1">
      <c r="A1" s="2" t="s">
        <v>322</v>
      </c>
      <c r="B1" s="3"/>
      <c r="C1" s="3"/>
      <c r="D1" s="3"/>
      <c r="E1" s="3"/>
    </row>
    <row r="2" spans="1:5">
      <c r="A2" s="4" t="s">
        <v>214</v>
      </c>
      <c r="B2" s="3"/>
      <c r="C2" s="3"/>
      <c r="D2" s="3"/>
      <c r="E2" s="3"/>
    </row>
    <row r="3" spans="1:5">
      <c r="A3" s="5"/>
      <c r="B3" s="5"/>
      <c r="C3" s="5"/>
      <c r="D3" s="5"/>
      <c r="E3" s="5"/>
    </row>
    <row r="4" spans="1:5">
      <c r="A4" s="24" t="s">
        <v>215</v>
      </c>
      <c r="B4" s="24" t="s">
        <v>216</v>
      </c>
      <c r="C4" s="24" t="s">
        <v>217</v>
      </c>
      <c r="D4" s="24" t="s">
        <v>218</v>
      </c>
      <c r="E4" s="24" t="s">
        <v>219</v>
      </c>
    </row>
    <row r="5" spans="1:5" ht="37.950000000000003" customHeight="1">
      <c r="A5" s="25">
        <v>1</v>
      </c>
      <c r="B5" s="26" t="s">
        <v>323</v>
      </c>
      <c r="C5" s="26" t="s">
        <v>177</v>
      </c>
      <c r="D5" s="27">
        <f>IF(inp_group="はい",inp_f2_01,0)</f>
        <v>0</v>
      </c>
      <c r="E5" s="26" t="s">
        <v>233</v>
      </c>
    </row>
    <row r="6" spans="1:5" ht="37.950000000000003" customHeight="1">
      <c r="A6" s="25">
        <v>2</v>
      </c>
      <c r="B6" s="26" t="s">
        <v>324</v>
      </c>
      <c r="C6" s="26" t="s">
        <v>180</v>
      </c>
      <c r="D6" s="27">
        <f>IF(inp_group="はい",inp_f2_02,0)</f>
        <v>0</v>
      </c>
      <c r="E6" s="26" t="s">
        <v>233</v>
      </c>
    </row>
    <row r="7" spans="1:5" ht="37.950000000000003" customHeight="1">
      <c r="A7" s="25">
        <v>3</v>
      </c>
      <c r="B7" s="26" t="s">
        <v>325</v>
      </c>
      <c r="C7" s="26" t="s">
        <v>183</v>
      </c>
      <c r="D7" s="27">
        <f>IF(inp_group="はい",inp_f2_03,0)</f>
        <v>0</v>
      </c>
      <c r="E7" s="26" t="s">
        <v>233</v>
      </c>
    </row>
    <row r="8" spans="1:5" ht="37.950000000000003" customHeight="1">
      <c r="A8" s="25">
        <v>4</v>
      </c>
      <c r="B8" s="26" t="s">
        <v>326</v>
      </c>
      <c r="C8" s="26" t="s">
        <v>183</v>
      </c>
      <c r="D8" s="27">
        <f>IF(inp_group="はい",inp_f2_04,0)</f>
        <v>0</v>
      </c>
      <c r="E8" s="26" t="s">
        <v>233</v>
      </c>
    </row>
    <row r="9" spans="1:5" ht="37.950000000000003" customHeight="1">
      <c r="A9" s="25">
        <v>5</v>
      </c>
      <c r="B9" s="26" t="s">
        <v>253</v>
      </c>
      <c r="C9" s="26" t="s">
        <v>327</v>
      </c>
      <c r="D9" s="27">
        <f>SUM(f2_01:f2_04)</f>
        <v>0</v>
      </c>
      <c r="E9" s="26" t="s">
        <v>328</v>
      </c>
    </row>
    <row r="10" spans="1:5" ht="37.950000000000003" customHeight="1">
      <c r="A10" s="25">
        <v>6</v>
      </c>
      <c r="B10" s="26" t="s">
        <v>329</v>
      </c>
      <c r="C10" s="26" t="s">
        <v>188</v>
      </c>
      <c r="D10" s="27">
        <f>IF(inp_group="はい",inp_f2_06,0)</f>
        <v>0</v>
      </c>
      <c r="E10" s="26" t="s">
        <v>233</v>
      </c>
    </row>
    <row r="11" spans="1:5" ht="37.950000000000003" customHeight="1">
      <c r="A11" s="25">
        <v>7</v>
      </c>
      <c r="B11" s="26" t="s">
        <v>330</v>
      </c>
      <c r="C11" s="26" t="s">
        <v>191</v>
      </c>
      <c r="D11" s="27">
        <f>IF(inp_group="はい",inp_f2_07,0)</f>
        <v>0</v>
      </c>
      <c r="E11" s="26" t="s">
        <v>233</v>
      </c>
    </row>
    <row r="12" spans="1:5" ht="37.950000000000003" customHeight="1">
      <c r="A12" s="25">
        <v>8</v>
      </c>
      <c r="B12" s="26" t="s">
        <v>331</v>
      </c>
      <c r="C12" s="26" t="s">
        <v>194</v>
      </c>
      <c r="D12" s="27">
        <f>IF(inp_group="はい",inp_f2_08,0)</f>
        <v>0</v>
      </c>
      <c r="E12" s="26" t="s">
        <v>233</v>
      </c>
    </row>
    <row r="13" spans="1:5" ht="37.950000000000003" customHeight="1">
      <c r="A13" s="25">
        <v>9</v>
      </c>
      <c r="B13" s="26" t="s">
        <v>332</v>
      </c>
      <c r="C13" s="26" t="s">
        <v>333</v>
      </c>
      <c r="D13" s="27">
        <f>IF(inp_group="はい",f2_26,0)</f>
        <v>0</v>
      </c>
      <c r="E13" s="26" t="s">
        <v>233</v>
      </c>
    </row>
    <row r="14" spans="1:5" ht="37.950000000000003" customHeight="1">
      <c r="A14" s="25">
        <v>10</v>
      </c>
      <c r="B14" s="26" t="s">
        <v>255</v>
      </c>
      <c r="C14" s="26" t="s">
        <v>334</v>
      </c>
      <c r="D14" s="27">
        <f>SUM(f2_06:f2_09)</f>
        <v>0</v>
      </c>
      <c r="E14" s="26" t="s">
        <v>335</v>
      </c>
    </row>
    <row r="15" spans="1:5" ht="37.950000000000003" customHeight="1">
      <c r="A15" s="25">
        <v>11</v>
      </c>
      <c r="B15" s="26" t="s">
        <v>330</v>
      </c>
      <c r="C15" s="26" t="s">
        <v>191</v>
      </c>
      <c r="D15" s="27">
        <f>IF(inp_group="はい",inp_f2_07,0)</f>
        <v>0</v>
      </c>
      <c r="E15" s="26" t="s">
        <v>336</v>
      </c>
    </row>
    <row r="16" spans="1:5" ht="37.950000000000003" customHeight="1">
      <c r="A16" s="25">
        <v>12</v>
      </c>
      <c r="B16" s="26" t="s">
        <v>337</v>
      </c>
      <c r="C16" s="26" t="s">
        <v>197</v>
      </c>
      <c r="D16" s="27">
        <f>IF(inp_group="はい",inp_f2_12,0)</f>
        <v>0</v>
      </c>
      <c r="E16" s="26" t="s">
        <v>233</v>
      </c>
    </row>
    <row r="17" spans="1:5" ht="37.950000000000003" customHeight="1">
      <c r="A17" s="25">
        <v>13</v>
      </c>
      <c r="B17" s="26" t="s">
        <v>301</v>
      </c>
      <c r="C17" s="26" t="s">
        <v>338</v>
      </c>
      <c r="D17" s="27">
        <f>SUM(f2_11:f2_12)</f>
        <v>0</v>
      </c>
      <c r="E17" s="26" t="s">
        <v>339</v>
      </c>
    </row>
    <row r="18" spans="1:5" ht="37.950000000000003" customHeight="1">
      <c r="A18" s="25">
        <v>14</v>
      </c>
      <c r="B18" s="26" t="s">
        <v>324</v>
      </c>
      <c r="C18" s="26" t="s">
        <v>180</v>
      </c>
      <c r="D18" s="27">
        <f>IF(inp_group="はい",inp_f2_02,0)</f>
        <v>0</v>
      </c>
      <c r="E18" s="26" t="s">
        <v>340</v>
      </c>
    </row>
    <row r="19" spans="1:5" ht="37.950000000000003" customHeight="1">
      <c r="A19" s="25">
        <v>15</v>
      </c>
      <c r="B19" s="26" t="s">
        <v>341</v>
      </c>
      <c r="C19" s="26" t="s">
        <v>200</v>
      </c>
      <c r="D19" s="27">
        <f>IF(inp_group="はい",inp_f2_15,0)</f>
        <v>0</v>
      </c>
      <c r="E19" s="26" t="s">
        <v>233</v>
      </c>
    </row>
    <row r="20" spans="1:5" ht="37.950000000000003" customHeight="1">
      <c r="A20" s="25">
        <v>16</v>
      </c>
      <c r="B20" s="26" t="s">
        <v>342</v>
      </c>
      <c r="C20" s="26" t="s">
        <v>203</v>
      </c>
      <c r="D20" s="27">
        <f>IF(inp_group="はい",inp_f2_16,0)</f>
        <v>0</v>
      </c>
      <c r="E20" s="26" t="s">
        <v>233</v>
      </c>
    </row>
    <row r="21" spans="1:5" ht="37.950000000000003" customHeight="1">
      <c r="A21" s="25">
        <v>17</v>
      </c>
      <c r="B21" s="26" t="s">
        <v>303</v>
      </c>
      <c r="C21" s="26" t="s">
        <v>343</v>
      </c>
      <c r="D21" s="27">
        <f>SUM(f2_14:f2_16)</f>
        <v>0</v>
      </c>
      <c r="E21" s="26" t="s">
        <v>339</v>
      </c>
    </row>
    <row r="22" spans="1:5" ht="37.950000000000003" customHeight="1">
      <c r="A22" s="25">
        <v>18</v>
      </c>
      <c r="B22" s="26" t="s">
        <v>344</v>
      </c>
      <c r="C22" s="26" t="s">
        <v>345</v>
      </c>
      <c r="D22" s="27">
        <f>f2_08</f>
        <v>0</v>
      </c>
      <c r="E22" s="26" t="s">
        <v>233</v>
      </c>
    </row>
    <row r="23" spans="1:5" ht="37.950000000000003" customHeight="1">
      <c r="A23" s="25">
        <v>19</v>
      </c>
      <c r="B23" s="26" t="s">
        <v>346</v>
      </c>
      <c r="C23" s="26" t="s">
        <v>347</v>
      </c>
      <c r="D23" s="27">
        <f>MAX(f2_18-f2_04,0)</f>
        <v>0</v>
      </c>
      <c r="E23" s="26" t="s">
        <v>233</v>
      </c>
    </row>
    <row r="24" spans="1:5" ht="37.950000000000003" customHeight="1">
      <c r="A24" s="25">
        <v>20</v>
      </c>
      <c r="B24" s="26" t="s">
        <v>348</v>
      </c>
      <c r="C24" s="26" t="s">
        <v>349</v>
      </c>
      <c r="D24" s="27">
        <f>MIN(f2_03,f2_19)</f>
        <v>0</v>
      </c>
      <c r="E24" s="26" t="s">
        <v>233</v>
      </c>
    </row>
    <row r="25" spans="1:5" ht="37.950000000000003" customHeight="1">
      <c r="A25" s="25">
        <v>21</v>
      </c>
      <c r="B25" s="26" t="s">
        <v>350</v>
      </c>
      <c r="C25" s="26" t="s">
        <v>206</v>
      </c>
      <c r="D25" s="27">
        <f>IF(inp_group="はい",inp_f2_21,0)-f2_20</f>
        <v>0</v>
      </c>
      <c r="E25" s="26" t="s">
        <v>208</v>
      </c>
    </row>
    <row r="26" spans="1:5" ht="37.950000000000003" customHeight="1">
      <c r="A26" s="25">
        <v>22</v>
      </c>
      <c r="B26" s="26" t="s">
        <v>351</v>
      </c>
      <c r="C26" s="26" t="s">
        <v>352</v>
      </c>
      <c r="D26" s="27">
        <f>MAX(f2_04-f2_18,0)</f>
        <v>0</v>
      </c>
      <c r="E26" s="26" t="s">
        <v>233</v>
      </c>
    </row>
    <row r="27" spans="1:5" ht="37.950000000000003" customHeight="1">
      <c r="A27" s="25">
        <v>23</v>
      </c>
      <c r="B27" s="26" t="s">
        <v>353</v>
      </c>
      <c r="C27" s="26" t="s">
        <v>210</v>
      </c>
      <c r="D27" s="27">
        <f>IF(inp_group="はい",inp_f2_23,0)-f2_22</f>
        <v>0</v>
      </c>
      <c r="E27" s="26" t="s">
        <v>212</v>
      </c>
    </row>
    <row r="28" spans="1:5" ht="37.950000000000003" customHeight="1">
      <c r="A28" s="25">
        <v>24</v>
      </c>
      <c r="B28" s="26" t="s">
        <v>354</v>
      </c>
      <c r="C28" s="26" t="s">
        <v>355</v>
      </c>
      <c r="D28" s="30">
        <f>IF(f2_22+f2_23=0,0,f2_22/(f2_22+f2_23))</f>
        <v>0</v>
      </c>
      <c r="E28" s="26" t="s">
        <v>356</v>
      </c>
    </row>
    <row r="29" spans="1:5" ht="37.950000000000003" customHeight="1">
      <c r="A29" s="25">
        <v>25</v>
      </c>
      <c r="B29" s="26" t="s">
        <v>357</v>
      </c>
      <c r="C29" s="26" t="s">
        <v>358</v>
      </c>
      <c r="D29" s="27">
        <f>MAX(f2_03-f2_19,0)</f>
        <v>0</v>
      </c>
      <c r="E29" s="26" t="s">
        <v>233</v>
      </c>
    </row>
    <row r="30" spans="1:5" ht="37.950000000000003" customHeight="1">
      <c r="A30" s="25">
        <v>26</v>
      </c>
      <c r="B30" s="26" t="s">
        <v>332</v>
      </c>
      <c r="C30" s="26" t="s">
        <v>359</v>
      </c>
      <c r="D30" s="27">
        <f>IF(f2_22+f2_23=0,f2_25,QUOTIENT((f2_20+f2_21)*f2_22,f2_22+f2_23)+f2_25)</f>
        <v>0</v>
      </c>
      <c r="E30" s="26" t="s">
        <v>360</v>
      </c>
    </row>
  </sheetData>
  <sheetProtection sheet="1" objects="1" scenarios="1"/>
  <mergeCells count="2">
    <mergeCell ref="A1:E1"/>
    <mergeCell ref="A2:E2"/>
  </mergeCells>
  <phoneticPr fontId="2"/>
  <pageMargins left="0.7" right="0.7" top="0.75" bottom="0.75" header="0.3" footer="0.3"/>
  <pageSetup paperSize="9" fitToHeight="99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03B32-FD46-404E-BE8E-FA6A92B8ECA4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796875" customWidth="1"/>
  </cols>
  <sheetData>
    <row r="1" ht="280.64999999999998" customHeight="1"/>
    <row r="2" ht="280.64999999999998" customHeight="1"/>
    <row r="3" ht="280.64999999999998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02D28-607C-455B-8551-52BD121C40CB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796875" customWidth="1"/>
  </cols>
  <sheetData>
    <row r="1" ht="280.64999999999998" customHeight="1"/>
    <row r="2" ht="280.64999999999998" customHeight="1"/>
    <row r="3" ht="280.64999999999998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16202-46AF-4247-A87E-DEB7549DDE91}">
  <sheetPr>
    <tabColor rgb="FF548235"/>
    <pageSetUpPr fitToPage="1"/>
  </sheetPr>
  <dimension ref="A1:A3"/>
  <sheetViews>
    <sheetView showGridLines="0" zoomScale="90" zoomScaleNormal="90" workbookViewId="0"/>
  </sheetViews>
  <sheetFormatPr defaultRowHeight="18"/>
  <cols>
    <col min="1" max="11" width="8.296875" customWidth="1"/>
    <col min="12" max="12" width="7.796875" customWidth="1"/>
  </cols>
  <sheetData>
    <row r="1" ht="280.64999999999998" customHeight="1"/>
    <row r="2" ht="280.64999999999998" customHeight="1"/>
    <row r="3" ht="280.64999999999998" customHeight="1"/>
  </sheetData>
  <sheetProtection sheet="1" objects="1" scenarios="1"/>
  <phoneticPr fontId="2"/>
  <printOptions horizontalCentered="1" verticalCentered="1"/>
  <pageMargins left="0" right="0" top="0" bottom="0" header="0" footer="0"/>
  <pageSetup paperSize="9" scale="97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84671-0F92-45D7-95E0-4FF115FEA276}">
  <sheetPr>
    <tabColor rgb="FFC00000"/>
    <pageSetUpPr fitToPage="1"/>
  </sheetPr>
  <dimension ref="A1:D26"/>
  <sheetViews>
    <sheetView showGridLines="0" zoomScale="90" zoomScaleNormal="90" workbookViewId="0">
      <pane ySplit="3" topLeftCell="A4" activePane="bottomLeft" state="frozenSplit"/>
      <selection pane="bottomLeft" sqref="A1:D1"/>
    </sheetView>
  </sheetViews>
  <sheetFormatPr defaultRowHeight="18"/>
  <cols>
    <col min="1" max="1" width="36.69921875" customWidth="1"/>
    <col min="2" max="3" width="32.69921875" customWidth="1"/>
    <col min="4" max="4" width="12.69921875" customWidth="1"/>
  </cols>
  <sheetData>
    <row r="1" spans="1:4">
      <c r="A1" s="46" t="s">
        <v>440</v>
      </c>
      <c r="B1" s="32"/>
      <c r="C1" s="32"/>
      <c r="D1" s="32"/>
    </row>
    <row r="2" spans="1:4">
      <c r="A2" s="47"/>
      <c r="B2" s="47"/>
      <c r="C2" s="47"/>
      <c r="D2" s="47"/>
    </row>
    <row r="3" spans="1:4">
      <c r="A3" s="48" t="s">
        <v>441</v>
      </c>
      <c r="B3" s="48" t="s">
        <v>442</v>
      </c>
      <c r="C3" s="48" t="s">
        <v>443</v>
      </c>
      <c r="D3" s="48" t="s">
        <v>444</v>
      </c>
    </row>
    <row r="4" spans="1:4">
      <c r="A4" s="14" t="s">
        <v>445</v>
      </c>
      <c r="B4" s="14" t="s">
        <v>446</v>
      </c>
      <c r="C4" s="14" t="s">
        <v>447</v>
      </c>
      <c r="D4" s="49" t="s">
        <v>448</v>
      </c>
    </row>
    <row r="5" spans="1:4">
      <c r="A5" s="14" t="s">
        <v>449</v>
      </c>
      <c r="B5" s="14" t="s">
        <v>450</v>
      </c>
      <c r="C5" s="14" t="s">
        <v>450</v>
      </c>
      <c r="D5" s="49" t="s">
        <v>448</v>
      </c>
    </row>
    <row r="6" spans="1:4">
      <c r="A6" s="14" t="s">
        <v>451</v>
      </c>
      <c r="B6" s="14" t="s">
        <v>452</v>
      </c>
      <c r="C6" s="14" t="s">
        <v>452</v>
      </c>
      <c r="D6" s="49" t="s">
        <v>448</v>
      </c>
    </row>
    <row r="7" spans="1:4">
      <c r="A7" s="14" t="s">
        <v>453</v>
      </c>
      <c r="B7" s="14" t="s">
        <v>454</v>
      </c>
      <c r="C7" s="14" t="s">
        <v>454</v>
      </c>
      <c r="D7" s="49" t="s">
        <v>448</v>
      </c>
    </row>
    <row r="8" spans="1:4">
      <c r="A8" s="14" t="s">
        <v>455</v>
      </c>
      <c r="B8" s="14" t="s">
        <v>454</v>
      </c>
      <c r="C8" s="14" t="s">
        <v>454</v>
      </c>
      <c r="D8" s="49" t="s">
        <v>448</v>
      </c>
    </row>
    <row r="9" spans="1:4">
      <c r="A9" s="14" t="s">
        <v>456</v>
      </c>
      <c r="B9" s="14" t="s">
        <v>454</v>
      </c>
      <c r="C9" s="14" t="s">
        <v>454</v>
      </c>
      <c r="D9" s="49" t="s">
        <v>448</v>
      </c>
    </row>
    <row r="10" spans="1:4">
      <c r="A10" s="14" t="s">
        <v>457</v>
      </c>
      <c r="B10" s="14" t="s">
        <v>458</v>
      </c>
      <c r="C10" s="14" t="s">
        <v>458</v>
      </c>
      <c r="D10" s="49" t="s">
        <v>448</v>
      </c>
    </row>
    <row r="11" spans="1:4" ht="36">
      <c r="A11" s="14" t="s">
        <v>459</v>
      </c>
      <c r="B11" s="14" t="s">
        <v>460</v>
      </c>
      <c r="C11" s="14" t="s">
        <v>461</v>
      </c>
      <c r="D11" s="49" t="s">
        <v>448</v>
      </c>
    </row>
    <row r="12" spans="1:4">
      <c r="A12" s="14" t="s">
        <v>462</v>
      </c>
      <c r="B12" s="14" t="s">
        <v>463</v>
      </c>
      <c r="C12" s="14" t="s">
        <v>464</v>
      </c>
      <c r="D12" s="49" t="s">
        <v>448</v>
      </c>
    </row>
    <row r="13" spans="1:4">
      <c r="A13" s="14" t="s">
        <v>465</v>
      </c>
      <c r="B13" s="14" t="s">
        <v>466</v>
      </c>
      <c r="C13" s="14" t="s">
        <v>467</v>
      </c>
      <c r="D13" s="49" t="s">
        <v>448</v>
      </c>
    </row>
    <row r="14" spans="1:4">
      <c r="A14" s="14" t="s">
        <v>468</v>
      </c>
      <c r="B14" s="14" t="s">
        <v>469</v>
      </c>
      <c r="C14" s="14" t="s">
        <v>470</v>
      </c>
      <c r="D14" s="49" t="s">
        <v>448</v>
      </c>
    </row>
    <row r="15" spans="1:4">
      <c r="A15" s="14" t="s">
        <v>471</v>
      </c>
      <c r="B15" s="14" t="s">
        <v>472</v>
      </c>
      <c r="C15" s="14" t="s">
        <v>472</v>
      </c>
      <c r="D15" s="49" t="s">
        <v>448</v>
      </c>
    </row>
    <row r="16" spans="1:4">
      <c r="A16" s="14"/>
      <c r="B16" s="14"/>
      <c r="C16" s="14"/>
      <c r="D16" s="14"/>
    </row>
    <row r="17" spans="1:4" ht="22.95" customHeight="1">
      <c r="A17" s="50" t="s">
        <v>473</v>
      </c>
      <c r="B17" s="50"/>
      <c r="C17" s="50"/>
      <c r="D17" s="50"/>
    </row>
    <row r="18" spans="1:4">
      <c r="A18" s="14" t="s">
        <v>474</v>
      </c>
      <c r="B18" s="14">
        <v>0</v>
      </c>
      <c r="C18" s="14">
        <v>0</v>
      </c>
      <c r="D18" s="51" t="s">
        <v>448</v>
      </c>
    </row>
    <row r="19" spans="1:4">
      <c r="A19" s="14" t="s">
        <v>475</v>
      </c>
      <c r="B19" s="14">
        <v>28</v>
      </c>
      <c r="C19" s="14">
        <v>28</v>
      </c>
      <c r="D19" s="51" t="s">
        <v>448</v>
      </c>
    </row>
    <row r="20" spans="1:4">
      <c r="A20" s="14" t="s">
        <v>476</v>
      </c>
      <c r="B20" s="14">
        <v>33</v>
      </c>
      <c r="C20" s="14">
        <v>33</v>
      </c>
      <c r="D20" s="51" t="s">
        <v>448</v>
      </c>
    </row>
    <row r="21" spans="1:4">
      <c r="A21" s="14" t="s">
        <v>477</v>
      </c>
      <c r="B21" s="14">
        <v>26</v>
      </c>
      <c r="C21" s="14">
        <v>26</v>
      </c>
      <c r="D21" s="51" t="s">
        <v>448</v>
      </c>
    </row>
    <row r="22" spans="1:4">
      <c r="A22" s="14" t="s">
        <v>478</v>
      </c>
      <c r="B22" s="14" t="b">
        <v>1</v>
      </c>
      <c r="C22" s="14" t="b">
        <v>1</v>
      </c>
      <c r="D22" s="51" t="s">
        <v>448</v>
      </c>
    </row>
    <row r="23" spans="1:4">
      <c r="A23" s="14" t="s">
        <v>369</v>
      </c>
      <c r="B23" s="14" t="b">
        <v>1</v>
      </c>
      <c r="C23" s="14" t="b">
        <v>1</v>
      </c>
      <c r="D23" s="51" t="s">
        <v>448</v>
      </c>
    </row>
    <row r="24" spans="1:4">
      <c r="A24" s="14"/>
      <c r="B24" s="14"/>
      <c r="C24" s="14"/>
      <c r="D24" s="14"/>
    </row>
    <row r="25" spans="1:4" ht="22.95" customHeight="1">
      <c r="A25" s="50" t="s">
        <v>479</v>
      </c>
      <c r="B25" s="50"/>
      <c r="C25" s="50"/>
      <c r="D25" s="50"/>
    </row>
    <row r="26" spans="1:4">
      <c r="A26" s="14" t="s">
        <v>480</v>
      </c>
      <c r="B26" s="14" t="s">
        <v>481</v>
      </c>
      <c r="C26" s="14" t="b">
        <f>cfg_f2_input_valid</f>
        <v>1</v>
      </c>
      <c r="D26" s="52" t="str">
        <f>IF(C26,"PASS","FAIL")</f>
        <v>PASS</v>
      </c>
    </row>
  </sheetData>
  <sheetProtection sheet="1" objects="1" scenarios="1"/>
  <mergeCells count="3">
    <mergeCell ref="A1:D1"/>
    <mergeCell ref="A17:D17"/>
    <mergeCell ref="A25:D25"/>
  </mergeCells>
  <phoneticPr fontId="2"/>
  <pageMargins left="0.7" right="0.7" top="0.75" bottom="0.75" header="0.3" footer="0.3"/>
  <pageSetup paperSize="9" fitToHeight="999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BED7-F6A2-41D5-ACCA-BF245028423A}">
  <sheetPr>
    <tabColor rgb="FFD9E1F2"/>
    <pageSetUpPr fitToPage="1"/>
  </sheetPr>
  <dimension ref="A1:E15"/>
  <sheetViews>
    <sheetView showGridLines="0" zoomScale="90" zoomScaleNormal="90" workbookViewId="0">
      <pane ySplit="3" topLeftCell="A4" activePane="bottomLeft" state="frozenSplit"/>
      <selection pane="bottomLeft" sqref="A1:E1"/>
    </sheetView>
  </sheetViews>
  <sheetFormatPr defaultRowHeight="18"/>
  <cols>
    <col min="1" max="1" width="14.69921875" customWidth="1"/>
    <col min="2" max="2" width="38.69921875" customWidth="1"/>
    <col min="3" max="3" width="62.69921875" customWidth="1"/>
    <col min="4" max="4" width="68.69921875" customWidth="1"/>
    <col min="5" max="5" width="38.69921875" customWidth="1"/>
  </cols>
  <sheetData>
    <row r="1" spans="1:5" ht="26.4">
      <c r="A1" s="2" t="s">
        <v>396</v>
      </c>
      <c r="B1" s="3"/>
      <c r="C1" s="3"/>
      <c r="D1" s="3"/>
      <c r="E1" s="3"/>
    </row>
    <row r="2" spans="1:5">
      <c r="A2" s="5"/>
      <c r="B2" s="5"/>
      <c r="C2" s="5"/>
      <c r="D2" s="5"/>
      <c r="E2" s="5"/>
    </row>
    <row r="3" spans="1:5">
      <c r="A3" s="13" t="s">
        <v>397</v>
      </c>
      <c r="B3" s="13" t="s">
        <v>398</v>
      </c>
      <c r="C3" s="13" t="s">
        <v>399</v>
      </c>
      <c r="D3" s="13" t="s">
        <v>400</v>
      </c>
      <c r="E3" s="13" t="s">
        <v>401</v>
      </c>
    </row>
    <row r="4" spans="1:5" ht="42" customHeight="1">
      <c r="A4" s="9" t="s">
        <v>402</v>
      </c>
      <c r="B4" s="14" t="s">
        <v>403</v>
      </c>
      <c r="C4" s="45" t="s">
        <v>404</v>
      </c>
      <c r="D4" s="14"/>
      <c r="E4" s="14" t="s">
        <v>405</v>
      </c>
    </row>
    <row r="5" spans="1:5" ht="42" customHeight="1">
      <c r="A5" s="9" t="s">
        <v>402</v>
      </c>
      <c r="B5" s="14" t="s">
        <v>406</v>
      </c>
      <c r="C5" s="45" t="s">
        <v>407</v>
      </c>
      <c r="D5" s="14" t="s">
        <v>408</v>
      </c>
      <c r="E5" s="14" t="s">
        <v>409</v>
      </c>
    </row>
    <row r="6" spans="1:5" ht="42" customHeight="1">
      <c r="A6" s="9" t="s">
        <v>402</v>
      </c>
      <c r="B6" s="14" t="s">
        <v>410</v>
      </c>
      <c r="C6" s="45" t="s">
        <v>411</v>
      </c>
      <c r="D6" s="14" t="s">
        <v>412</v>
      </c>
      <c r="E6" s="14" t="s">
        <v>409</v>
      </c>
    </row>
    <row r="7" spans="1:5" ht="42" customHeight="1">
      <c r="A7" s="9" t="s">
        <v>402</v>
      </c>
      <c r="B7" s="14" t="s">
        <v>413</v>
      </c>
      <c r="C7" s="45" t="s">
        <v>414</v>
      </c>
      <c r="D7" s="14" t="s">
        <v>415</v>
      </c>
      <c r="E7" s="14" t="s">
        <v>409</v>
      </c>
    </row>
    <row r="8" spans="1:5" ht="42" customHeight="1">
      <c r="A8" s="9" t="s">
        <v>402</v>
      </c>
      <c r="B8" s="14" t="s">
        <v>416</v>
      </c>
      <c r="C8" s="45" t="s">
        <v>417</v>
      </c>
      <c r="D8" s="14" t="s">
        <v>418</v>
      </c>
      <c r="E8" s="14" t="s">
        <v>409</v>
      </c>
    </row>
    <row r="9" spans="1:5" ht="42" customHeight="1">
      <c r="A9" s="9" t="s">
        <v>402</v>
      </c>
      <c r="B9" s="14" t="s">
        <v>419</v>
      </c>
      <c r="C9" s="45" t="s">
        <v>420</v>
      </c>
      <c r="D9" s="14" t="s">
        <v>421</v>
      </c>
      <c r="E9" s="14" t="s">
        <v>409</v>
      </c>
    </row>
    <row r="10" spans="1:5" ht="42" customHeight="1">
      <c r="A10" s="9" t="s">
        <v>402</v>
      </c>
      <c r="B10" s="14" t="s">
        <v>422</v>
      </c>
      <c r="C10" s="45" t="s">
        <v>423</v>
      </c>
      <c r="D10" s="14" t="s">
        <v>424</v>
      </c>
      <c r="E10" s="14" t="s">
        <v>409</v>
      </c>
    </row>
    <row r="11" spans="1:5" ht="42" customHeight="1">
      <c r="A11" s="9" t="s">
        <v>402</v>
      </c>
      <c r="B11" s="14" t="s">
        <v>425</v>
      </c>
      <c r="C11" s="45" t="s">
        <v>426</v>
      </c>
      <c r="D11" s="14"/>
      <c r="E11" s="14" t="s">
        <v>427</v>
      </c>
    </row>
    <row r="12" spans="1:5" ht="42" customHeight="1">
      <c r="A12" s="9" t="s">
        <v>428</v>
      </c>
      <c r="B12" s="14" t="s">
        <v>429</v>
      </c>
      <c r="C12" s="45" t="s">
        <v>430</v>
      </c>
      <c r="D12" s="14"/>
      <c r="E12" s="14" t="s">
        <v>431</v>
      </c>
    </row>
    <row r="13" spans="1:5" ht="42" customHeight="1">
      <c r="A13" s="9" t="s">
        <v>428</v>
      </c>
      <c r="B13" s="14" t="s">
        <v>432</v>
      </c>
      <c r="C13" s="45" t="s">
        <v>433</v>
      </c>
      <c r="D13" s="14"/>
      <c r="E13" s="14" t="s">
        <v>434</v>
      </c>
    </row>
    <row r="14" spans="1:5">
      <c r="A14" s="9"/>
      <c r="B14" s="9"/>
      <c r="C14" s="9"/>
      <c r="D14" s="9"/>
      <c r="E14" s="9"/>
    </row>
    <row r="15" spans="1:5">
      <c r="A15" s="9" t="s">
        <v>435</v>
      </c>
      <c r="B15" s="8" t="s">
        <v>436</v>
      </c>
      <c r="C15" s="8"/>
      <c r="D15" s="8"/>
      <c r="E15" s="8"/>
    </row>
  </sheetData>
  <sheetProtection sheet="1" objects="1" scenarios="1"/>
  <mergeCells count="2">
    <mergeCell ref="A1:E1"/>
    <mergeCell ref="B15:E15"/>
  </mergeCells>
  <phoneticPr fontId="2"/>
  <hyperlinks>
    <hyperlink ref="C4" r:id="rId1" tooltip="https://www.nta.go.jp/taxes/tetsuzuki/shinsei/annai/hojin/shinkoku/itiran2022/01.htm" xr:uid="{5654E8B9-AEC6-4B95-8D23-A1E246437A50}"/>
    <hyperlink ref="C5" r:id="rId2" tooltip="https://www.nta.go.jp/taxes/tetsuzuki/shinsei/annai/hojin/shinkoku/itiran2022/pdf/03%2801%29.pdf" xr:uid="{2C336C8D-9E28-4432-936E-5EEE7DB3654B}"/>
    <hyperlink ref="C6" r:id="rId3" tooltip="https://www.nta.go.jp/publication/pamph/hojin/tebiki2022/pdf/02-03.pdf" xr:uid="{91F2BF88-B0F9-4DC8-A207-4FC70C8A7F7E}"/>
    <hyperlink ref="C7" r:id="rId4" tooltip="https://www.nta.go.jp/taxes/tetsuzuki/shinsei/annai/hojin/shinkoku/itiran2022/pdf/03%2801%29-f1.pdf" xr:uid="{CF4A6451-B76D-4386-BE08-62D210BE9DA4}"/>
    <hyperlink ref="C8" r:id="rId5" tooltip="https://www.nta.go.jp/publication/pamph/hojin/tebiki2022/pdf/02-04.pdf" xr:uid="{0358566E-3338-4790-BA2B-86A12EA42E6A}"/>
    <hyperlink ref="C9" r:id="rId6" tooltip="https://www.nta.go.jp/taxes/tetsuzuki/shinsei/annai/hojin/shinkoku/itiran2022/pdf/03%2801%29-f2.pdf" xr:uid="{2726A85F-F73C-4FE1-8BF0-E9DF88BB13E6}"/>
    <hyperlink ref="C10" r:id="rId7" tooltip="https://www.nta.go.jp/taxes/tetsuzuki/shinsei/annai/hojin/shinkoku/itiran2022/pdf/03%2801%29-f2-ki.pdf" xr:uid="{D72AF478-F924-48B9-92EB-F2F01B381376}"/>
    <hyperlink ref="C11" r:id="rId8" tooltip="https://www.nta.go.jp/law/tsutatsu/kihon/hojin/16/16_01_02.htm" xr:uid="{9A3AFE41-2EAE-4605-9DF9-98D158454280}"/>
    <hyperlink ref="C12" r:id="rId9" location="Mp-At_67" tooltip="https://laws.e-gov.go.jp/law/340AC0000000034#Mp-At_67" xr:uid="{0E257550-B4D3-4995-B392-92820919E0B9}"/>
    <hyperlink ref="C13" r:id="rId10" location="Mp-At_10" tooltip="https://laws.e-gov.go.jp/law/337AC0000000066#Mp-At_10" xr:uid="{BECCFD36-75C3-4527-9ABA-EC12242569CA}"/>
  </hyperlinks>
  <pageMargins left="0.7" right="0.7" top="0.75" bottom="0.75" header="0.3" footer="0.3"/>
  <pageSetup paperSize="9" fitToHeight="999" orientation="landscape" r:id="rId1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436E4-7D4D-4C08-8D50-11A8C98F3452}">
  <dimension ref="A1:E37"/>
  <sheetViews>
    <sheetView workbookViewId="0"/>
  </sheetViews>
  <sheetFormatPr defaultRowHeight="18"/>
  <sheetData>
    <row r="1" spans="1:5">
      <c r="A1" t="str">
        <f>IF(inp_corp="","",inp_corp)</f>
        <v/>
      </c>
    </row>
    <row r="2" spans="1:5">
      <c r="A2" t="str">
        <f>IF(OR(inp_start="",inp_end=""),"",TEXT(inp_start,"yyyy.m.d")&amp;CHAR(10)&amp;TEXT(inp_end,"yyyy.m.d"))</f>
        <v>2022.4.1
2023.3.31</v>
      </c>
    </row>
    <row r="5" spans="1:5">
      <c r="A5" t="str">
        <f>IF(m_01=0,"",TEXT(m_01/1000,"#,##0;-#,##0"))</f>
        <v/>
      </c>
      <c r="B5" t="str">
        <f>IF(inp_m9_inner=0,"",TEXT(inp_m9_inner,"#,##0;-#,##0"))</f>
        <v/>
      </c>
      <c r="C5" t="str">
        <f>IF(f1_01=0,"",TEXT(f1_01,"#,##0;-#,##0"))</f>
        <v/>
      </c>
      <c r="E5" t="str">
        <f>IF(f2_01=0,"",TEXT(f2_01,"#,##0;-#,##0"))</f>
        <v/>
      </c>
    </row>
    <row r="6" spans="1:5">
      <c r="A6" t="str">
        <f>IF(m_02=0,"",TEXT(m_02/1000,"#,##0;-#,##0"))</f>
        <v/>
      </c>
      <c r="C6" t="str">
        <f>IF(f1_02=0,"",TEXT(f1_02,"#,##0;-#,##0"))</f>
        <v/>
      </c>
      <c r="E6" t="str">
        <f>IF(f2_02=0,"",TEXT(f2_02,"#,##0;-#,##0"))</f>
        <v/>
      </c>
    </row>
    <row r="7" spans="1:5">
      <c r="A7" t="str">
        <f>IF(m_03=0,"",TEXT(m_03/1000,"#,##0;-#,##0"))</f>
        <v/>
      </c>
      <c r="C7" t="str">
        <f>IF(f1_03=0,"",TEXT(f1_03,"#,##0;-#,##0"))</f>
        <v/>
      </c>
      <c r="E7" t="str">
        <f>IF(f2_03=0,"",TEXT(f2_03,"#,##0;-#,##0"))</f>
        <v/>
      </c>
    </row>
    <row r="8" spans="1:5">
      <c r="A8" t="str">
        <f>IF(m_04=0,"",TEXT(m_04/1000,"#,##0;-#,##0"))</f>
        <v/>
      </c>
      <c r="C8" t="str">
        <f>IF(f1_04=0,"",TEXT(f1_04,"#,##0;-#,##0"))</f>
        <v/>
      </c>
      <c r="E8" t="str">
        <f>IF(f2_04=0,"",TEXT(f2_04,"#,##0;-#,##0"))</f>
        <v/>
      </c>
    </row>
    <row r="9" spans="1:5">
      <c r="A9" t="str">
        <f>IF(m_05=0,"",TEXT(m_05,"#,##0;-#,##0"))</f>
        <v/>
      </c>
      <c r="C9" t="str">
        <f>IF(f1_05=0,"",TEXT(f1_05,"#,##0;-#,##0"))</f>
        <v/>
      </c>
      <c r="E9" t="str">
        <f>IF(f2_05=0,"",TEXT(f2_05,"#,##0;-#,##0"))</f>
        <v/>
      </c>
    </row>
    <row r="10" spans="1:5">
      <c r="A10" t="str">
        <f>IF(m_06=0,"",TEXT(m_06,"#,##0;-#,##0"))</f>
        <v/>
      </c>
      <c r="C10" t="str">
        <f>IF(f1_06=0,"",TEXT(f1_06,"#,##0;-#,##0"))</f>
        <v/>
      </c>
      <c r="E10" t="str">
        <f>IF(f2_06=0,"",TEXT(f2_06,"#,##0;-#,##0"))</f>
        <v/>
      </c>
    </row>
    <row r="11" spans="1:5">
      <c r="A11" t="str">
        <f>IF(m_07=0,"",TEXT(m_07,"#,##0;-#,##0"))</f>
        <v/>
      </c>
      <c r="C11" t="str">
        <f>IF(f1_07=0,"",TEXT(f1_07,"#,##0;-#,##0"))</f>
        <v/>
      </c>
      <c r="E11" t="str">
        <f>IF(f2_07=0,"",TEXT(f2_07,"#,##0;-#,##0"))</f>
        <v/>
      </c>
    </row>
    <row r="12" spans="1:5">
      <c r="A12" t="str">
        <f>IF(m_08=0,"",TEXT(m_08,"#,##0;-#,##0"))</f>
        <v/>
      </c>
      <c r="C12" t="str">
        <f>IF(f1_08=0,"",TEXT(f1_08,"#,##0;-#,##0"))</f>
        <v>20,000,000</v>
      </c>
      <c r="E12" t="str">
        <f>IF(f2_08=0,"",TEXT(f2_08,"#,##0;-#,##0"))</f>
        <v/>
      </c>
    </row>
    <row r="13" spans="1:5">
      <c r="A13" t="str">
        <f>IF(m_09=0,"",TEXT(m_09,"#,##0;-#,##0"))</f>
        <v/>
      </c>
      <c r="C13" t="str">
        <f>IF(f1_09=0,"",TEXT(f1_09,"#,##0;-#,##0"))</f>
        <v/>
      </c>
      <c r="E13" t="str">
        <f>IF(f2_09=0,"",TEXT(f2_09,"#,##0;-#,##0"))</f>
        <v/>
      </c>
    </row>
    <row r="14" spans="1:5">
      <c r="A14" t="str">
        <f>IF(m_10=0,"",TEXT(m_10,"#,##0;-#,##0"))</f>
        <v/>
      </c>
      <c r="C14" t="str">
        <f>IF(f1_10=0,"",TEXT(f1_10,"#,##0;-#,##0"))</f>
        <v/>
      </c>
      <c r="E14" t="str">
        <f>IF(f2_10=0,"",TEXT(f2_10,"#,##0;-#,##0"))</f>
        <v/>
      </c>
    </row>
    <row r="15" spans="1:5">
      <c r="A15" t="str">
        <f>IF(m_11=0,"",TEXT(m_11,"#,##0;-#,##0"))</f>
        <v/>
      </c>
      <c r="C15" t="str">
        <f>IF(f1_11=0,"",TEXT(f1_11,"#,##0;-#,##0"))</f>
        <v/>
      </c>
      <c r="E15" t="str">
        <f>IF(f2_11=0,"",TEXT(f2_11,"#,##0;-#,##0"))</f>
        <v/>
      </c>
    </row>
    <row r="16" spans="1:5">
      <c r="A16" t="str">
        <f>IF(m_12=0,"",TEXT(m_12,"#,##0;-#,##0"))</f>
        <v/>
      </c>
      <c r="C16" t="str">
        <f>IF(f1_12=0,"",TEXT(f1_12,"#,##0;-#,##0"))</f>
        <v/>
      </c>
      <c r="E16" t="str">
        <f>IF(f2_12=0,"",TEXT(f2_12,"#,##0;-#,##0"))</f>
        <v/>
      </c>
    </row>
    <row r="17" spans="1:5">
      <c r="A17" t="str">
        <f>IF(m_13=0,"",TEXT(m_13,"#,##0;-#,##0"))</f>
        <v/>
      </c>
      <c r="C17" t="str">
        <f>IF(f1_13=0,"",TEXT(f1_13,"#,##0;-#,##0"))</f>
        <v/>
      </c>
      <c r="E17" t="str">
        <f>IF(f2_13=0,"",TEXT(f2_13,"#,##0;-#,##0"))</f>
        <v/>
      </c>
    </row>
    <row r="18" spans="1:5">
      <c r="A18" t="str">
        <f>IF(m_14=0,"",TEXT(m_14,"#,##0;-#,##0"))</f>
        <v/>
      </c>
      <c r="C18" t="str">
        <f>IF(f1_14=0,"",TEXT(f1_14,"#,##0;-#,##0"))</f>
        <v/>
      </c>
      <c r="E18" t="str">
        <f>IF(f2_14=0,"",TEXT(f2_14,"#,##0;-#,##0"))</f>
        <v/>
      </c>
    </row>
    <row r="19" spans="1:5">
      <c r="A19" t="str">
        <f>IF(m_15=0,"",TEXT(m_15,"#,##0;-#,##0"))</f>
        <v/>
      </c>
      <c r="C19" t="str">
        <f>IF(f1_15=0,"",TEXT(f1_15,"#,##0;-#,##0"))</f>
        <v/>
      </c>
      <c r="E19" t="str">
        <f>IF(f2_15=0,"",TEXT(f2_15,"#,##0;-#,##0"))</f>
        <v/>
      </c>
    </row>
    <row r="20" spans="1:5">
      <c r="A20" t="str">
        <f>IF(m_16=0,"",TEXT(m_16,"#,##0;-#,##0"))</f>
        <v/>
      </c>
      <c r="C20" t="str">
        <f>IF(f1_16=0,"",TEXT(f1_16,"#,##0;-#,##0"))</f>
        <v/>
      </c>
      <c r="E20" t="str">
        <f>IF(f2_16=0,"",TEXT(f2_16,"#,##0;-#,##0"))</f>
        <v/>
      </c>
    </row>
    <row r="21" spans="1:5">
      <c r="A21" t="str">
        <f>IF(m_17=0,"",TEXT(m_17,"#,##0;-#,##0"))</f>
        <v/>
      </c>
      <c r="C21" t="str">
        <f>IF(f1_17=0,"",TEXT(f1_17,"#,##0;-#,##0"))</f>
        <v/>
      </c>
      <c r="E21" t="str">
        <f>IF(f2_17=0,"",TEXT(f2_17,"#,##0;-#,##0"))</f>
        <v/>
      </c>
    </row>
    <row r="22" spans="1:5">
      <c r="A22" t="str">
        <f>IF(m_18=0,"",TEXT(m_18,"#,##0;-#,##0"))</f>
        <v/>
      </c>
      <c r="C22" t="str">
        <f>IF(f1_18=0,"",TEXT(f1_18,"#,##0;-#,##0"))</f>
        <v/>
      </c>
      <c r="E22" t="str">
        <f>IF(f2_18=0,"",TEXT(f2_18,"#,##0;-#,##0"))</f>
        <v/>
      </c>
    </row>
    <row r="23" spans="1:5">
      <c r="A23" t="str">
        <f>IF(m_19=0,"",TEXT(m_19,"#,##0;-#,##0"))</f>
        <v/>
      </c>
      <c r="C23" t="str">
        <f>IF(f1_19=0,"",TEXT(f1_19,"#,##0;-#,##0"))</f>
        <v/>
      </c>
      <c r="E23" t="str">
        <f>IF(f2_19=0,"",TEXT(f2_19,"#,##0;-#,##0"))</f>
        <v/>
      </c>
    </row>
    <row r="24" spans="1:5">
      <c r="A24" t="str">
        <f>IF(m_20=0,"",TEXT(m_20,"#,##0;-#,##0"))</f>
        <v>20,000,000</v>
      </c>
      <c r="C24" t="str">
        <f>IF(f1_20=0,"",TEXT(f1_20,"#,##0;-#,##0"))</f>
        <v/>
      </c>
      <c r="E24" t="str">
        <f>IF(f2_20=0,"",TEXT(f2_20,"#,##0;-#,##0"))</f>
        <v/>
      </c>
    </row>
    <row r="25" spans="1:5">
      <c r="A25" t="str">
        <f>IF(m_21=0,"",TEXT(m_21/1000,"#,##0;-#,##0"))</f>
        <v/>
      </c>
      <c r="C25" t="str">
        <f>IF(f1_21=0,"",TEXT(f1_21,"#,##0;-#,##0"))</f>
        <v/>
      </c>
      <c r="E25" t="str">
        <f>IF(f2_21=0,"",TEXT(f2_21,"#,##0;-#,##0"))</f>
        <v/>
      </c>
    </row>
    <row r="26" spans="1:5">
      <c r="A26" t="str">
        <f>IF(m_22=0,"",TEXT(m_22,"#,##0;-#,##0"))</f>
        <v/>
      </c>
      <c r="C26" t="str">
        <f>IF(f1_22=0,"",TEXT(f1_22,"#,##0;-#,##0"))</f>
        <v/>
      </c>
      <c r="E26" t="str">
        <f>IF(f2_22=0,"",TEXT(f2_22,"#,##0;-#,##0"))</f>
        <v/>
      </c>
    </row>
    <row r="27" spans="1:5">
      <c r="A27" t="str">
        <f>IF(m_23=0,"",TEXT(m_23,"#,##0;-#,##0"))</f>
        <v/>
      </c>
      <c r="C27" t="str">
        <f>IF(f1_23=0,"",TEXT(f1_23,"#,##0;-#,##0"))</f>
        <v/>
      </c>
      <c r="E27" t="str">
        <f>IF(f2_23=0,"",TEXT(f2_23,"#,##0;-#,##0"))</f>
        <v/>
      </c>
    </row>
    <row r="28" spans="1:5">
      <c r="A28" t="str">
        <f>IF(m_24=0,"",TEXT(m_24,"#,##0;-#,##0"))</f>
        <v/>
      </c>
      <c r="C28" t="str">
        <f>IF(f1_24=0,"",TEXT(f1_24,"#,##0;-#,##0"))</f>
        <v/>
      </c>
      <c r="E28" t="str">
        <f>IF(f2_24=0,"",TEXT(f2_24,"0.00000000"))</f>
        <v/>
      </c>
    </row>
    <row r="29" spans="1:5">
      <c r="A29" t="str">
        <f>IF(m_25=0,"",TEXT(m_25,"#,##0;-#,##0"))</f>
        <v/>
      </c>
      <c r="C29" t="str">
        <f>IF(f1_25=0,"",TEXT(f1_25,"#,##0;-#,##0"))</f>
        <v/>
      </c>
      <c r="E29" t="str">
        <f>IF(f2_25=0,"",TEXT(f2_25,"#,##0;-#,##0"))</f>
        <v/>
      </c>
    </row>
    <row r="30" spans="1:5">
      <c r="A30" t="str">
        <f>IF(m_26=0,"",TEXT(m_26,"#,##0;-#,##0"))</f>
        <v/>
      </c>
      <c r="C30" t="str">
        <f>IF(f1_26=0,"",TEXT(f1_26,"#,##0;-#,##0"))</f>
        <v/>
      </c>
      <c r="E30" t="str">
        <f>IF(f2_26=0,"",TEXT(f2_26,"#,##0;-#,##0"))</f>
        <v/>
      </c>
    </row>
    <row r="31" spans="1:5">
      <c r="A31" t="str">
        <f>IF(m_27=0,"",TEXT(m_27,"#,##0;-#,##0"))</f>
        <v/>
      </c>
      <c r="C31" t="str">
        <f>IF(f1_27=0,"",TEXT(f1_27,"#,##0;-#,##0"))</f>
        <v/>
      </c>
    </row>
    <row r="32" spans="1:5">
      <c r="A32" t="str">
        <f>IF(m_28=0,"",TEXT(m_28,"#,##0;-#,##0"))</f>
        <v/>
      </c>
      <c r="C32" t="str">
        <f>IF(f1_28=0,"",TEXT(f1_28,"#,##0;-#,##0"))</f>
        <v/>
      </c>
    </row>
    <row r="33" spans="3:3">
      <c r="C33" t="str">
        <f>IF(f1_29=0,"",TEXT(f1_29,"#,##0;-#,##0"))</f>
        <v/>
      </c>
    </row>
    <row r="34" spans="3:3">
      <c r="C34" t="str">
        <f>IF(f1_30=0,"",TEXT(f1_30,"#,##0;-#,##0"))</f>
        <v/>
      </c>
    </row>
    <row r="35" spans="3:3">
      <c r="C35" t="str">
        <f>IF(f1_31=0,"",TEXT(f1_31,"#,##0;-#,##0"))</f>
        <v/>
      </c>
    </row>
    <row r="36" spans="3:3">
      <c r="C36" t="str">
        <f>IF(f1_32=0,"",TEXT(f1_32,"#,##0;-#,##0"))</f>
        <v/>
      </c>
    </row>
    <row r="37" spans="3:3">
      <c r="C37" t="str">
        <f>IF(f1_33=0,"",TEXT(f1_33,"#,##0;-#,##0"))</f>
        <v>20,000,000</v>
      </c>
    </row>
  </sheetData>
  <sheetProtection sheet="1" objects="1" scenarios="1"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173</vt:i4>
      </vt:variant>
    </vt:vector>
  </HeadingPairs>
  <TitlesOfParts>
    <vt:vector size="183" baseType="lpstr">
      <vt:lpstr>使い方</vt:lpstr>
      <vt:lpstr>入力</vt:lpstr>
      <vt:lpstr>別表三一_計算</vt:lpstr>
      <vt:lpstr>付表一_計算</vt:lpstr>
      <vt:lpstr>付表二_計算</vt:lpstr>
      <vt:lpstr>別表三(一)</vt:lpstr>
      <vt:lpstr>別表三(一)付表一</vt:lpstr>
      <vt:lpstr>別表三(一)付表二</vt:lpstr>
      <vt:lpstr>検算</vt:lpstr>
      <vt:lpstr>根拠・出典</vt:lpstr>
      <vt:lpstr>cfg_applicable</vt:lpstr>
      <vt:lpstr>cfg_donation_rate</vt:lpstr>
      <vt:lpstr>cfg_f2_input_valid</vt:lpstr>
      <vt:lpstr>cfg_resident_rate</vt:lpstr>
      <vt:lpstr>f1_01</vt:lpstr>
      <vt:lpstr>f1_02</vt:lpstr>
      <vt:lpstr>f1_03</vt:lpstr>
      <vt:lpstr>f1_04</vt:lpstr>
      <vt:lpstr>f1_05</vt:lpstr>
      <vt:lpstr>f1_06</vt:lpstr>
      <vt:lpstr>f1_07</vt:lpstr>
      <vt:lpstr>f1_08</vt:lpstr>
      <vt:lpstr>f1_09</vt:lpstr>
      <vt:lpstr>f1_10</vt:lpstr>
      <vt:lpstr>f1_11</vt:lpstr>
      <vt:lpstr>f1_12</vt:lpstr>
      <vt:lpstr>f1_13</vt:lpstr>
      <vt:lpstr>f1_14</vt:lpstr>
      <vt:lpstr>f1_15</vt:lpstr>
      <vt:lpstr>f1_16</vt:lpstr>
      <vt:lpstr>f1_17</vt:lpstr>
      <vt:lpstr>f1_18</vt:lpstr>
      <vt:lpstr>f1_19</vt:lpstr>
      <vt:lpstr>f1_20</vt:lpstr>
      <vt:lpstr>f1_21</vt:lpstr>
      <vt:lpstr>f1_22</vt:lpstr>
      <vt:lpstr>f1_23</vt:lpstr>
      <vt:lpstr>f1_24</vt:lpstr>
      <vt:lpstr>f1_25</vt:lpstr>
      <vt:lpstr>f1_26</vt:lpstr>
      <vt:lpstr>f1_27</vt:lpstr>
      <vt:lpstr>f1_28</vt:lpstr>
      <vt:lpstr>f1_29</vt:lpstr>
      <vt:lpstr>f1_30</vt:lpstr>
      <vt:lpstr>f1_31</vt:lpstr>
      <vt:lpstr>f1_32</vt:lpstr>
      <vt:lpstr>f1_33</vt:lpstr>
      <vt:lpstr>f2_01</vt:lpstr>
      <vt:lpstr>f2_02</vt:lpstr>
      <vt:lpstr>f2_03</vt:lpstr>
      <vt:lpstr>f2_04</vt:lpstr>
      <vt:lpstr>f2_05</vt:lpstr>
      <vt:lpstr>f2_06</vt:lpstr>
      <vt:lpstr>f2_07</vt:lpstr>
      <vt:lpstr>f2_08</vt:lpstr>
      <vt:lpstr>f2_09</vt:lpstr>
      <vt:lpstr>f2_10</vt:lpstr>
      <vt:lpstr>f2_11</vt:lpstr>
      <vt:lpstr>f2_12</vt:lpstr>
      <vt:lpstr>f2_13</vt:lpstr>
      <vt:lpstr>f2_14</vt:lpstr>
      <vt:lpstr>f2_15</vt:lpstr>
      <vt:lpstr>f2_16</vt:lpstr>
      <vt:lpstr>f2_17</vt:lpstr>
      <vt:lpstr>f2_18</vt:lpstr>
      <vt:lpstr>f2_19</vt:lpstr>
      <vt:lpstr>f2_20</vt:lpstr>
      <vt:lpstr>f2_21</vt:lpstr>
      <vt:lpstr>f2_22</vt:lpstr>
      <vt:lpstr>f2_23</vt:lpstr>
      <vt:lpstr>f2_24</vt:lpstr>
      <vt:lpstr>f2_25</vt:lpstr>
      <vt:lpstr>f2_26</vt:lpstr>
      <vt:lpstr>inp_adjust_local_credit</vt:lpstr>
      <vt:lpstr>inp_b1_11</vt:lpstr>
      <vt:lpstr>inp_b1_17</vt:lpstr>
      <vt:lpstr>inp_b1_18</vt:lpstr>
      <vt:lpstr>inp_b1_2</vt:lpstr>
      <vt:lpstr>inp_b1_3</vt:lpstr>
      <vt:lpstr>inp_b1_32</vt:lpstr>
      <vt:lpstr>inp_b1_33</vt:lpstr>
      <vt:lpstr>inp_b1_37</vt:lpstr>
      <vt:lpstr>inp_b1_4</vt:lpstr>
      <vt:lpstr>inp_b1_6</vt:lpstr>
      <vt:lpstr>inp_b1_77</vt:lpstr>
      <vt:lpstr>inp_b1_9out</vt:lpstr>
      <vt:lpstr>inp_b6_5_2_5_3</vt:lpstr>
      <vt:lpstr>inp_class</vt:lpstr>
      <vt:lpstr>inp_corp</vt:lpstr>
      <vt:lpstr>inp_curr_div</vt:lpstr>
      <vt:lpstr>inp_end</vt:lpstr>
      <vt:lpstr>inp_f1_09</vt:lpstr>
      <vt:lpstr>inp_f1_10</vt:lpstr>
      <vt:lpstr>inp_f1_11</vt:lpstr>
      <vt:lpstr>inp_f1_12</vt:lpstr>
      <vt:lpstr>inp_f1_13</vt:lpstr>
      <vt:lpstr>inp_f1_14</vt:lpstr>
      <vt:lpstr>inp_f1_15</vt:lpstr>
      <vt:lpstr>inp_f1_16</vt:lpstr>
      <vt:lpstr>inp_f1_19</vt:lpstr>
      <vt:lpstr>inp_f1_20</vt:lpstr>
      <vt:lpstr>inp_f1_21</vt:lpstr>
      <vt:lpstr>inp_f1_22</vt:lpstr>
      <vt:lpstr>inp_f1_23</vt:lpstr>
      <vt:lpstr>inp_f1_24</vt:lpstr>
      <vt:lpstr>inp_f1_25</vt:lpstr>
      <vt:lpstr>inp_f1_26</vt:lpstr>
      <vt:lpstr>inp_f1_27</vt:lpstr>
      <vt:lpstr>inp_f1_28</vt:lpstr>
      <vt:lpstr>inp_f1_29</vt:lpstr>
      <vt:lpstr>inp_f1_30</vt:lpstr>
      <vt:lpstr>inp_f1_capital</vt:lpstr>
      <vt:lpstr>inp_f1_merger_inc</vt:lpstr>
      <vt:lpstr>inp_f1_opening_profit</vt:lpstr>
      <vt:lpstr>inp_f1_split_dec</vt:lpstr>
      <vt:lpstr>inp_f2_01</vt:lpstr>
      <vt:lpstr>inp_f2_02</vt:lpstr>
      <vt:lpstr>inp_f2_03</vt:lpstr>
      <vt:lpstr>inp_f2_04</vt:lpstr>
      <vt:lpstr>inp_f2_06</vt:lpstr>
      <vt:lpstr>inp_f2_07</vt:lpstr>
      <vt:lpstr>inp_f2_08</vt:lpstr>
      <vt:lpstr>inp_f2_12</vt:lpstr>
      <vt:lpstr>inp_f2_15</vt:lpstr>
      <vt:lpstr>inp_f2_16</vt:lpstr>
      <vt:lpstr>inp_f2_21</vt:lpstr>
      <vt:lpstr>inp_f2_23</vt:lpstr>
      <vt:lpstr>inp_group</vt:lpstr>
      <vt:lpstr>inp_m14_foreign</vt:lpstr>
      <vt:lpstr>inp_m22_b1_4_adjust</vt:lpstr>
      <vt:lpstr>inp_m22_credits</vt:lpstr>
      <vt:lpstr>inp_m23_b1_4_adjust</vt:lpstr>
      <vt:lpstr>inp_m23_credits</vt:lpstr>
      <vt:lpstr>inp_m9_base</vt:lpstr>
      <vt:lpstr>inp_m9_extra</vt:lpstr>
      <vt:lpstr>inp_m9_inner</vt:lpstr>
      <vt:lpstr>inp_months</vt:lpstr>
      <vt:lpstr>inp_prev_div</vt:lpstr>
      <vt:lpstr>inp_special</vt:lpstr>
      <vt:lpstr>inp_specific_donation_total</vt:lpstr>
      <vt:lpstr>inp_start</vt:lpstr>
      <vt:lpstr>m_01</vt:lpstr>
      <vt:lpstr>m_02</vt:lpstr>
      <vt:lpstr>m_03</vt:lpstr>
      <vt:lpstr>m_04</vt:lpstr>
      <vt:lpstr>m_05</vt:lpstr>
      <vt:lpstr>m_06</vt:lpstr>
      <vt:lpstr>m_07</vt:lpstr>
      <vt:lpstr>m_08</vt:lpstr>
      <vt:lpstr>m_09</vt:lpstr>
      <vt:lpstr>m_10</vt:lpstr>
      <vt:lpstr>m_11</vt:lpstr>
      <vt:lpstr>m_12</vt:lpstr>
      <vt:lpstr>m_13</vt:lpstr>
      <vt:lpstr>m_14</vt:lpstr>
      <vt:lpstr>m_15</vt:lpstr>
      <vt:lpstr>m_16</vt:lpstr>
      <vt:lpstr>m_17</vt:lpstr>
      <vt:lpstr>m_18</vt:lpstr>
      <vt:lpstr>m_19</vt:lpstr>
      <vt:lpstr>m_20</vt:lpstr>
      <vt:lpstr>m_21</vt:lpstr>
      <vt:lpstr>m_22</vt:lpstr>
      <vt:lpstr>m_23</vt:lpstr>
      <vt:lpstr>m_24</vt:lpstr>
      <vt:lpstr>m_25</vt:lpstr>
      <vt:lpstr>m_26</vt:lpstr>
      <vt:lpstr>m_27</vt:lpstr>
      <vt:lpstr>m_28</vt:lpstr>
      <vt:lpstr>out_municipal_tax</vt:lpstr>
      <vt:lpstr>out_retained_tax</vt:lpstr>
      <vt:lpstr>out_retention_allowance</vt:lpstr>
      <vt:lpstr>out_taxable_retained</vt:lpstr>
      <vt:lpstr>検算!Print_Area</vt:lpstr>
      <vt:lpstr>根拠・出典!Print_Area</vt:lpstr>
      <vt:lpstr>使い方!Print_Area</vt:lpstr>
      <vt:lpstr>入力!Print_Area</vt:lpstr>
      <vt:lpstr>付表一_計算!Print_Area</vt:lpstr>
      <vt:lpstr>付表二_計算!Print_Area</vt:lpstr>
      <vt:lpstr>'別表三(一)'!Print_Area</vt:lpstr>
      <vt:lpstr>'別表三(一)付表一'!Print_Area</vt:lpstr>
      <vt:lpstr>'別表三(一)付表二'!Print_Area</vt:lpstr>
      <vt:lpstr>別表三一_計算!Print_Area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jplawdb4</dc:creator>
  <cp:lastModifiedBy>jplawdb4</cp:lastModifiedBy>
</cp:coreProperties>
</file>